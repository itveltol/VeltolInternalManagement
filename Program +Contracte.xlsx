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Concedii 2026" sheetId="2" r:id="rId5"/>
    <sheet state="visible" name="Bonus delegatii" sheetId="3" r:id="rId6"/>
    <sheet state="visible" name="Contracte2025-2026" sheetId="4" r:id="rId7"/>
    <sheet state="visible" name="Lucrari contracost" sheetId="5" r:id="rId8"/>
    <sheet state="visible" name="2025" sheetId="6" r:id="rId9"/>
    <sheet state="visible" name="Concedii 2025" sheetId="7" r:id="rId10"/>
  </sheets>
  <definedNames>
    <definedName hidden="1" localSheetId="3" name="_xlnm._FilterDatabase">'Contracte2025-2026'!$A$1:$AB$145</definedName>
  </definedNames>
  <calcPr/>
  <extLst>
    <ext uri="GoogleSheetsCustomDataVersion2">
      <go:sheetsCustomData xmlns:go="http://customooxmlschemas.google.com/" r:id="rId11" roundtripDataChecksum="hYJtIgKhQ6pFfulBtnYQKWIXZ8/wV4S+Wo3tHGmgkT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99">
      <text>
        <t xml:space="preserve">======
ID#AAABpQusubo
Robert Kendi | VELTOL    (2025-08-12 14:03:34)
Ani Ioan Emanuel CJ - Gherla</t>
      </text>
    </comment>
    <comment authorId="0" ref="L265">
      <text>
        <t xml:space="preserve">======
ID#AAABoJa1bw8
Robert Kendi | VELTOL    (2025-09-08 13:06:08)
Szasz Tibor</t>
      </text>
    </comment>
    <comment authorId="0" ref="J199">
      <text>
        <t xml:space="preserve">======
ID#AAABpUSBk8c
Béla Pál Szász | VELTOL    (2025-08-14 10:36:49)
Munteanu, BV</t>
      </text>
    </comment>
    <comment authorId="0" ref="K199">
      <text>
        <t xml:space="preserve">======
ID#AAABp1_Qv3k
Alpár Papp | VELTOL    (2025-08-13 12:52:22)
Fustos Alexandru, Bistrita</t>
      </text>
    </comment>
    <comment authorId="0" ref="M199">
      <text>
        <t xml:space="preserve">======
ID#AAABpZzSusg
Robert Kendi | VELTOL    (2025-08-18 06:30:23)
Moise Adrian MS</t>
      </text>
    </comment>
    <comment authorId="0" ref="I67">
      <text>
        <t xml:space="preserve">======
ID#AAABhrRMngc
Robert Kendi | VELTOL    (2025-04-11 09:16:30)
Nemes Petruta 87 km</t>
      </text>
    </comment>
    <comment authorId="0" ref="Q265">
      <text>
        <t xml:space="preserve">======
ID#AAABrO3sAUY
Béla Pál Szász | VELTOL    (2025-09-17 06:57:13)
Stanciu Nicolae, Cojocna, CJ</t>
      </text>
    </comment>
    <comment authorId="0" ref="K67">
      <text>
        <t xml:space="preserve">======
ID#AAABhndABIA
Béla Pál Szász | VELTOL    (2025-04-09 11:33:49)
Bogomeri - Buza/Cluj</t>
      </text>
    </comment>
    <comment authorId="0" ref="P199">
      <text>
        <t xml:space="preserve">======
ID#AAABpcsx-Lc
Béla Pál Szász | VELTOL    (2025-08-20 07:55:54)
Balint Tiberiu, Huedin, CJ</t>
      </text>
    </comment>
    <comment authorId="0" ref="S199">
      <text>
        <t xml:space="preserve">======
ID#AAABsaPpZFw
Robert Kendi | VELTOL    (2025-10-13 08:19:40)
Borcsa CV</t>
      </text>
    </comment>
    <comment authorId="0" ref="W199">
      <text>
        <t xml:space="preserve">======
ID#AAABpz__704
Béla Pál Szász | VELTOL    (2025-08-26 07:53:43)
Parohia Feldioara - CJ</t>
      </text>
    </comment>
    <comment authorId="0" ref="S67">
      <text>
        <t xml:space="preserve">======
ID#AAABiVtSrh4
Béla Pál Szász | VELTOL    (2025-04-22 09:00:55)
Sfetcu Ioana - Limba, jud. Alba</t>
      </text>
    </comment>
    <comment authorId="0" ref="B464">
      <text>
        <t xml:space="preserve">======
ID#AAAB0EPm3cM
Vlad Ciubuca | VELTOL    (2026-02-10 09:26:16)
Lykos</t>
      </text>
    </comment>
    <comment authorId="0" ref="AE265">
      <text>
        <t xml:space="preserve">======
ID#AAABsaPpZF8
Robert Kendi | VELTOL    (2025-10-13 08:26:38)
szekely Istvan  Gherla</t>
      </text>
    </comment>
    <comment authorId="0" ref="K596">
      <text>
        <t xml:space="preserve">======
ID#AAAB6lBGk9k
Nagy Pal Ors | VELTOL    (2026-05-18 06:54:35)
Fundata</t>
      </text>
    </comment>
    <comment authorId="0" ref="Z67">
      <text>
        <t xml:space="preserve">======
ID#AAABihqUvo0
Nagy Pal Ors | VELTOL    (2025-04-28 09:32:06)
Orosz Ibolya - Turia</t>
      </text>
    </comment>
    <comment authorId="0" ref="D266">
      <text>
        <t xml:space="preserve">======
ID#AAABqg5UWDI
Bela Pal Szasz    (2025-09-03 04:32:02)
Baba Viorel, Gherla/CJ</t>
      </text>
    </comment>
    <comment authorId="0" ref="B200">
      <text>
        <t xml:space="preserve">======
ID#AAABoxX4P_Q
Alpár Papp | VELTOL    (2025-08-04 13:23:28)
Craciun, Sebes</t>
      </text>
    </comment>
    <comment authorId="0" ref="C200">
      <text>
        <t xml:space="preserve">======
ID#AAABpQusubQ
Robert Kendi | VELTOL    (2025-08-12 13:59:42)
Pop Cornelia BN</t>
      </text>
    </comment>
    <comment authorId="0" ref="E266">
      <text>
        <t xml:space="preserve">======
ID#AAABqnOgk7Y
Bela Pal Szasz    (2025-09-05 04:43:27)
Parohia Reformata Buza, CJ</t>
      </text>
    </comment>
    <comment authorId="0" ref="D200">
      <text>
        <t xml:space="preserve">======
ID#AAABo-_PuOg
Robert Kendi | VELTOL    (2025-08-07 06:57:18)
Nechita - Póka
------
ID#AAABo-_PuOs
Robert Kendi | VELTOL    (2025-08-07 06:58:05)
4 + óra</t>
      </text>
    </comment>
    <comment authorId="0" ref="E200">
      <text>
        <t xml:space="preserve">======
ID#AAABpCxUbMM
Alpár Papp | VELTOL    (2025-08-08 08:33:49)
Fogarasi, Brasov</t>
      </text>
    </comment>
    <comment authorId="0" ref="P464">
      <text>
        <t xml:space="preserve">======
ID#AAABvh5h0GI
Anonymous    (2026-02-25 11:54:58)
Lipsa OD! De clarificat
------
ID#AAAB1fT7ZqE
Tamás Szente | VELTOL    (2026-03-09 13:01:48)
Clarificat</t>
      </text>
    </comment>
    <comment authorId="0" ref="I200">
      <text>
        <t xml:space="preserve">======
ID#AAABpCxUbMY
Alpár Papp | VELTOL    (2025-08-08 08:35:47)
Teodor Baltat, Ocna Mures</t>
      </text>
    </comment>
    <comment authorId="0" ref="L266">
      <text>
        <t xml:space="preserve">======
ID#AAABoJa1bxA
Robert Kendi | VELTOL    (2025-09-08 13:06:12)
Szasz Tibor</t>
      </text>
    </comment>
    <comment authorId="0" ref="J200">
      <text>
        <t xml:space="preserve">======
ID#AAABpQusub0
Robert Kendi | VELTOL    (2025-08-12 14:07:39)
Sukosd Sandor Parohia CJ Fisesu Gherlii</t>
      </text>
    </comment>
    <comment authorId="0" ref="L200">
      <text>
        <t xml:space="preserve">======
ID#AAABpUSBk8M
Vlad Ciubuca | VELTOL    (2025-08-14 09:30:48)
Paclisa</t>
      </text>
    </comment>
    <comment authorId="0" ref="Q266">
      <text>
        <t xml:space="preserve">======
ID#AAABrO3sAUc
Béla Pál Szász | VELTOL    (2025-09-17 06:57:21)
Stanciu Nicolae, Cojocna, CJ</t>
      </text>
    </comment>
    <comment authorId="0" ref="P200">
      <text>
        <t xml:space="preserve">======
ID#AAABq4APRzQ
Robert Kendi | VELTOL    (2025-09-08 12:38:09)
Lapohos Attila BN</t>
      </text>
    </comment>
    <comment authorId="0" ref="T200">
      <text>
        <t xml:space="preserve">======
ID#AAABpscWqP0
Nagy Pal Ors | VELTOL    (2025-08-22 04:28:58)
Popovici - Medias</t>
      </text>
    </comment>
    <comment authorId="0" ref="W200">
      <text>
        <t xml:space="preserve">======
ID#AAABqsn9xpY
Robert Kendi | VELTOL    (2025-09-08 12:31:41)
Delegatie SM Stef</t>
      </text>
    </comment>
    <comment authorId="0" ref="X200">
      <text>
        <t xml:space="preserve">======
ID#AAABq4APRzE
Robert Kendi | VELTOL    (2025-09-08 12:32:15)
Delegatie Cristea Nicolae SM</t>
      </text>
    </comment>
    <comment authorId="0" ref="Y200">
      <text>
        <t xml:space="preserve">======
ID#AAABpz__71E
Béla Pál Szász | VELTOL    (2025-08-26 07:56:14)
Kelemen Alpár, Santionluca, CV</t>
      </text>
    </comment>
    <comment authorId="0" ref="AE266">
      <text>
        <t xml:space="preserve">======
ID#AAABsaPpmmk
Robert Kendi | VELTOL    (2025-10-13 08:26:42)
szekely Istvan Gherla</t>
      </text>
    </comment>
    <comment authorId="0" ref="B201">
      <text>
        <t xml:space="preserve">======
ID#AAABoxX4P_U
Alpár Papp | VELTOL    (2025-08-04 13:23:32)
Craciun, Sebes</t>
      </text>
    </comment>
    <comment authorId="0" ref="C201">
      <text>
        <t xml:space="preserve">======
ID#AAABpQusubU
Robert Kendi | VELTOL    (2025-08-12 13:59:44)
Pop Cornelia BN,</t>
      </text>
    </comment>
    <comment authorId="0" ref="D201">
      <text>
        <t xml:space="preserve">======
ID#AAABo-_PuOk
Robert Kendi | VELTOL    (2025-08-07 06:57:39)
Nechita - Póka</t>
      </text>
    </comment>
    <comment authorId="0" ref="E201">
      <text>
        <t xml:space="preserve">======
ID#AAABpCxUbMQ
Alpár Papp | VELTOL    (2025-08-08 08:33:52)
Fogarasi, Brasov</t>
      </text>
    </comment>
    <comment authorId="0" ref="R597">
      <text>
        <t xml:space="preserve">======
ID#AAAB6lBGk9w
Nagy Pal Ors | VELTOL    (2026-05-18 06:57:18)
Avicola Focsani</t>
      </text>
    </comment>
    <comment authorId="0" ref="I201">
      <text>
        <t xml:space="preserve">======
ID#AAABpCxUbMc
Alpár Papp | VELTOL    (2025-08-08 08:35:50)
Teodor Baltat, Ocna Mures</t>
      </text>
    </comment>
    <comment authorId="0" ref="J201">
      <text>
        <t xml:space="preserve">======
ID#AAABpQusub4
Robert Kendi | VELTOL    (2025-08-12 14:07:43)
Sukosd Sandor Parohia CJ Fisesu Gherlii</t>
      </text>
    </comment>
    <comment authorId="0" ref="AA597">
      <text>
        <t xml:space="preserve">======
ID#AAAB8eRGpQ0
Nagy Pal Ors | VELTOL    (2026-05-25 08:14:15)
Avicola Focsani</t>
      </text>
    </comment>
    <comment authorId="0" ref="P201">
      <text>
        <t xml:space="preserve">======
ID#AAABq4APRzU
Robert Kendi | VELTOL    (2025-09-08 12:38:12)
Lapohos Attila BN</t>
      </text>
    </comment>
    <comment authorId="0" ref="T201">
      <text>
        <t xml:space="preserve">======
ID#AAABpscWqP4
Nagy Pal Ors | VELTOL    (2025-08-22 04:29:10)
Popovici - Medias</t>
      </text>
    </comment>
    <comment authorId="0" ref="W201">
      <text>
        <t xml:space="preserve">======
ID#AAABqsn9xpc
Robert Kendi | VELTOL    (2025-09-08 12:31:46)
Delegatie SM Stef</t>
      </text>
    </comment>
    <comment authorId="0" ref="X201">
      <text>
        <t xml:space="preserve">======
ID#AAABq4APRzI
Robert Kendi | VELTOL    (2025-09-08 12:32:24)
Delegatie Cristea Nicolae SM</t>
      </text>
    </comment>
    <comment authorId="0" ref="Y201">
      <text>
        <t xml:space="preserve">======
ID#AAABpz__71I
Béla Pál Szász | VELTOL    (2025-08-26 07:56:27)
Kelemen Alpár, Santionluca, CV</t>
      </text>
    </comment>
    <comment authorId="0" ref="C400">
      <text>
        <t xml:space="preserve">======
ID#AAABynZKJEQ
Alpár Papp | VELTOL    (2026-01-15 12:50:38)
GCIT Saftica</t>
      </text>
    </comment>
    <comment authorId="0" ref="B202">
      <text>
        <t xml:space="preserve">======
ID#AAABoxX4P_Y
Alpár Papp | VELTOL    (2025-08-04 13:23:37)
Craciun, Sebes</t>
      </text>
    </comment>
    <comment authorId="0" ref="C202">
      <text>
        <t xml:space="preserve">======
ID#AAABpQusubY
Robert Kendi | VELTOL    (2025-08-12 13:59:48)
Pop Cornelia BN</t>
      </text>
    </comment>
    <comment authorId="0" ref="D202">
      <text>
        <t xml:space="preserve">======
ID#AAABo-_PuOo
Robert Kendi | VELTOL    (2025-08-07 06:57:43)
Nechita - Póka</t>
      </text>
    </comment>
    <comment authorId="0" ref="K400">
      <text>
        <t xml:space="preserve">======
ID#AAABzANmz7k
Alpár Papp | VELTOL    (2026-01-23 10:30:11)
GCIT Saftica</t>
      </text>
    </comment>
    <comment authorId="0" ref="E202">
      <text>
        <t xml:space="preserve">======
ID#AAABpCxUbMU
Alpár Papp | VELTOL    (2025-08-08 08:33:55)
Fogarasi, Brasov</t>
      </text>
    </comment>
    <comment authorId="0" ref="I202">
      <text>
        <t xml:space="preserve">======
ID#AAABpCxUbMg
Alpár Papp | VELTOL    (2025-08-08 08:35:56)
Teodor Baltat, Ocna Mures</t>
      </text>
    </comment>
    <comment authorId="0" ref="P400">
      <text>
        <t xml:space="preserve">======
ID#AAABzANmz7o
Alpár Papp | VELTOL    (2026-01-23 10:31:35)
GCIT Saftica</t>
      </text>
    </comment>
    <comment authorId="0" ref="J202">
      <text>
        <t xml:space="preserve">======
ID#AAABpQusub8
Robert Kendi | VELTOL    (2025-08-12 14:07:47)
Sukosd Sandor Parohia CJ Fisesu Gherlii</t>
      </text>
    </comment>
    <comment authorId="0" ref="L202">
      <text>
        <t xml:space="preserve">======
ID#AAABpUSBk8Q
Vlad Ciubuca | VELTOL    (2025-08-14 09:30:54)
Paclisa</t>
      </text>
    </comment>
    <comment authorId="0" ref="P202">
      <text>
        <t xml:space="preserve">======
ID#AAABq4APRzY
Robert Kendi | VELTOL    (2025-09-08 12:38:17)
Lapohos Attila BN</t>
      </text>
    </comment>
    <comment authorId="0" ref="T202">
      <text>
        <t xml:space="preserve">======
ID#AAABpscWqP8
Nagy Pal Ors | VELTOL    (2025-08-22 04:29:26)
Popovici - Medias</t>
      </text>
    </comment>
    <comment authorId="0" ref="W202">
      <text>
        <t xml:space="preserve">======
ID#AAABqsn9xpg
Robert Kendi | VELTOL    (2025-09-08 12:31:51)
Delegatie SM Stef</t>
      </text>
    </comment>
    <comment authorId="0" ref="X202">
      <text>
        <t xml:space="preserve">======
ID#AAABq4APRzM
Robert Kendi | VELTOL    (2025-09-08 12:32:53)
Delegatie Cristea Nicolae SM</t>
      </text>
    </comment>
    <comment authorId="0" ref="Y202">
      <text>
        <t xml:space="preserve">======
ID#AAABp1Asruo
Béla Pál Szász | VELTOL    (2025-08-26 07:56:33)
Kelemen Alpár, Santionluca, CV</t>
      </text>
    </comment>
    <comment authorId="0" ref="T203">
      <text>
        <t xml:space="preserve">======
ID#AAABpscWqQA
Nagy Pal Ors | VELTOL    (2025-08-22 04:29:37)
Popovici -Medias</t>
      </text>
    </comment>
    <comment authorId="0" ref="B204">
      <text>
        <t xml:space="preserve">======
ID#AAABo0R__EU
Nagy Pal Ors | VELTOL    (2025-08-06 05:18:26)
Orsova</t>
      </text>
    </comment>
    <comment authorId="0" ref="D138">
      <text>
        <t xml:space="preserve">======
ID#AAABlt8KdMM
Béla Pál Szász | VELTOL    (2025-06-16 10:31:10)
Romgaz - Medias</t>
      </text>
    </comment>
    <comment authorId="0" ref="K138">
      <text>
        <t xml:space="preserve">======
ID#AAABlkWtB2M
Nagy Pal Ors | VELTOL    (2025-06-11 08:38:32)
Liviu Macavei, Turda</t>
      </text>
    </comment>
    <comment authorId="0" ref="P138">
      <text>
        <t xml:space="preserve">======
ID#AAABmtnTfBI
Bela Pal Szasz    (2025-06-27 06:25:01)
Aruncutean, Budesti, BN</t>
      </text>
    </comment>
    <comment authorId="0" ref="R138">
      <text>
        <t xml:space="preserve">======
ID#AAABmtnTfBU
Bela Pal Szasz    (2025-06-27 06:26:46)
Ceusean, Sarmasel Gara, MS</t>
      </text>
    </comment>
    <comment authorId="0" ref="S138">
      <text>
        <t xml:space="preserve">======
ID#AAABmNldgzk
Vlad Ciubuca | VELTOL    (2025-06-19 11:30:21)
Bogdan Ciprian Mardare</t>
      </text>
    </comment>
    <comment authorId="0" ref="W204">
      <text>
        <t xml:space="preserve">======
ID#AAABpyX-jKI
Vlad Ciubuca | VELTOL    (2025-08-25 08:05:25)
Paclisa</t>
      </text>
    </comment>
    <comment authorId="0" ref="X204">
      <text>
        <t xml:space="preserve">======
ID#AAABoCAY8iQ
Vlad Ciubuca | VELTOL    (2025-08-27 05:21:02)
Paclisa</t>
      </text>
    </comment>
    <comment authorId="0" ref="B469">
      <text>
        <t xml:space="preserve">======
ID#AAAB0EfJzks
Vlad Ciubuca | VELTOL    (2026-02-10 09:26:20)
Lykos</t>
      </text>
    </comment>
    <comment authorId="0" ref="Y204">
      <text>
        <t xml:space="preserve">======
ID#AAABqbVEWr0
Vlad Ciubuca | VELTOL    (2025-08-31 19:09:33)
Paclisa</t>
      </text>
    </comment>
    <comment authorId="0" ref="Z204">
      <text>
        <t xml:space="preserve">======
ID#AAABqbVEWr8
Vlad Ciubuca | VELTOL    (2025-08-31 19:09:39)
Paclisa</t>
      </text>
    </comment>
    <comment authorId="0" ref="AA204">
      <text>
        <t xml:space="preserve">======
ID#AAABqbVEWsE
Vlad Ciubuca | VELTOL    (2025-08-31 19:09:53)
Paclisa</t>
      </text>
    </comment>
    <comment authorId="0" ref="B271">
      <text>
        <t xml:space="preserve">======
ID#AAABsaPpmmw
Robert Kendi | VELTOL    (2025-10-13 08:29:43)
Delegatie Vrancea</t>
      </text>
    </comment>
    <comment authorId="0" ref="C271">
      <text>
        <t xml:space="preserve">======
ID#AAABsaMAPvI
Béla Pál Szász | VELTOL    (2025-10-13 04:40:51)
Petrovici, Gherla, CJ</t>
      </text>
    </comment>
    <comment authorId="0" ref="B205">
      <text>
        <t xml:space="preserve">======
ID#AAABo0SAJ38
Nagy Pal Ors | VELTOL    (2025-08-06 05:18:34)
Orsova</t>
      </text>
    </comment>
    <comment authorId="0" ref="E271">
      <text>
        <t xml:space="preserve">======
ID#AAABsaPpZEw
Béla Pál Szász | VELTOL    (2025-10-13 04:46:41)
Zolog Mircea, Ludus</t>
      </text>
    </comment>
    <comment authorId="0" ref="D139">
      <text>
        <t xml:space="preserve">======
ID#AAABlt8KdMQ
Béla Pál Szász | VELTOL    (2025-06-16 10:31:14)
Romgaz - Medias</t>
      </text>
    </comment>
    <comment authorId="0" ref="P469">
      <text>
        <t xml:space="preserve">======
ID#AAABvh5h0GM
Anonymous    (2026-02-25 11:55:03)
Lipsa OD! De clarificat
------
ID#AAAB1fT7ZqI
Tamás Szente | VELTOL    (2026-03-09 13:01:52)
Clarificat</t>
      </text>
    </comment>
    <comment authorId="0" ref="K139">
      <text>
        <t xml:space="preserve">======
ID#AAABlkWtB2Q
Nagy Pal Ors | VELTOL    (2025-06-11 08:38:37)
Liviu Macavei, Turda</t>
      </text>
    </comment>
    <comment authorId="0" ref="P139">
      <text>
        <t xml:space="preserve">======
ID#AAABmtnTfBM
Bela Pal Szasz    (2025-06-27 06:25:10)
Aruncutean, Budesti, BN</t>
      </text>
    </comment>
    <comment authorId="0" ref="R139">
      <text>
        <t xml:space="preserve">======
ID#AAABmtnTfBY
Bela Pal Szasz    (2025-06-27 06:26:51)
Ceusean, Sarmasel Gara, MS</t>
      </text>
    </comment>
    <comment authorId="0" ref="P73">
      <text>
        <t xml:space="preserve">======
ID#AAABjSm-wHk
Anonymous    (2025-05-12 12:19:49)
oaida Sofia SB</t>
      </text>
    </comment>
    <comment authorId="0" ref="S139">
      <text>
        <t xml:space="preserve">======
ID#AAABmNldgzo
Vlad Ciubuca | VELTOL    (2025-06-19 11:30:25)
Bogdan Ciprian Mardare</t>
      </text>
    </comment>
    <comment authorId="0" ref="Q73">
      <text>
        <t xml:space="preserve">======
ID#AAABjaI2wKk
Anonymous    (2025-05-16 06:34:35)
SZabo Reka Magyarlapad</t>
      </text>
    </comment>
    <comment authorId="0" ref="R73">
      <text>
        <t xml:space="preserve">======
ID#AAABjn8VFIY
Vlad Ciubuca | VELTOL    (2025-05-14 14:53:37)
Haiduc Iacob Ocna Mures</t>
      </text>
    </comment>
    <comment authorId="0" ref="W205">
      <text>
        <t xml:space="preserve">======
ID#AAABpyX-jKM
Vlad Ciubuca | VELTOL    (2025-08-25 08:05:29)
Paclisa</t>
      </text>
    </comment>
    <comment authorId="0" ref="S73">
      <text>
        <t xml:space="preserve">======
ID#AAABjp9MJn0
Béla Pál Szász | VELTOL    (2025-05-15 07:23:36)
Miess Walter - Hartman BV</t>
      </text>
    </comment>
    <comment authorId="0" ref="Q7">
      <text>
        <t xml:space="preserve">======
ID#AAABgBgvNVg
Nagy Pal Ors | VELTOL    (2025-03-19 04:32:54)
Racord Duma + terminat la Samoila</t>
      </text>
    </comment>
    <comment authorId="0" ref="X205">
      <text>
        <t xml:space="preserve">======
ID#AAABoCAY8iU
Vlad Ciubuca | VELTOL    (2025-08-27 05:21:07)
Paclisa</t>
      </text>
    </comment>
    <comment authorId="0" ref="B470">
      <text>
        <t xml:space="preserve">======
ID#AAAB0EfJzkw
Vlad Ciubuca | VELTOL    (2026-02-10 09:26:25)
Lykos</t>
      </text>
    </comment>
    <comment authorId="0" ref="Y205">
      <text>
        <t xml:space="preserve">======
ID#AAABqbVEWr4
Vlad Ciubuca | VELTOL    (2025-08-31 19:09:36)
Paclisa</t>
      </text>
    </comment>
    <comment authorId="0" ref="Z205">
      <text>
        <t xml:space="preserve">======
ID#AAABqbVEWsA
Vlad Ciubuca | VELTOL    (2025-08-31 19:09:45)
Paclisa</t>
      </text>
    </comment>
    <comment authorId="0" ref="AA205">
      <text>
        <t xml:space="preserve">======
ID#AAABqbVEWsI
Vlad Ciubuca | VELTOL    (2025-08-31 19:09:56)
Paclisa</t>
      </text>
    </comment>
    <comment authorId="0" ref="W73">
      <text>
        <t xml:space="preserve">======
ID#AAABj53ZJfs
Alpár Papp | VELTOL    (2025-05-20 06:19:23)
Purcaru Ciugud + Sfetcu 2 ore</t>
      </text>
    </comment>
    <comment authorId="0" ref="X73">
      <text>
        <t xml:space="preserve">======
ID#AAABj53ZJfk
Nagy Pal Ors | VELTOL    (2025-05-20 05:35:49)
Gilyen - Alba</t>
      </text>
    </comment>
    <comment authorId="0" ref="B272">
      <text>
        <t xml:space="preserve">======
ID#AAABsaPpmm0
Robert Kendi | VELTOL    (2025-10-13 08:29:48)
Delegatie Vrancea</t>
      </text>
    </comment>
    <comment authorId="0" ref="AA73">
      <text>
        <t xml:space="preserve">======
ID#AAABkAhJeWE
Robert Kendi | VELTOL    (2025-05-23 12:10:38)
ore suplimentare - terminare lucrare 20 kW - Red Discount</t>
      </text>
    </comment>
    <comment authorId="0" ref="C272">
      <text>
        <t xml:space="preserve">======
ID#AAABsaMAPvM
Béla Pál Szász | VELTOL    (2025-10-13 04:40:57)
Petrovici, Gherla, CJ</t>
      </text>
    </comment>
    <comment authorId="0" ref="Z7">
      <text>
        <t xml:space="preserve">======
ID#AAABhO4rbRA
Béla Pál Szász | VELTOL    (2025-03-27 05:20:59)
Sistem Victron</t>
      </text>
    </comment>
    <comment authorId="0" ref="E272">
      <text>
        <t xml:space="preserve">======
ID#AAABsaPpZE0
Béla Pál Szász | VELTOL    (2025-10-13 04:46:46)
Zolog Mircea, Ludus</t>
      </text>
    </comment>
    <comment authorId="0" ref="AE73">
      <text>
        <t xml:space="preserve">======
ID#AAABkQC3avw
Vlad Ciubuca    (2025-05-27 20:08:58)
Budai Elisabeta</t>
      </text>
    </comment>
    <comment authorId="0" ref="D140">
      <text>
        <t xml:space="preserve">======
ID#AAABlt8KdMU
Béla Pál Szász | VELTOL    (2025-06-16 10:31:17)
Romgaz - Medias</t>
      </text>
    </comment>
    <comment authorId="0" ref="AG73">
      <text>
        <t xml:space="preserve">======
ID#AAABlkWtBz4
Béla Pál Szász | VELTOL    (2025-06-11 05:19:42)
Biro Imre - Feliceni, HR</t>
      </text>
    </comment>
    <comment authorId="0" ref="P470">
      <text>
        <t xml:space="preserve">======
ID#AAABvh5h0GQ
Anonymous    (2026-02-25 11:55:06)
Lipsa OD! De clarificat
------
ID#AAAB1fT7ZqM
Tamás Szente | VELTOL    (2026-03-09 13:01:58)
Clarificat</t>
      </text>
    </comment>
    <comment authorId="0" ref="K140">
      <text>
        <t xml:space="preserve">======
ID#AAABlkWtB2U
Nagy Pal Ors | VELTOL    (2025-06-11 08:38:41)
Liviu Macavei, Turda</t>
      </text>
    </comment>
    <comment authorId="0" ref="P140">
      <text>
        <t xml:space="preserve">======
ID#AAABmtnTfBQ
Bela Pal Szasz    (2025-06-27 06:25:14)
Aruncutean, Budesti, BN</t>
      </text>
    </comment>
    <comment authorId="0" ref="R140">
      <text>
        <t xml:space="preserve">======
ID#AAABmtnTfBc
Bela Pal Szasz    (2025-06-27 06:26:55)
Ceusean, Sarmasel Gara, MS</t>
      </text>
    </comment>
    <comment authorId="0" ref="P74">
      <text>
        <t xml:space="preserve">======
ID#AAABjSm-wHo
Anonymous    (2025-05-12 12:19:55)
oaida Sofia SB</t>
      </text>
    </comment>
    <comment authorId="0" ref="S140">
      <text>
        <t xml:space="preserve">======
ID#AAABmNldgzs
Vlad Ciubuca | VELTOL    (2025-06-19 11:30:28)
Bogdan Ciprian Mardare</t>
      </text>
    </comment>
    <comment authorId="0" ref="Q74">
      <text>
        <t xml:space="preserve">======
ID#AAABjaI2wKo
Anonymous    (2025-05-16 06:34:41)
SZabo Reka Magyarlapad</t>
      </text>
    </comment>
    <comment authorId="0" ref="R74">
      <text>
        <t xml:space="preserve">======
ID#AAABjn8VFIc
Vlad Ciubuca | VELTOL    (2025-05-14 14:53:43)
Haiduc Iacob Ocna Mures</t>
      </text>
    </comment>
    <comment authorId="0" ref="S74">
      <text>
        <t xml:space="preserve">======
ID#AAABjp9MJn4
Béla Pál Szász | VELTOL    (2025-05-15 07:23:45)
Miess Walter - Hartman BV</t>
      </text>
    </comment>
    <comment authorId="0" ref="D471">
      <text>
        <t xml:space="preserve">======
ID#AAAB0EfJzk0
Anonymous    (2026-02-10 09:26:26)
CGC AGRIA</t>
      </text>
    </comment>
    <comment authorId="0" ref="W74">
      <text>
        <t xml:space="preserve">======
ID#AAABj53ZJfw
Alpár Papp | VELTOL    (2025-05-20 06:19:27)
Purcaru Ciugud + Sfetcu 2 ore</t>
      </text>
    </comment>
    <comment authorId="0" ref="X74">
      <text>
        <t xml:space="preserve">======
ID#AAABj53ZJfo
Nagy Pal Ors | VELTOL    (2025-05-20 05:35:54)
Gilyen - Alba</t>
      </text>
    </comment>
    <comment authorId="0" ref="B273">
      <text>
        <t xml:space="preserve">======
ID#AAABpNCdz8Y
Béla Pál Szász | VELTOL    (2025-10-06 06:13:31)
2 tablouri DC - sambata</t>
      </text>
    </comment>
    <comment authorId="0" ref="AA74">
      <text>
        <t xml:space="preserve">======
ID#AAABkAhJeWI
Robert Kendi | VELTOL    (2025-05-23 12:10:43)
ore suplimentare - terminare lucrare 20 kW - Red Discount</t>
      </text>
    </comment>
    <comment authorId="0" ref="Z8">
      <text>
        <t xml:space="preserve">======
ID#AAABhO4rbRE
Béla Pál Szász | VELTOL    (2025-03-27 05:21:05)
Sistem Victron</t>
      </text>
    </comment>
    <comment authorId="0" ref="AE74">
      <text>
        <t xml:space="preserve">======
ID#AAABkQC3av0
Vlad Ciubuca    (2025-05-27 20:09:02)
Budai Elisabeta</t>
      </text>
    </comment>
    <comment authorId="0" ref="AG74">
      <text>
        <t xml:space="preserve">======
ID#AAABlkWtBz8
Béla Pál Szász | VELTOL    (2025-06-11 05:19:46)
Biro Imre - Feliceni, HR</t>
      </text>
    </comment>
    <comment authorId="0" ref="P405">
      <text>
        <t xml:space="preserve">======
ID#AAAB0EfQPQw
Robert Kendi | VELTOL    (2026-02-10 09:40:33)
Satu Mare - Bihor</t>
      </text>
    </comment>
    <comment authorId="0" ref="I75">
      <text>
        <t xml:space="preserve">======
ID#AAABjaI2wM0
Vlad Ciubuca | VELTOL    (2025-05-16 12:24:42)
Chis Cluj</t>
      </text>
    </comment>
    <comment authorId="0" ref="J75">
      <text>
        <t xml:space="preserve">======
ID#AAABi5T8CVY
Anonymous    (2025-05-07 07:40:59)
Droc Mihaela - Fagaras</t>
      </text>
    </comment>
    <comment authorId="0" ref="P75">
      <text>
        <t xml:space="preserve">======
ID#AAABjSVDo2U
Nagy Pal Ors | VELTOL    (2025-05-12 09:54:31)
Dinu Marcel Luca - Cj</t>
      </text>
    </comment>
    <comment authorId="0" ref="R75">
      <text>
        <t xml:space="preserve">======
ID#AAABjaI2wM4
Nagy Pal Ors | VELTOL    (2025-05-16 12:25:36)
Kovacs Tunde - Turia</t>
      </text>
    </comment>
    <comment authorId="0" ref="S75">
      <text>
        <t xml:space="preserve">======
ID#AAABjp9MJng
Vlad Ciubuca | VELTOL    (2025-05-15 07:13:19)
Nache Steluta Maioresti</t>
      </text>
    </comment>
    <comment authorId="0" ref="D472">
      <text>
        <t xml:space="preserve">======
ID#AAAB0EfJzk4
Vlad Ciubuca | VELTOL    (2026-02-10 09:26:31)
Lykos</t>
      </text>
    </comment>
    <comment authorId="0" ref="W75">
      <text>
        <t xml:space="preserve">======
ID#AAABj7FSBrU
Anonymous    (2025-05-20 11:28:31)
Delegatie Satu Mare - 3 lucrari/zi</t>
      </text>
    </comment>
    <comment authorId="0" ref="X75">
      <text>
        <t xml:space="preserve">======
ID#AAABj9nvWvI
Robert Kendi | VELTOL    (2025-05-21 12:48:55)
Delegatie SM</t>
      </text>
    </comment>
    <comment authorId="0" ref="Y75">
      <text>
        <t xml:space="preserve">======
ID#AAABj9nvWvk
Robert Kendi | VELTOL    (2025-05-21 12:49:59)
Delegatie SM</t>
      </text>
    </comment>
    <comment authorId="0" ref="Z75">
      <text>
        <t xml:space="preserve">======
ID#AAABkAhJeV8
Robert Kendi | VELTOL    (2025-05-23 12:09:25)
Delegatie SM</t>
      </text>
    </comment>
    <comment authorId="0" ref="X9">
      <text>
        <t xml:space="preserve">======
ID#AAABgFFlDwk
Alpár Papp | VELTOL    (2025-03-25 14:15:54)
Magor, Daroczi</t>
      </text>
    </comment>
    <comment authorId="0" ref="AD75">
      <text>
        <t xml:space="preserve">======
ID#AAABkOHJKBI
Robert Kendi | VELTOL    (2025-05-27 05:58:42)
Varro Zsolt HR</t>
      </text>
    </comment>
    <comment authorId="0" ref="AG75">
      <text>
        <t xml:space="preserve">======
ID#AAABlkWtB0A
Béla Pál Szász | VELTOL    (2025-06-11 05:19:50)
Biro Imre - Feliceni, HR</t>
      </text>
    </comment>
    <comment authorId="0" ref="I274">
      <text>
        <t xml:space="preserve">======
ID#AAABsc5rZUY
Vlad Ciubuca | VELTOL    (2025-10-14 08:13:09)
Paclisa</t>
      </text>
    </comment>
    <comment authorId="0" ref="Q472">
      <text>
        <t xml:space="preserve">======
ID#AAAB0fycHFA
Vlad Ciubuca | VELTOL    (2026-02-19 06:19:28)
Henkel</t>
      </text>
    </comment>
    <comment authorId="0" ref="R472">
      <text>
        <t xml:space="preserve">======
ID#AAAB0fycHFE
Vlad Ciubuca | VELTOL    (2026-02-19 06:19:34)
Henkel</t>
      </text>
    </comment>
    <comment authorId="0" ref="P406">
      <text>
        <t xml:space="preserve">======
ID#AAAB0EfQPQ0
Robert Kendi | VELTOL    (2026-02-10 09:40:38)
Satu Mare - Bihor</t>
      </text>
    </comment>
    <comment authorId="0" ref="L274">
      <text>
        <t xml:space="preserve">======
ID#AAABtDZ-Q3c
Vlad Ciubuca | VELTOL    (2025-10-21 06:14:05)
8:17-15:48</t>
      </text>
    </comment>
    <comment authorId="0" ref="I76">
      <text>
        <t xml:space="preserve">======
ID#AAABjaI2wMw
Vlad Ciubuca | VELTOL    (2025-05-16 12:24:29)
Chis Cluj</t>
      </text>
    </comment>
    <comment authorId="0" ref="P274">
      <text>
        <t xml:space="preserve">======
ID#AAABtDZ-Q3U
Vlad Ciubuca | VELTOL    (2025-10-21 06:11:53)
Zalau</t>
      </text>
    </comment>
    <comment authorId="0" ref="J76">
      <text>
        <t xml:space="preserve">======
ID#AAABi5T8CVc
Anonymous    (2025-05-07 07:41:07)
Droc Mihaela - Fagaras</t>
      </text>
    </comment>
    <comment authorId="0" ref="P76">
      <text>
        <t xml:space="preserve">======
ID#AAABjSVDo2Y
Nagy Pal Ors | VELTOL    (2025-05-12 09:54:36)
Dinu Marcel Luca - Cj</t>
      </text>
    </comment>
    <comment authorId="0" ref="C605">
      <text>
        <t xml:space="preserve">======
ID#AAAB9k2LSpA
Farczadi Janos | VELTOL    (2026-06-15 11:29:34)
LASZLO LEVENTE</t>
      </text>
    </comment>
    <comment authorId="0" ref="R76">
      <text>
        <t xml:space="preserve">======
ID#AAABjaI2wM8
Nagy Pal Ors | VELTOL    (2025-05-16 12:25:56)
Kovacs Tunde - Turia</t>
      </text>
    </comment>
    <comment authorId="0" ref="S76">
      <text>
        <t xml:space="preserve">======
ID#AAABjp9MJnk
Vlad Ciubuca | VELTOL    (2025-05-15 07:13:24)
Nache Steluta Maioresti</t>
      </text>
    </comment>
    <comment authorId="0" ref="W76">
      <text>
        <t xml:space="preserve">======
ID#AAABj7FSBrY
Anonymous    (2025-05-20 11:28:37)
Delegatie Satu Mare - 3 lucrari/zi</t>
      </text>
    </comment>
    <comment authorId="0" ref="X76">
      <text>
        <t xml:space="preserve">======
ID#AAABj9nvWvM
Robert Kendi | VELTOL    (2025-05-21 12:49:00)
Delegatie SM</t>
      </text>
    </comment>
    <comment authorId="0" ref="Y76">
      <text>
        <t xml:space="preserve">======
ID#AAABj9nvWvo
Robert Kendi | VELTOL    (2025-05-21 12:50:03)
Delegatie SM</t>
      </text>
    </comment>
    <comment authorId="0" ref="Z76">
      <text>
        <t xml:space="preserve">======
ID#AAABkAhJeWA
Robert Kendi | VELTOL    (2025-05-23 12:09:35)
Delegatie SM</t>
      </text>
    </comment>
    <comment authorId="0" ref="Z10">
      <text>
        <t xml:space="preserve">======
ID#AAABhL6k5mk
Alpár Papp | VELTOL    (2025-03-26 10:29:47)
Lucrare extra Salaj (V. Tamas)
------
ID#AAABhO4rbRI
Béla Pál Szász | VELTOL    (2025-03-27 05:23:42)
+ diurna</t>
      </text>
    </comment>
    <comment authorId="0" ref="AD76">
      <text>
        <t xml:space="preserve">======
ID#AAABkOHJKBM
Robert Kendi | VELTOL    (2025-05-27 05:58:50)
Varro Zsolt HR</t>
      </text>
    </comment>
    <comment authorId="0" ref="L275">
      <text>
        <t xml:space="preserve">======
ID#AAABtDZ-Q3g
Vlad Ciubuca | VELTOL    (2025-10-21 06:14:13)
8:17-15:48</t>
      </text>
    </comment>
    <comment authorId="0" ref="P275">
      <text>
        <t xml:space="preserve">======
ID#AAABtDZ-Q3Y
Vlad Ciubuca | VELTOL    (2025-10-21 06:11:56)
Zalau</t>
      </text>
    </comment>
    <comment authorId="0" ref="J77">
      <text>
        <t xml:space="preserve">======
ID#AAABjaI2wMY
Vlad Ciubuca | VELTOL    (2025-05-16 12:05:24)
Top Favorit</t>
      </text>
    </comment>
    <comment authorId="0" ref="M77">
      <text>
        <t xml:space="preserve">======
ID#AAABjSm-wHU
Anonymous    (2025-05-12 12:09:33)
Fulop Miklos Cristuru secuiesc secuiesc</t>
      </text>
    </comment>
    <comment authorId="0" ref="Q77">
      <text>
        <t xml:space="preserve">======
ID#AAABjlRNLh4
Béla Pál Szász | VELTOL    (2025-05-13 07:11:05)
Osvath Sandor, Vărșag</t>
      </text>
    </comment>
    <comment authorId="0" ref="R77">
      <text>
        <t xml:space="preserve">======
ID#AAABjpNAvDs
Béla Pál Szász | VELTOL    (2025-05-15 05:24:24)
Berkeczi - Varsag HR</t>
      </text>
    </comment>
    <comment authorId="0" ref="S77">
      <text>
        <t xml:space="preserve">======
ID#AAABjqI_GAo
Anonymous    (2025-05-15 13:55:19)
Marton Szovata</t>
      </text>
    </comment>
    <comment authorId="0" ref="B342">
      <text>
        <t xml:space="preserve">======
ID#AAABurmus54
Robert Kendi | VELTOL    (2025-11-04 14:30:16)
Delegatie SM + BH</t>
      </text>
    </comment>
    <comment authorId="0" ref="AD77">
      <text>
        <t xml:space="preserve">======
ID#AAABkQbL-Ms
Nagy Pal Ors | VELTOL    (2025-05-27 12:31:14)
Delegatie Gherla</t>
      </text>
    </comment>
    <comment authorId="0" ref="AE77">
      <text>
        <t xml:space="preserve">======
ID#AAABkQbL-NE
Nagy Pal Ors | VELTOL    (2025-05-27 12:32:34)
Delegatie Gherla</t>
      </text>
    </comment>
    <comment authorId="0" ref="AF77">
      <text>
        <t xml:space="preserve">======
ID#AAABh3CAb9c
Nagy Pal Ors | VELTOL    (2025-05-30 06:17:46)
Delegatie Gherla</t>
      </text>
    </comment>
    <comment authorId="0" ref="AG77">
      <text>
        <t xml:space="preserve">======
ID#AAABh3CAb9o
Nagy Pal Ors | VELTOL    (2025-05-30 06:18:10)
Delegatie Gherla 6 sisteme</t>
      </text>
    </comment>
    <comment authorId="0" ref="J78">
      <text>
        <t xml:space="preserve">======
ID#AAABjaI2wMc
Vlad Ciubuca | VELTOL    (2025-05-16 12:05:28)
Top Favorit</t>
      </text>
    </comment>
    <comment authorId="0" ref="M78">
      <text>
        <t xml:space="preserve">======
ID#AAABjSm-wHY
Anonymous    (2025-05-12 12:09:39)
Fulop Miklos Cristuru secuiesc secuiesc</t>
      </text>
    </comment>
    <comment authorId="0" ref="Q78">
      <text>
        <t xml:space="preserve">======
ID#AAABjlRNLh8
Béla Pál Szász | VELTOL    (2025-05-13 07:11:10)
Osvath Sandor, Vărșag</t>
      </text>
    </comment>
    <comment authorId="0" ref="R78">
      <text>
        <t xml:space="preserve">======
ID#AAABjpNAvDw
Béla Pál Szász | VELTOL    (2025-05-15 05:24:31)
Berkeczi - Varsag HR</t>
      </text>
    </comment>
    <comment authorId="0" ref="S78">
      <text>
        <t xml:space="preserve">======
ID#AAABjqI_GAs
Anonymous    (2025-05-15 13:55:23)
Marton Szovata</t>
      </text>
    </comment>
    <comment authorId="0" ref="Q12">
      <text>
        <t xml:space="preserve">======
ID#AAABgBgvNVY
Nagy Pal Ors | VELTOL    (2025-03-19 04:30:50)
Henter L, Sita, Zsombi
------
ID#AAABgBgvNVc
Nagy Pal Ors | VELTOL    (2025-03-19 04:32:15)
Racord la Zabolotni</t>
      </text>
    </comment>
    <comment authorId="0" ref="U12">
      <text>
        <t xml:space="preserve">======
ID#AAABgENdnng
Nagy Pal Ors | VELTOL    (2025-03-24 08:53:07)
Aquaserv Liliacului</t>
      </text>
    </comment>
    <comment authorId="0" ref="AA144">
      <text>
        <t xml:space="preserve">======
ID#AAABm4v6yk0
Béla Pál Szász | VELTOL    (2025-07-02 05:17:19)
NTS intervenție</t>
      </text>
    </comment>
    <comment authorId="0" ref="W12">
      <text>
        <t xml:space="preserve">======
ID#AAABgENdnnc
Nagy Pal Ors | VELTOL    (2025-03-24 08:41:55)
Henter L, Sita, Zsombi-BV</t>
      </text>
    </comment>
    <comment authorId="0" ref="X12">
      <text>
        <t xml:space="preserve">======
ID#AAABhMO7JFc
Nagy Pal Ors | VELTOL    (2025-03-28 07:05:25)
Henter, Sita, Zsombi</t>
      </text>
    </comment>
    <comment authorId="0" ref="B277">
      <text>
        <t xml:space="preserve">======
ID#AAABpNCdz8c
Béla Pál Szász | VELTOL    (2025-10-06 06:14:11)
1 tablou DC - sambata</t>
      </text>
    </comment>
    <comment authorId="0" ref="Y12">
      <text>
        <t xml:space="preserve">======
ID#AAABhMO7JFg
Nagy Pal Ors | VELTOL    (2025-03-28 07:05:42)
Henter, Szita, Zsombi</t>
      </text>
    </comment>
    <comment authorId="0" ref="Z12">
      <text>
        <t xml:space="preserve">======
ID#AAABhMO7JFk
Nagy Pal Ors | VELTOL    (2025-03-28 07:06:24)
Henter L, Aquaserv - Ludus</t>
      </text>
    </comment>
    <comment authorId="0" ref="AD78">
      <text>
        <t xml:space="preserve">======
ID#AAABkQbL-Mw
Nagy Pal Ors | VELTOL    (2025-05-27 12:31:20)
Delegatie Gherla</t>
      </text>
    </comment>
    <comment authorId="0" ref="AE78">
      <text>
        <t xml:space="preserve">======
ID#AAABkQbL-NI
Nagy Pal Ors | VELTOL    (2025-05-27 12:32:38)
Delegatie Gherla</t>
      </text>
    </comment>
    <comment authorId="0" ref="AF78">
      <text>
        <t xml:space="preserve">======
ID#AAABh3CAb9g
Nagy Pal Ors | VELTOL    (2025-05-30 06:17:52)
Delegatie Gherla</t>
      </text>
    </comment>
    <comment authorId="0" ref="AD12">
      <text>
        <t xml:space="preserve">======
ID#AAABhRtPdXQ
Alpár Papp | VELTOL    (2025-03-31 09:20:51)
Lorant, Zsombi, Szita</t>
      </text>
    </comment>
    <comment authorId="0" ref="AG78">
      <text>
        <t xml:space="preserve">======
ID#AAABh3CAb9s
Nagy Pal Ors | VELTOL    (2025-05-30 06:18:15)
Delegatie Gherla 6 sisteme</t>
      </text>
    </comment>
    <comment authorId="0" ref="J79">
      <text>
        <t xml:space="preserve">======
ID#AAABjaI2wMg
Vlad Ciubuca | VELTOL    (2025-05-16 12:05:32)
Top Favorit</t>
      </text>
    </comment>
    <comment authorId="0" ref="M79">
      <text>
        <t xml:space="preserve">======
ID#AAABjSm-wHc
Anonymous    (2025-05-12 12:09:44)
Fulop Miklos Cristuru secuiesc secuiesc</t>
      </text>
    </comment>
    <comment authorId="0" ref="Q79">
      <text>
        <t xml:space="preserve">======
ID#AAABjlRNLiA
Béla Pál Szász | VELTOL    (2025-05-13 07:11:17)
Osvath Sandor, Vărșag</t>
      </text>
    </comment>
    <comment authorId="0" ref="R79">
      <text>
        <t xml:space="preserve">======
ID#AAABjpNAvD0
Béla Pál Szász | VELTOL    (2025-05-15 05:24:36)
Berkeczi - Varsag HR</t>
      </text>
    </comment>
    <comment authorId="0" ref="F674">
      <text>
        <t xml:space="preserve">======
ID#AAAB_HFF14g
Nagy Pal Ors | VELTOL    (2026-07-06 04:42:27)
Retro - Focsani</t>
      </text>
    </comment>
    <comment authorId="0" ref="S79">
      <text>
        <t xml:space="preserve">======
ID#AAABjqI_GAw
Anonymous    (2025-05-15 13:55:29)
Marton Szovata</t>
      </text>
    </comment>
    <comment authorId="0" ref="Q13">
      <text>
        <t xml:space="preserve">======
ID#AAABgqNGjbc
Kendi Róbert    (2025-04-16 11:48:46)
Huni, Berci</t>
      </text>
    </comment>
    <comment authorId="0" ref="S13">
      <text>
        <t xml:space="preserve">======
ID#AAABhrRMngI
Robert Kendi | VELTOL    (2025-04-11 09:07:46)
Kriszti, Tika Bercike</t>
      </text>
    </comment>
    <comment authorId="0" ref="B278">
      <text>
        <t xml:space="preserve">======
ID#AAABpNCdz8g
Béla Pál Szász | VELTOL    (2025-10-06 06:14:18)
1 tablou DC - sambata</t>
      </text>
    </comment>
    <comment authorId="0" ref="AD79">
      <text>
        <t xml:space="preserve">======
ID#AAABkQbL-M0
Nagy Pal Ors | VELTOL    (2025-05-27 12:31:27)
Delegatie Gherla</t>
      </text>
    </comment>
    <comment authorId="0" ref="AE79">
      <text>
        <t xml:space="preserve">======
ID#AAABkQbL-NM
Nagy Pal Ors | VELTOL    (2025-05-27 12:32:43)
Delegatie Gherla</t>
      </text>
    </comment>
    <comment authorId="0" ref="AF79">
      <text>
        <t xml:space="preserve">======
ID#AAABh3CAb9k
Nagy Pal Ors | VELTOL    (2025-05-30 06:17:58)
Delegatie Gherla</t>
      </text>
    </comment>
    <comment authorId="0" ref="AG79">
      <text>
        <t xml:space="preserve">======
ID#AAABh3CAb9w
Nagy Pal Ors | VELTOL    (2025-05-30 06:18:21)
Delegatie Gherla 6 sisteme</t>
      </text>
    </comment>
    <comment authorId="0" ref="D80">
      <text>
        <t xml:space="preserve">======
ID#AAABi576Kbg
Anonymous    (2025-05-06 07:30:33)
Jakab Pal</t>
      </text>
    </comment>
    <comment authorId="0" ref="I80">
      <text>
        <t xml:space="preserve">======
ID#AAABi46F6K4
Anonymous    (2025-05-06 07:24:30)
BV - Comanelea, Comanelea, Negulici, Adam, Maghinici</t>
      </text>
    </comment>
    <comment authorId="0" ref="Q80">
      <text>
        <t xml:space="preserve">======
ID#AAABjlRNLhg
Béla Pál Szász | VELTOL    (2025-05-13 07:00:15)
Adam Adriana, BV</t>
      </text>
    </comment>
    <comment authorId="0" ref="R80">
      <text>
        <t xml:space="preserve">======
ID#AAABjjT_Efw
Alpár Papp | VELTOL    (2025-05-14 06:13:56)
Florica, Tireu Ibanesti</t>
      </text>
    </comment>
    <comment authorId="0" ref="Q14">
      <text>
        <t xml:space="preserve">======
ID#AAABgqNGjbY
Kendi Róbert    (2025-04-16 11:48:31)
Tika, Denes</t>
      </text>
    </comment>
    <comment authorId="0" ref="X80">
      <text>
        <t xml:space="preserve">======
ID#AAABj6cWF5s
Anonymous    (2025-05-20 13:32:20)
Tornai Katalin HR</t>
      </text>
    </comment>
    <comment authorId="0" ref="W14">
      <text>
        <t xml:space="preserve">Anti + Dénes + Gamci
======</t>
      </text>
    </comment>
    <comment authorId="0" ref="X14">
      <text>
        <t xml:space="preserve">======
ID#AAABgFFFELc
Alpár Papp | VELTOL    (2025-03-25 12:10:42)
Anti, Denes, Gamci</t>
      </text>
    </comment>
    <comment authorId="0" ref="Y14">
      <text>
        <t xml:space="preserve">======
ID#AAABgE_ad-8
Alpár Papp | VELTOL    (2025-03-25 12:08:48)
Anti, Denes, Gamci</t>
      </text>
    </comment>
    <comment authorId="0" ref="D279">
      <text>
        <t xml:space="preserve">======
ID#AAABsaPpmnI
Robert Kendi | VELTOL    (2025-10-13 08:31:10)
Sarcadi SM Delegatie
------
ID#AAABsaPpmnQ
Robert Kendi | VELTOL    (2025-10-13 08:35:44)
+2 ore suplimentare</t>
      </text>
    </comment>
    <comment authorId="0" ref="E279">
      <text>
        <t xml:space="preserve">======
ID#AAABsaMAPvg
Béla Pál Szász | VELTOL    (2025-10-13 04:43:53)
Manastirea Pauloaia</t>
      </text>
    </comment>
    <comment authorId="0" ref="AE80">
      <text>
        <t xml:space="preserve">======
ID#AAABkOHJKBU
Robert Kendi | VELTOL    (2025-05-27 06:02:44)
Kecseti Carei</t>
      </text>
    </comment>
    <comment authorId="0" ref="AF80">
      <text>
        <t xml:space="preserve">======
ID#AAABkOHJKBc
Robert Kendi | VELTOL    (2025-05-27 06:02:55)
Kecseti Carei</t>
      </text>
    </comment>
    <comment authorId="0" ref="AG80">
      <text>
        <t xml:space="preserve">======
ID#AAABh3CAb90
Nagy Pal Ors | VELTOL    (2025-05-30 06:21:51)
Ambrus Zsigmond CV</t>
      </text>
    </comment>
    <comment authorId="0" ref="AH80">
      <text>
        <t xml:space="preserve">======
ID#AAABkfraSQM
Alpár Papp | VELTOL    (2025-05-30 10:04:16)
Blaj Adrian Salard</t>
      </text>
    </comment>
    <comment authorId="0" ref="J279">
      <text>
        <t xml:space="preserve">======
ID#AAABsdkgZFE
Béla Pál Szász | VELTOL    (2025-10-15 05:17:53)
Nica Marius, Codlea, BV</t>
      </text>
    </comment>
    <comment authorId="0" ref="D81">
      <text>
        <t xml:space="preserve">======
ID#AAABi576Kbk
Anonymous    (2025-05-06 07:31:04)
Jakab Pal</t>
      </text>
    </comment>
    <comment authorId="0" ref="K279">
      <text>
        <t xml:space="preserve">======
ID#AAABsaPpmng
Robert Kendi | VELTOL    (2025-10-13 08:37:45)
Isfanoi HD</t>
      </text>
    </comment>
    <comment authorId="0" ref="R477">
      <text>
        <t xml:space="preserve">======
ID#AAAB1_TYezQ
Anonymous    (2026-03-18 10:10:18)
Pucioasa</t>
      </text>
    </comment>
    <comment authorId="0" ref="M279">
      <text>
        <t xml:space="preserve">======
ID#AAABtGefj5U
Béla Pál Szász | VELTOL    (2025-10-22 06:35:23)
Imre Berkeczi Velionic- Varsag, HR</t>
      </text>
    </comment>
    <comment authorId="0" ref="I81">
      <text>
        <t xml:space="preserve">======
ID#AAABi46F6K8
Anonymous    (2025-05-06 07:24:39)
BV - Comanelea, Comanelea, Negulici, Adam, Maghinici</t>
      </text>
    </comment>
    <comment authorId="0" ref="Q81">
      <text>
        <t xml:space="preserve">======
ID#AAABjlRNLhk
Béla Pál Szász | VELTOL    (2025-05-13 07:00:26)
Adam Adriana, BV</t>
      </text>
    </comment>
    <comment authorId="0" ref="C610">
      <text>
        <t xml:space="preserve">======
ID#AAAB8sxsRf8
Alpár Papp | VELTOL    (2026-06-03 07:47:56)
GCIT Saftica</t>
      </text>
    </comment>
    <comment authorId="0" ref="R81">
      <text>
        <t xml:space="preserve">======
ID#AAABjjT_Ef0
Alpár Papp | VELTOL    (2025-05-14 06:14:02)
Florica, Tireu Ibanesti</t>
      </text>
    </comment>
    <comment authorId="0" ref="S15">
      <text>
        <t xml:space="preserve">======
ID#AAABgiYPmNI
Nagy Pal Ors | VELTOL    (2025-03-20 10:03:42)
Kardos Zsolt, Nagy Tamas, Toth Barni</t>
      </text>
    </comment>
    <comment authorId="0" ref="X81">
      <text>
        <t xml:space="preserve">======
ID#AAABj6cWF5w
Anonymous    (2025-05-20 13:32:25)
Tornai Katalin HR</t>
      </text>
    </comment>
    <comment authorId="0" ref="J610">
      <text>
        <t xml:space="preserve">======
ID#AAAB9AkSpWA
Alpár Papp | VELTOL    (2026-06-10 08:22:31)
GCIT Saftica</t>
      </text>
    </comment>
    <comment authorId="0" ref="X15">
      <text>
        <t xml:space="preserve">======
ID#AAABgFFlDwg
Alpár Papp | VELTOL    (2025-03-25 14:15:35)
Barnex, Tamas, K. Zsolt</t>
      </text>
    </comment>
    <comment authorId="0" ref="Y15">
      <text>
        <t xml:space="preserve">======
ID#AAABhO4rbRQ
Béla Pál Szász | VELTOL    (2025-03-27 05:25:54)
Barni, Tamás, K. Zsolt</t>
      </text>
    </comment>
    <comment authorId="0" ref="D280">
      <text>
        <t xml:space="preserve">======
ID#AAABsaPpmnM
Robert Kendi | VELTOL    (2025-10-13 08:31:14)
Sarcadi SM Delegatie
------
ID#AAABsaPpmnU
Robert Kendi | VELTOL    (2025-10-13 08:35:49)
Sarcadi SM Delegatie</t>
      </text>
    </comment>
    <comment authorId="0" ref="E280">
      <text>
        <t xml:space="preserve">======
ID#AAABsaMAPvk
Béla Pál Szász | VELTOL    (2025-10-13 04:43:57)
Manastirea Pauloaia</t>
      </text>
    </comment>
    <comment authorId="0" ref="P610">
      <text>
        <t xml:space="preserve">======
ID#AAAB9tRKyPY
Anonymous    (2026-06-18 10:39:36)
Panamarom - Tg. Neamt</t>
      </text>
    </comment>
    <comment authorId="0" ref="AE81">
      <text>
        <t xml:space="preserve">======
ID#AAABkOHJKBY
Robert Kendi | VELTOL    (2025-05-27 06:02:50)
Kecseti Carei</t>
      </text>
    </comment>
    <comment authorId="0" ref="AF81">
      <text>
        <t xml:space="preserve">======
ID#AAABkOHJKBg
Robert Kendi | VELTOL    (2025-05-27 06:03:00)
Kecseti Carei</t>
      </text>
    </comment>
    <comment authorId="0" ref="AG81">
      <text>
        <t xml:space="preserve">======
ID#AAABh3CAb94
Nagy Pal Ors | VELTOL    (2025-05-30 06:22:01)
Ambrus Zsigmond CV</t>
      </text>
    </comment>
    <comment authorId="0" ref="AH81">
      <text>
        <t xml:space="preserve">======
ID#AAABkfraSQQ
Alpár Papp | VELTOL    (2025-05-30 10:04:22)
Blaj Adrian Salard</t>
      </text>
    </comment>
    <comment authorId="0" ref="J280">
      <text>
        <t xml:space="preserve">======
ID#AAABsdkgZFI
Béla Pál Szász | VELTOL    (2025-10-15 05:17:57)
Nica Marius, Codlea, BV</t>
      </text>
    </comment>
    <comment authorId="0" ref="D82">
      <text>
        <t xml:space="preserve">======
ID#AAABi576Kbo
Anonymous    (2025-05-06 07:31:14)
Jakab Pal</t>
      </text>
    </comment>
    <comment authorId="0" ref="K280">
      <text>
        <t xml:space="preserve">======
ID#AAABsaPpmnk
Robert Kendi | VELTOL    (2025-10-13 08:37:49)
Isfanoi HD</t>
      </text>
    </comment>
    <comment authorId="0" ref="M280">
      <text>
        <t xml:space="preserve">======
ID#AAABtGefj5Y
Béla Pál Szász | VELTOL    (2025-10-22 06:35:27)
Imre Berkeczi Velionic- Varsag, HR</t>
      </text>
    </comment>
    <comment authorId="0" ref="W610">
      <text>
        <t xml:space="preserve">======
ID#AAAB-l9ORrM
Nagy Pal Ors | VELTOL    (2026-06-26 13:20:56)
Balkanik - Focsani</t>
      </text>
    </comment>
    <comment authorId="0" ref="J82">
      <text>
        <t xml:space="preserve">======
ID#AAABi5T8CVM
Anonymous    (2025-05-07 07:40:35)
Droc Mihaela - Fagaras</t>
      </text>
    </comment>
    <comment authorId="0" ref="AE610">
      <text>
        <t xml:space="preserve">======
ID#AAAB_WkqmCo
Andrei Kacso | VELTOL    (2026-07-08 11:28:53)
Gusutri</t>
      </text>
    </comment>
    <comment authorId="0" ref="P82">
      <text>
        <t xml:space="preserve">======
ID#AAABjSVDo2I
Nagy Pal Ors | VELTOL    (2025-05-12 09:53:58)
Dinu Marcel Luca - Cj</t>
      </text>
    </comment>
    <comment authorId="0" ref="R82">
      <text>
        <t xml:space="preserve">======
ID#AAABjjT_Ef4
Alpár Papp | VELTOL    (2025-05-14 06:14:07)
Florica, Tireu Ibanesti</t>
      </text>
    </comment>
    <comment authorId="0" ref="S82">
      <text>
        <t xml:space="preserve">======
ID#AAABjp9MJn8
Béla Pál Szász | VELTOL    (2025-05-15 07:24:21)
Miess Walter - Hartman BV</t>
      </text>
    </comment>
    <comment authorId="0" ref="W82">
      <text>
        <t xml:space="preserve">======
ID#AAABjaqIScE
Anonymous    (2025-05-19 11:33:36)
Varro Zsolt - Fenyéd</t>
      </text>
    </comment>
    <comment authorId="0" ref="X82">
      <text>
        <t xml:space="preserve">======
ID#AAABj6cWF50
Anonymous    (2025-05-20 13:32:31)
Tornai Katalin HR</t>
      </text>
    </comment>
    <comment authorId="0" ref="Y82">
      <text>
        <t xml:space="preserve">======
ID#AAABj-fESfg
Nagy Pal Ors | VELTOL    (2025-05-22 09:11:46)
Miklos Attia - 3 ore +</t>
      </text>
    </comment>
    <comment authorId="0" ref="B281">
      <text>
        <t xml:space="preserve">======
ID#AAABsaPpmm4
Robert Kendi | VELTOL    (2025-10-13 08:30:02)
Delegatie Vrancea</t>
      </text>
    </comment>
    <comment authorId="0" ref="D281">
      <text>
        <t xml:space="preserve">======
ID#AAABsaPpmnA
Robert Kendi | VELTOL    (2025-10-13 08:30:55)
Sarcadi SM Delegatie</t>
      </text>
    </comment>
    <comment authorId="0" ref="C215">
      <text>
        <t xml:space="preserve">======
ID#AAABpA8Ok4Y
Vlad Ciubuca    (2025-08-07 16:25:45)
Paclisa 140 drum +1 ora suplimentara</t>
      </text>
    </comment>
    <comment authorId="0" ref="AD82">
      <text>
        <t xml:space="preserve">======
ID#AAABkQbL-M4
Nagy Pal Ors | VELTOL    (2025-05-27 12:31:55)
Delegatie Gherla</t>
      </text>
    </comment>
    <comment authorId="0" ref="P611">
      <text>
        <t xml:space="preserve">======
ID#AAAB9tRKyPc
Anonymous    (2026-06-18 10:39:51)
Panamarom - Tg. Neamt</t>
      </text>
    </comment>
    <comment authorId="0" ref="D215">
      <text>
        <t xml:space="preserve">======
ID#AAABpA8Ok4g
Vlad Ciubuca    (2025-08-07 16:25:53)
Paclisa 140 drum +1 ora suplimentara</t>
      </text>
    </comment>
    <comment authorId="0" ref="AE82">
      <text>
        <t xml:space="preserve">======
ID#AAABkQbL-NQ
Nagy Pal Ors | VELTOL    (2025-05-27 12:32:50)
Delegatie Gherla</t>
      </text>
    </comment>
    <comment authorId="0" ref="E215">
      <text>
        <t xml:space="preserve">======
ID#AAABpA8Ok4o
Vlad Ciubuca    (2025-08-07 16:26:07)
Paclisa 140 drum +2 ore suplimentara</t>
      </text>
    </comment>
    <comment authorId="0" ref="AF82">
      <text>
        <t xml:space="preserve">======
ID#AAABkeisP68
Nagy Pal Ors | VELTOL    (2025-05-30 06:04:40)
Delegatie Gherla</t>
      </text>
    </comment>
    <comment authorId="0" ref="F215">
      <text>
        <t xml:space="preserve">======
ID#AAABpCVUcF0
Vlad Ciubuca | VELTOL    (2025-08-08 13:04:51)
Paclisa</t>
      </text>
    </comment>
    <comment authorId="0" ref="AG82">
      <text>
        <t xml:space="preserve">======
ID#AAABkeitiyo
Nagy Pal Ors | VELTOL    (2025-05-30 06:04:56)
Delegatie Gherla 6 sisteme</t>
      </text>
    </comment>
    <comment authorId="0" ref="E149">
      <text>
        <t xml:space="preserve">======
ID#AAABm8v_Eyc
Alpár Papp | VELTOL    (2025-07-04 12:08:53)
Racord Coldea Medias</t>
      </text>
    </comment>
    <comment authorId="0" ref="D83">
      <text>
        <t xml:space="preserve">======
ID#AAABi576Kbs
Anonymous    (2025-05-06 07:31:41)
Jakab Pal</t>
      </text>
    </comment>
    <comment authorId="0" ref="I149">
      <text>
        <t xml:space="preserve">======
ID#AAABncKE--8
Alpár Papp | VELTOL    (2025-07-17 08:25:26)
Torja? - Levi</t>
      </text>
    </comment>
    <comment authorId="0" ref="L149">
      <text>
        <t xml:space="preserve">======
ID#AAABncKE--0
Alpár Papp | VELTOL    (2025-07-17 08:24:23)
Prigon Bistrita</t>
      </text>
    </comment>
    <comment authorId="0" ref="J83">
      <text>
        <t xml:space="preserve">======
ID#AAABi5T8CVQ
Anonymous    (2025-05-07 07:40:40)
Droc Mihaela - Fagaras</t>
      </text>
    </comment>
    <comment authorId="0" ref="AE611">
      <text>
        <t xml:space="preserve">======
ID#AAAB_WkqmC0
Andrei Kacso | VELTOL    (2026-07-08 11:29:48)
Gusutri</t>
      </text>
    </comment>
    <comment authorId="0" ref="R149">
      <text>
        <t xml:space="preserve">======
ID#AAABpQs8U6A
Robert Kendi | VELTOL    (2025-08-12 13:47:58)
Gal Domokos HR</t>
      </text>
    </comment>
    <comment authorId="0" ref="P83">
      <text>
        <t xml:space="preserve">======
ID#AAABjSVDo2M
Nagy Pal Ors | VELTOL    (2025-05-12 09:54:05)
Dinu Marcel Luca - Cj</t>
      </text>
    </comment>
    <comment authorId="0" ref="R83">
      <text>
        <t xml:space="preserve">======
ID#AAABjjT_Ef8
Alpár Papp | VELTOL    (2025-05-14 06:14:12)
Florica, Tireu Ibanesti</t>
      </text>
    </comment>
    <comment authorId="0" ref="S83">
      <text>
        <t xml:space="preserve">======
ID#AAABjp9MJoA
Béla Pál Szász | VELTOL    (2025-05-15 07:24:28)
Miess Walter - Hartman BV</t>
      </text>
    </comment>
    <comment authorId="0" ref="Y149">
      <text>
        <t xml:space="preserve">======
ID#AAABodMJsDE
Alpár Papp | VELTOL    (2025-07-30 05:41:49)
Szilveszter Julia Odorhei</t>
      </text>
    </comment>
    <comment authorId="0" ref="W83">
      <text>
        <t xml:space="preserve">======
ID#AAABjaqIScI
Anonymous    (2025-05-19 11:33:44)
Varro Zsolt - Fenyéd</t>
      </text>
    </comment>
    <comment authorId="0" ref="X83">
      <text>
        <t xml:space="preserve">======
ID#AAABj6cWF54
Anonymous    (2025-05-20 13:32:38)
Tornai Katalin HR</t>
      </text>
    </comment>
    <comment authorId="0" ref="Y83">
      <text>
        <t xml:space="preserve">======
ID#AAABj-fESfk
Nagy Pal Ors | VELTOL    (2025-05-22 09:11:53)
Miklos Attia - 3 ore +</t>
      </text>
    </comment>
    <comment authorId="0" ref="B282">
      <text>
        <t xml:space="preserve">======
ID#AAABsaPpmm8
Robert Kendi | VELTOL    (2025-10-13 08:30:06)
Delegatie Vrancea</t>
      </text>
    </comment>
    <comment authorId="0" ref="D282">
      <text>
        <t xml:space="preserve">======
ID#AAABsaPpmnE
Robert Kendi | VELTOL    (2025-10-13 08:30:59)
Sarcadi SM Delegatie</t>
      </text>
    </comment>
    <comment authorId="0" ref="C216">
      <text>
        <t xml:space="preserve">======
ID#AAABpA8Ok4c
Vlad Ciubuca    (2025-08-07 16:25:50)
Paclisa 140 drum +1 ora suplimentara</t>
      </text>
    </comment>
    <comment authorId="0" ref="AD83">
      <text>
        <t xml:space="preserve">======
ID#AAABkQbL-M8
Nagy Pal Ors | VELTOL    (2025-05-27 12:32:00)
Delegatie Gherla</t>
      </text>
    </comment>
    <comment authorId="0" ref="P612">
      <text>
        <t xml:space="preserve">======
ID#AAAB9tRKyPg
Anonymous    (2026-06-18 10:40:01)
Panamarom - Tg. Neamt</t>
      </text>
    </comment>
    <comment authorId="0" ref="L480">
      <text>
        <t xml:space="preserve">======
ID#AAAB211LxXk
Anonymous    (2026-03-31 08:02:58)
Saftica</t>
      </text>
    </comment>
    <comment authorId="0" ref="D216">
      <text>
        <t xml:space="preserve">======
ID#AAABpA8Ok4k
Vlad Ciubuca    (2025-08-07 16:25:58)
Paclisa 140 drum +1 ora suplimentara</t>
      </text>
    </comment>
    <comment authorId="0" ref="AE83">
      <text>
        <t xml:space="preserve">======
ID#AAABkQbL-NU
Nagy Pal Ors | VELTOL    (2025-05-27 12:32:55)
Delegatie Gherla</t>
      </text>
    </comment>
    <comment authorId="0" ref="AF83">
      <text>
        <t xml:space="preserve">======
ID#AAABkeitiyg
Nagy Pal Ors | VELTOL    (2025-05-30 06:04:46)
Delegatie Gherla</t>
      </text>
    </comment>
    <comment authorId="0" ref="F216">
      <text>
        <t xml:space="preserve">======
ID#AAABpCVUcF4
Vlad Ciubuca | VELTOL    (2025-08-08 13:05:00)
Paclisa</t>
      </text>
    </comment>
    <comment authorId="0" ref="AG83">
      <text>
        <t xml:space="preserve">======
ID#AAABh3CAb9Y
Nagy Pal Ors | VELTOL    (2025-05-30 06:12:50)
Delegatie Gherla 6 sisteme</t>
      </text>
    </comment>
    <comment authorId="0" ref="D84">
      <text>
        <t xml:space="preserve">======
ID#AAABi576Kbw
Anonymous    (2025-05-06 07:31:52)
Jakab Pal</t>
      </text>
    </comment>
    <comment authorId="0" ref="W612">
      <text>
        <t xml:space="preserve">======
ID#AAAB-l9ORrQ
Nagy Pal Ors | VELTOL    (2026-06-26 13:21:01)
Balkanik - Focsani</t>
      </text>
    </comment>
    <comment authorId="0" ref="I150">
      <text>
        <t xml:space="preserve">======
ID#AAABncKE-_A
Alpár Papp | VELTOL    (2025-07-17 08:25:32)
Torja? - Levi</t>
      </text>
    </comment>
    <comment authorId="0" ref="L150">
      <text>
        <t xml:space="preserve">======
ID#AAABncKE--4
Alpár Papp | VELTOL    (2025-07-17 08:24:34)
Prigon Bistrita</t>
      </text>
    </comment>
    <comment authorId="0" ref="J84">
      <text>
        <t xml:space="preserve">======
ID#AAABi5T8CVU
Anonymous    (2025-05-07 07:40:45)
Droc Mihaela - Fagaras</t>
      </text>
    </comment>
    <comment authorId="0" ref="W480">
      <text>
        <t xml:space="preserve">======
ID#AAAB211NzoE
Anonymous    (2026-03-31 09:08:02)
Saftica</t>
      </text>
    </comment>
    <comment authorId="0" ref="AE612">
      <text>
        <t xml:space="preserve">======
ID#AAAB_WkqmC4
Andrei Kacso | VELTOL    (2026-07-08 11:30:09)
Gusutri</t>
      </text>
    </comment>
    <comment authorId="0" ref="AD546">
      <text>
        <t xml:space="preserve">======
ID#AAAB6r0QBhI
Robert Kendi | VELTOL    (2026-04-30 06:19:08)
JKR Ploiest</t>
      </text>
    </comment>
    <comment authorId="0" ref="P84">
      <text>
        <t xml:space="preserve">======
ID#AAABjSVDo2Q
Nagy Pal Ors | VELTOL    (2025-05-12 09:54:13)
Dinu Marcel Luca - Cj</t>
      </text>
    </comment>
    <comment authorId="0" ref="AD480">
      <text>
        <t xml:space="preserve">======
ID#AAAB3RcDwCg
Farczadi Janos | VELTOL    (2026-04-14 11:31:46)
GCIT-SAFTICA</t>
      </text>
    </comment>
    <comment authorId="0" ref="R84">
      <text>
        <t xml:space="preserve">======
ID#AAABjjT_EgA
Alpár Papp | VELTOL    (2025-05-14 06:14:17)
Florica, Tireu Ibanesti</t>
      </text>
    </comment>
    <comment authorId="0" ref="S84">
      <text>
        <t xml:space="preserve">======
ID#AAABjp9MJoE
Béla Pál Szász | VELTOL    (2025-05-15 07:24:33)
Miess Walter - Hartman BV</t>
      </text>
    </comment>
    <comment authorId="0" ref="W84">
      <text>
        <t xml:space="preserve">======
ID#AAABjaqIScM
Anonymous    (2025-05-19 11:33:48)
Varro Zsolt - Fenyéd</t>
      </text>
    </comment>
    <comment authorId="0" ref="X84">
      <text>
        <t xml:space="preserve">======
ID#AAABj6cWF58
Anonymous    (2025-05-20 13:32:44)
Tornai Katalin HR</t>
      </text>
    </comment>
    <comment authorId="0" ref="Y84">
      <text>
        <t xml:space="preserve">======
ID#AAABj-fESfs
Nagy Pal Ors | VELTOL    (2025-05-22 09:12:01)
Miklos Attia - 3 ore +</t>
      </text>
    </comment>
    <comment authorId="0" ref="AE150">
      <text>
        <t xml:space="preserve">======
ID#AAABoheoSDY
Anonymous    (2025-07-31 13:08:35)
Bumbi racord</t>
      </text>
    </comment>
    <comment authorId="0" ref="AF150">
      <text>
        <t xml:space="preserve">======
ID#AAABoheoSC8
Anonymous    (2025-07-31 12:04:20)
Cornelia Luca BN</t>
      </text>
    </comment>
    <comment authorId="0" ref="AD84">
      <text>
        <t xml:space="preserve">======
ID#AAABkQbL-NA
Nagy Pal Ors | VELTOL    (2025-05-27 12:32:08)
Delegatie Gherla</t>
      </text>
    </comment>
    <comment authorId="0" ref="AE84">
      <text>
        <t xml:space="preserve">======
ID#AAABkQbL-NY
Nagy Pal Ors | VELTOL    (2025-05-27 12:32:59)
Delegatie Gherla</t>
      </text>
    </comment>
    <comment authorId="0" ref="E217">
      <text>
        <t xml:space="preserve">======
ID#AAABpA8Ok4s
Vlad Ciubuca    (2025-08-07 16:26:13)
Paclisa 140 drum +2 ore suplimentara</t>
      </text>
    </comment>
    <comment authorId="0" ref="AF84">
      <text>
        <t xml:space="preserve">======
ID#AAABkeitiyk
Nagy Pal Ors | VELTOL    (2025-05-30 06:04:50)
Delegatie Gherla</t>
      </text>
    </comment>
    <comment authorId="0" ref="AG84">
      <text>
        <t xml:space="preserve">======
ID#AAABkeitiyw
Nagy Pal Ors | VELTOL    (2025-05-30 06:05:04)
Delegatie Gherla 6 sisteme</t>
      </text>
    </comment>
    <comment authorId="0" ref="C85">
      <text>
        <t xml:space="preserve">======
ID#AAABipsgHvA
Nagy Pal Ors | VELTOL    (2025-04-30 06:07:14)
montare panouri Gal Istvan Barna</t>
      </text>
    </comment>
    <comment authorId="0" ref="L283">
      <text>
        <t xml:space="preserve">======
ID#AAABuqUzIxI
Robert Kendi | VELTOL    (2025-11-03 10:05:04)
04 VLH Lámpa polis</t>
      </text>
    </comment>
    <comment authorId="0" ref="J151">
      <text>
        <t xml:space="preserve">======
ID#AAABnWIql9U
Alpár Papp | VELTOL    (2025-07-14 06:53:39)
Hiristea, Gilau</t>
      </text>
    </comment>
    <comment authorId="0" ref="I85">
      <text>
        <t xml:space="preserve">======
ID#AAABi46F6LA
Anonymous    (2025-05-06 07:24:48)
BV - Comanelea, Comanelea, Negulici, Adam, Maghinici</t>
      </text>
    </comment>
    <comment authorId="0" ref="X547">
      <text>
        <t xml:space="preserve">======
ID#AAAB5BpTHlc
Anonymous    (2026-04-28 08:04:31)
Centru de Dializa - Targoviste</t>
      </text>
    </comment>
    <comment authorId="0" ref="W481">
      <text>
        <t xml:space="preserve">======
ID#AAAB211NzoI
Anonymous    (2026-03-31 09:08:09)
Saftica</t>
      </text>
    </comment>
    <comment authorId="0" ref="AD547">
      <text>
        <t xml:space="preserve">======
ID#AAAB6r0QBhM
Robert Kendi | VELTOL    (2026-04-30 06:19:18)
JKR Ploiesti</t>
      </text>
    </comment>
    <comment authorId="0" ref="R151">
      <text>
        <t xml:space="preserve">======
ID#AAABnduDs-U
Alpár Papp | VELTOL    (2025-07-18 06:47:02)
Salamon, Pauleni</t>
      </text>
    </comment>
    <comment authorId="0" ref="P85">
      <text>
        <t xml:space="preserve">======
ID#AAABjSm-wHs
Anonymous    (2025-05-12 12:20:16)
oaida Sofia SB</t>
      </text>
    </comment>
    <comment authorId="0" ref="Q85">
      <text>
        <t xml:space="preserve">======
ID#AAABjaI2wKY
Anonymous    (2025-05-16 06:31:01)
Szabo Reka - Magyarlapád</t>
      </text>
    </comment>
    <comment authorId="0" ref="R85">
      <text>
        <t xml:space="preserve">======
ID#AAABjn8VFIg
Vlad Ciubuca | VELTOL    (2025-05-14 14:54:05)
Haiduc Iacob Ocna Mures</t>
      </text>
    </comment>
    <comment authorId="0" ref="S85">
      <text>
        <t xml:space="preserve">======
ID#AAABjqI_GA0
Anonymous    (2025-05-15 13:56:34)
Marton Szovata</t>
      </text>
    </comment>
    <comment authorId="0" ref="B482">
      <text>
        <t xml:space="preserve">======
ID#AAAB1axyB9M
Vlad Ciubuca | VELTOL    (2026-03-06 08:08:01)
Lykos</t>
      </text>
    </comment>
    <comment authorId="0" ref="Y151">
      <text>
        <t xml:space="preserve">======
ID#AAABodMJsDI
Alpár Papp | VELTOL    (2025-07-30 05:41:54)
Szilveszter Julia Odorhei</t>
      </text>
    </comment>
    <comment authorId="0" ref="W85">
      <text>
        <t xml:space="preserve">======
ID#AAABj7FSBrc
Anonymous    (2025-05-20 11:28:50)
Delegatie Satu Mare</t>
      </text>
    </comment>
    <comment authorId="0" ref="X85">
      <text>
        <t xml:space="preserve">======
ID#AAABj9nvWvE
Robert Kendi | VELTOL    (2025-05-21 12:48:31)
Delegatie SM</t>
      </text>
    </comment>
    <comment authorId="0" ref="Y85">
      <text>
        <t xml:space="preserve">======
ID#AAABj9nvWvY
Robert Kendi | VELTOL    (2025-05-21 12:49:47)
Delegatie SM</t>
      </text>
    </comment>
    <comment authorId="0" ref="Z85">
      <text>
        <t xml:space="preserve">======
ID#AAABlJvrJP4
Béla Pál Szász | VELTOL    (2025-06-05 12:21:36)
Lucrarea II. Krizsan levente</t>
      </text>
    </comment>
    <comment authorId="0" ref="I482">
      <text>
        <t xml:space="preserve">======
ID#AAAB2i-D9rk
Robert Kendi | VELTOL    (2026-03-26 14:02:03)
CGC Agria</t>
      </text>
    </comment>
    <comment authorId="0" ref="AE151">
      <text>
        <t xml:space="preserve">======
ID#AAABoheoSDU
Anonymous    (2025-07-31 13:08:19)
Bumbi racord</t>
      </text>
    </comment>
    <comment authorId="0" ref="AF151">
      <text>
        <t xml:space="preserve">======
ID#AAABoheoSC4
Anonymous    (2025-07-31 12:04:05)
Cornelia Luca BN</t>
      </text>
    </comment>
    <comment authorId="0" ref="L482">
      <text>
        <t xml:space="preserve">======
ID#AAAB211LxXo
Anonymous    (2026-03-31 08:03:06)
Saftica</t>
      </text>
    </comment>
    <comment authorId="0" ref="B152">
      <text>
        <t xml:space="preserve">======
ID#AAABnN3fGSA
Robert Kendi | VELTOL    (2025-07-09 10:57:40)
Delegatie SM - update sisteme</t>
      </text>
    </comment>
    <comment authorId="0" ref="AE85">
      <text>
        <t xml:space="preserve">======
ID#AAABlkWtB0E
Anonymous    (2025-06-11 06:07:57)
Kecseti SM
------
ID#AAABlkWtB0Q
Anonymous    (2025-06-11 06:09:53)
2 munka, 18 napelem + ban</t>
      </text>
    </comment>
    <comment authorId="0" ref="C152">
      <text>
        <t xml:space="preserve">======
ID#AAABnN3fGSI
Robert Kendi | VELTOL    (2025-07-09 10:57:56)
Delegatie SM - update sisteme</t>
      </text>
    </comment>
    <comment authorId="0" ref="E152">
      <text>
        <t xml:space="preserve">======
ID#AAABneuND9o
Alpár Papp | VELTOL    (2025-07-18 12:06:36)
Szilagyi Aiud</t>
      </text>
    </comment>
    <comment authorId="0" ref="AH85">
      <text>
        <t xml:space="preserve">======
ID#AAABkfraSP8
Alpár Papp | VELTOL    (2025-05-30 10:02:50)
Blaj Adrian Salard</t>
      </text>
    </comment>
    <comment authorId="0" ref="C86">
      <text>
        <t xml:space="preserve">======
ID#AAABipsgHvE
Nagy Pal Ors | VELTOL    (2025-04-30 06:07:20)
montare panouri Gal Istvan Barna</t>
      </text>
    </comment>
    <comment authorId="0" ref="F152">
      <text>
        <t xml:space="preserve">======
ID#AAABneuND9g
Alpár Papp | VELTOL    (2025-07-18 12:05:13)
Racord extra pe saptamana</t>
      </text>
    </comment>
    <comment authorId="0" ref="R482">
      <text>
        <t xml:space="preserve">======
ID#AAAB2Z8Cc70
Vlad Ciubuca | VELTOL    (2026-03-23 07:36:45)
Lykos</t>
      </text>
    </comment>
    <comment authorId="0" ref="W614">
      <text>
        <t xml:space="preserve">======
ID#AAAB-l9ORrU
Nagy Pal Ors | VELTOL    (2026-06-26 13:21:07)
Balkanik - Focsani</t>
      </text>
    </comment>
    <comment authorId="0" ref="I152">
      <text>
        <t xml:space="preserve">======
ID#AAABnN3fGSc
Robert Kendi | VELTOL    (2025-07-09 11:01:52)
Stanila Emil CV-2024 BN</t>
      </text>
    </comment>
    <comment authorId="0" ref="J152">
      <text>
        <t xml:space="preserve">======
ID#AAABnWIql9c
Alpár Papp | VELTOL    (2025-07-14 06:53:43)
Hiristea, Gilau</t>
      </text>
    </comment>
    <comment authorId="0" ref="I86">
      <text>
        <t xml:space="preserve">======
ID#AAABi46F6LE
Anonymous    (2025-05-06 07:24:56)
BV - Comanelea, Comanelea, Negulici, Adam, Maghinici</t>
      </text>
    </comment>
    <comment authorId="0" ref="X548">
      <text>
        <t xml:space="preserve">======
ID#AAAB5BpTHlk
Anonymous    (2026-04-28 08:05:25)
Centru de Dializa - Targoviste</t>
      </text>
    </comment>
    <comment authorId="0" ref="Y482">
      <text>
        <t xml:space="preserve">======
ID#AAAB2mF7eFg
Vlad Ciubuca | VELTOL    (2026-03-27 07:38:58)
Lykos</t>
      </text>
    </comment>
    <comment authorId="0" ref="R152">
      <text>
        <t xml:space="preserve">======
ID#AAABnduDs-Y
Alpár Papp | VELTOL    (2025-07-18 06:47:05)
Salamon, Pauleni</t>
      </text>
    </comment>
    <comment authorId="0" ref="P86">
      <text>
        <t xml:space="preserve">======
ID#AAABjSm-wHw
Anonymous    (2025-05-12 12:20:20)
oaida Sofia SB</t>
      </text>
    </comment>
    <comment authorId="0" ref="Q86">
      <text>
        <t xml:space="preserve">======
ID#AAABjaI2wKc
Anonymous    (2025-05-16 06:31:09)
Szabo Reka - Magyarlapád</t>
      </text>
    </comment>
    <comment authorId="0" ref="AD482">
      <text>
        <t xml:space="preserve">======
ID#AAAB3RcDwCk
Farczadi Janos | VELTOL    (2026-04-14 11:32:40)
GCIT-SAFTICA</t>
      </text>
    </comment>
    <comment authorId="0" ref="R86">
      <text>
        <t xml:space="preserve">======
ID#AAABjn8VFIk
Vlad Ciubuca | VELTOL    (2025-05-14 14:54:09)
Haiduc Iacob Ocna Mures</t>
      </text>
    </comment>
    <comment authorId="0" ref="S86">
      <text>
        <t xml:space="preserve">======
ID#AAABjqI_GA4
Anonymous    (2025-05-15 13:56:43)
Marton Szovata</t>
      </text>
    </comment>
    <comment authorId="0" ref="X218">
      <text>
        <t xml:space="preserve">======
ID#AAABoE1OS9w
Vlad Ciubuca | VELTOL    (2025-09-01 06:42:13)
2 ore suplimentare Cluj</t>
      </text>
    </comment>
    <comment authorId="0" ref="B483">
      <text>
        <t xml:space="preserve">======
ID#AAAB1axyB9Q
Vlad Ciubuca | VELTOL    (2026-03-06 08:08:06)
Lykos</t>
      </text>
    </comment>
    <comment authorId="0" ref="Y218">
      <text>
        <t xml:space="preserve">======
ID#AAABoE1OS9A
Vlad Ciubuca | VELTOL    (2025-09-01 05:29:06)
4 ore suplimentare Cluj</t>
      </text>
    </comment>
    <comment authorId="0" ref="W152">
      <text>
        <t xml:space="preserve">======
ID#AAABnci5DIc
Alpár Papp | VELTOL    (2025-07-18 11:41:41)
Molnos Cristuru Secuiesc</t>
      </text>
    </comment>
    <comment authorId="0" ref="X152">
      <text>
        <t xml:space="preserve">======
ID#AAABnjmqFp8
Alpár Papp | VELTOL    (2025-07-22 05:29:30)
Dobrinas, Int. Buzaului
------
ID#AAABpZ2I5oU
Robert Kendi | VELTOL    (2025-08-18 05:41:57)
140+400</t>
      </text>
    </comment>
    <comment authorId="0" ref="Z218">
      <text>
        <t xml:space="preserve">======
ID#AAABoE1OS9I
Vlad Ciubuca | VELTOL    (2025-09-01 05:29:18)
4 ore suplimentare Cluj</t>
      </text>
    </comment>
    <comment authorId="0" ref="W86">
      <text>
        <t xml:space="preserve">======
ID#AAABj7FSBrg
Anonymous    (2025-05-20 11:28:57)
Delegatie Satu Mare</t>
      </text>
    </comment>
    <comment authorId="0" ref="Z152">
      <text>
        <t xml:space="preserve">======
ID#AAABp1_Qv18
Béla Pál Szász | VELTOL    (2025-08-13 05:21:07)
Ungureanu, BV</t>
      </text>
    </comment>
    <comment authorId="0" ref="X86">
      <text>
        <t xml:space="preserve">======
ID#AAABj9nvWvQ
Robert Kendi | VELTOL    (2025-05-21 12:49:05)
Delegatie SM</t>
      </text>
    </comment>
    <comment authorId="0" ref="AA152">
      <text>
        <t xml:space="preserve">======
ID#AAABpQs8U54
Robert Kendi | VELTOL    (2025-08-12 13:42:07)
Kendi Alexandru</t>
      </text>
    </comment>
    <comment authorId="0" ref="Y86">
      <text>
        <t xml:space="preserve">======
ID#AAABj9nvWvc
Robert Kendi | VELTOL    (2025-05-21 12:49:50)
Delegatie SM</t>
      </text>
    </comment>
    <comment authorId="0" ref="Z86">
      <text>
        <t xml:space="preserve">======
ID#AAABlJvrJP8
Béla Pál Szász | VELTOL    (2025-06-05 12:21:45)
Lucrarea II. Krizsan levente</t>
      </text>
    </comment>
    <comment authorId="0" ref="I483">
      <text>
        <t xml:space="preserve">======
ID#AAAB2i-D9ro
Robert Kendi | VELTOL    (2026-03-26 14:02:19)
CGC Agria</t>
      </text>
    </comment>
    <comment authorId="0" ref="B153">
      <text>
        <t xml:space="preserve">======
ID#AAABnN3fGSE
Robert Kendi | VELTOL    (2025-07-09 10:57:52)
Delegatie SM - update sisteme</t>
      </text>
    </comment>
    <comment authorId="0" ref="AE86">
      <text>
        <t xml:space="preserve">======
ID#AAABlkWtB0I
Anonymous    (2025-06-11 06:08:03)
Kecseti SM</t>
      </text>
    </comment>
    <comment authorId="0" ref="C153">
      <text>
        <t xml:space="preserve">======
ID#AAABnN3fGSM
Robert Kendi | VELTOL    (2025-07-09 10:58:01)
Delegatie SM - update sisteme</t>
      </text>
    </comment>
    <comment authorId="0" ref="E153">
      <text>
        <t xml:space="preserve">======
ID#AAABneuND9s
Alpár Papp | VELTOL    (2025-07-18 12:06:45)
Szilagyi Aiud</t>
      </text>
    </comment>
    <comment authorId="0" ref="AH86">
      <text>
        <t xml:space="preserve">======
ID#AAABkfraSQA
Alpár Papp | VELTOL    (2025-05-30 10:02:54)
Blaj Adrian Salard</t>
      </text>
    </comment>
    <comment authorId="0" ref="C87">
      <text>
        <t xml:space="preserve">======
ID#AAABipsgHvI
Nagy Pal Ors | VELTOL    (2025-04-30 06:07:25)
montare panouri Gal Istvan Barna</t>
      </text>
    </comment>
    <comment authorId="0" ref="P483">
      <text>
        <t xml:space="preserve">======
ID#AAAB211LxYE
Anonymous    (2026-03-31 08:13:43)
CGC Agria</t>
      </text>
    </comment>
    <comment authorId="0" ref="F153">
      <text>
        <t xml:space="preserve">======
ID#AAABneuND9k
Alpár Papp | VELTOL    (2025-07-18 12:05:30)
Racord extra pe saptamana</t>
      </text>
    </comment>
    <comment authorId="0" ref="R483">
      <text>
        <t xml:space="preserve">======
ID#AAAB2Z8Cc74
Vlad Ciubuca | VELTOL    (2026-03-23 07:36:48)
Lykos</t>
      </text>
    </comment>
    <comment authorId="0" ref="I153">
      <text>
        <t xml:space="preserve">======
ID#AAABnN3fGSg
Robert Kendi | VELTOL    (2025-07-09 11:01:58)
Stanila Emil CV-2024 BN</t>
      </text>
    </comment>
    <comment authorId="0" ref="J153">
      <text>
        <t xml:space="preserve">======
ID#AAABnWIql9g
Alpár Papp | VELTOL    (2025-07-14 06:53:47)
Hiristea, Gilau</t>
      </text>
    </comment>
    <comment authorId="0" ref="I87">
      <text>
        <t xml:space="preserve">======
ID#AAABi46F6LI
Anonymous    (2025-05-06 07:25:04)
BV - Comanelea, Comanelea, Negulici, Adam, Maghinici</t>
      </text>
    </comment>
    <comment authorId="0" ref="X549">
      <text>
        <t xml:space="preserve">======
ID#AAAB5BpTHlo
Anonymous    (2026-04-28 08:05:30)
Centru de Dializa - Targoviste</t>
      </text>
    </comment>
    <comment authorId="0" ref="P87">
      <text>
        <t xml:space="preserve">======
ID#AAABjSm-wH0
Anonymous    (2025-05-12 12:20:25)
oaida Sofia SB</t>
      </text>
    </comment>
    <comment authorId="0" ref="Q87">
      <text>
        <t xml:space="preserve">======
ID#AAABjaI2wKg
Anonymous    (2025-05-16 06:31:17)
Szabo Reka - Magyarlapád</t>
      </text>
    </comment>
    <comment authorId="0" ref="R87">
      <text>
        <t xml:space="preserve">======
ID#AAABjn8VFIo
Vlad Ciubuca | VELTOL    (2025-05-14 14:54:13)
Haiduc Iacob Ocna Mures</t>
      </text>
    </comment>
    <comment authorId="0" ref="S87">
      <text>
        <t xml:space="preserve">======
ID#AAABjqI_GA8
Anonymous    (2025-05-15 13:56:49)
Marton Szovata</t>
      </text>
    </comment>
    <comment authorId="0" ref="X219">
      <text>
        <t xml:space="preserve">======
ID#AAABoE1OS90
Vlad Ciubuca | VELTOL    (2025-09-01 06:42:16)
2 ore suplimentare Cluj</t>
      </text>
    </comment>
    <comment authorId="0" ref="B484">
      <text>
        <t xml:space="preserve">======
ID#AAAB1axyB9U
Vlad Ciubuca | VELTOL    (2026-03-06 08:08:08)
Lykos</t>
      </text>
    </comment>
    <comment authorId="0" ref="Y219">
      <text>
        <t xml:space="preserve">======
ID#AAABoE1OS9E
Vlad Ciubuca | VELTOL    (2025-09-01 05:29:12)
4 ore suplimentare Cluj</t>
      </text>
    </comment>
    <comment authorId="0" ref="W153">
      <text>
        <t xml:space="preserve">======
ID#AAABnci5DIg
Alpár Papp | VELTOL    (2025-07-18 11:41:44)
Molnos Cristuru Secuiesc</t>
      </text>
    </comment>
    <comment authorId="0" ref="X153">
      <text>
        <t xml:space="preserve">======
ID#AAABnjmqFqA
Alpár Papp | VELTOL    (2025-07-22 05:29:34)
Dobrinas, Int. Buzaului
------
ID#AAABpZ2I5oY
Robert Kendi | VELTOL    (2025-08-18 05:42:26)
140+400</t>
      </text>
    </comment>
    <comment authorId="0" ref="Z219">
      <text>
        <t xml:space="preserve">======
ID#AAABoE1OS9M
Vlad Ciubuca | VELTOL    (2025-09-01 05:29:24)
4 ore suplimentare Cluj</t>
      </text>
    </comment>
    <comment authorId="0" ref="W87">
      <text>
        <t xml:space="preserve">======
ID#AAABj7FSBrk
Anonymous    (2025-05-20 11:29:02)
Delegatie Satu Mare</t>
      </text>
    </comment>
    <comment authorId="0" ref="Z153">
      <text>
        <t xml:space="preserve">======
ID#AAABp1_Qv2A
Béla Pál Szász | VELTOL    (2025-08-13 05:21:14)
Ungureanu, BV</t>
      </text>
    </comment>
    <comment authorId="0" ref="X87">
      <text>
        <t xml:space="preserve">======
ID#AAABj9nvWvU
Robert Kendi | VELTOL    (2025-05-21 12:49:10)
Delegatie SM</t>
      </text>
    </comment>
    <comment authorId="0" ref="AA153">
      <text>
        <t xml:space="preserve">======
ID#AAABpQs8U58
Robert Kendi | VELTOL    (2025-08-12 13:42:28)
Kendi Alexandru</t>
      </text>
    </comment>
    <comment authorId="0" ref="Y87">
      <text>
        <t xml:space="preserve">======
ID#AAABj9nvWvg
Robert Kendi | VELTOL    (2025-05-21 12:49:55)
Delegatie SM</t>
      </text>
    </comment>
    <comment authorId="0" ref="Z87">
      <text>
        <t xml:space="preserve">======
ID#AAABlJvrJQA
Béla Pál Szász | VELTOL    (2025-06-05 12:21:55)
Lucrarea II. Krizsan levente</t>
      </text>
    </comment>
    <comment authorId="0" ref="I484">
      <text>
        <t xml:space="preserve">======
ID#AAAB2i-D9rs
Robert Kendi | VELTOL    (2026-03-26 14:02:25)
CGC Agria</t>
      </text>
    </comment>
    <comment authorId="0" ref="AD153">
      <text>
        <t xml:space="preserve">======
ID#AAABp1_Qv2U
Robert Kendi | VELTOL    (2025-08-13 05:51:24)
Doborcsány + Tasnád</t>
      </text>
    </comment>
    <comment authorId="0" ref="AE153">
      <text>
        <t xml:space="preserve">======
ID#AAABp1_Qv2c
Robert Kendi | VELTOL    (2025-08-13 05:51:33)
Doborcsány + Tasnád</t>
      </text>
    </comment>
    <comment authorId="0" ref="B220">
      <text>
        <t xml:space="preserve">======
ID#AAABo0SAJ4A
Nagy Pal Ors | VELTOL    (2025-08-06 05:18:42)
Orsova</t>
      </text>
    </comment>
    <comment authorId="0" ref="L484">
      <text>
        <t xml:space="preserve">======
ID#AAAB211LxXs
Anonymous    (2026-03-31 08:03:11)
Saftica</t>
      </text>
    </comment>
    <comment authorId="0" ref="AE87">
      <text>
        <t xml:space="preserve">======
ID#AAABlkWtB0M
Anonymous    (2025-06-11 06:08:07)
Kecseti SM</t>
      </text>
    </comment>
    <comment authorId="0" ref="AH153">
      <text>
        <t xml:space="preserve">======
ID#AAABpQfCGGY
Robert Kendi | VELTOL    (2025-08-12 13:38:29)
CSibi Levi Bogata</t>
      </text>
    </comment>
    <comment authorId="0" ref="E154">
      <text>
        <t xml:space="preserve">======
ID#AAABm8v_Ey0
Anonymous    (2025-07-04 12:26:27)
Resalta TM</t>
      </text>
    </comment>
    <comment authorId="0" ref="AH87">
      <text>
        <t xml:space="preserve">======
ID#AAABkfraSQE
Alpár Papp | VELTOL    (2025-05-30 10:02:58)
Blaj Adrian Salard</t>
      </text>
    </comment>
    <comment authorId="0" ref="R484">
      <text>
        <t xml:space="preserve">======
ID#AAAB2Z8Cc78
Vlad Ciubuca | VELTOL    (2026-03-23 07:36:52)
Lykos</t>
      </text>
    </comment>
    <comment authorId="0" ref="X550">
      <text>
        <t xml:space="preserve">======
ID#AAAB5BpTHlw
Nagy Pal Ors | VELTOL    (2026-04-28 08:09:25)
Centru de Dializa - Targoviste</t>
      </text>
    </comment>
    <comment authorId="0" ref="AD484">
      <text>
        <t xml:space="preserve">======
ID#AAAB3RcDwCo
Farczadi Janos | VELTOL    (2026-04-14 11:33:21)
GCIT-SAFTICA</t>
      </text>
    </comment>
    <comment authorId="0" ref="W220">
      <text>
        <t xml:space="preserve">======
ID#AAABpyX-jKQ
Vlad Ciubuca | VELTOL    (2025-08-25 08:05:32)
Paclisa</t>
      </text>
    </comment>
    <comment authorId="0" ref="X220">
      <text>
        <t xml:space="preserve">======
ID#AAABoCAY8iY
Vlad Ciubuca | VELTOL    (2025-08-27 05:23:23)
Paclisa</t>
      </text>
    </comment>
    <comment authorId="0" ref="Y220">
      <text>
        <t xml:space="preserve">======
ID#AAABqbVEWsM
Vlad Ciubuca | VELTOL    (2025-08-31 19:10:00)
Paclisa</t>
      </text>
    </comment>
    <comment authorId="0" ref="Z220">
      <text>
        <t xml:space="preserve">======
ID#AAABqbVEWsY
Vlad Ciubuca | VELTOL    (2025-08-31 19:10:09)
Paclisa</t>
      </text>
    </comment>
    <comment authorId="0" ref="AA220">
      <text>
        <t xml:space="preserve">======
ID#AAABqbVEWsk
Vlad Ciubuca | VELTOL    (2025-08-31 19:10:20)
Paclisa</t>
      </text>
    </comment>
    <comment authorId="0" ref="C221">
      <text>
        <t xml:space="preserve">======
ID#AAABpA8Ok44
Vlad Ciubuca    (2025-08-07 16:26:35)
Paclisa 140 drum +1 ora suplimentara</t>
      </text>
    </comment>
    <comment authorId="0" ref="D221">
      <text>
        <t xml:space="preserve">======
ID#AAABpA8Ok40
Vlad Ciubuca    (2025-08-07 16:26:32)
Paclisa 140 drum +1 ora suplimentara</t>
      </text>
    </comment>
    <comment authorId="0" ref="E221">
      <text>
        <t xml:space="preserve">======
ID#AAABpA8Ok4w
Vlad Ciubuca    (2025-08-07 16:26:22)
Paclisa 140 drum +2 ore suplimentara
------
ID#AAABpCm3sv4
Vlad Ciubuca | VELTOL    (2025-08-08 13:05:19)
1 ora!</t>
      </text>
    </comment>
    <comment authorId="0" ref="F221">
      <text>
        <t xml:space="preserve">======
ID#AAABpCVUcF8
Vlad Ciubuca | VELTOL    (2025-08-08 13:05:04)
Paclisa</t>
      </text>
    </comment>
    <comment authorId="0" ref="E155">
      <text>
        <t xml:space="preserve">======
ID#AAABm8v_Ey4
Anonymous    (2025-07-04 12:26:31)
Resalta TM</t>
      </text>
    </comment>
    <comment authorId="0" ref="Q485">
      <text>
        <t xml:space="preserve">======
ID#AAAB1_TYey4
Alpár Papp | VELTOL    (2026-03-18 09:59:12)
Breaza</t>
      </text>
    </comment>
    <comment authorId="0" ref="S485">
      <text>
        <t xml:space="preserve">======
ID#AAAB2MqloO8
Anonymous    (2026-03-20 12:01:38)
PERFORMDOOR</t>
      </text>
    </comment>
    <comment authorId="0" ref="AD485">
      <text>
        <t xml:space="preserve">======
ID#AAAB24XHnN4
Anonymous    (2026-04-01 05:21:13)
Iuhos Peter+Cipiran Banciu
------
ID#AAAB24XHnOQ
Tamás Szente | VELTOL    (2026-04-01 07:23:18)
Nu au delegatie
------
ID#AAAB6r0QBhQ
Robert Kendi | VELTOL    (2026-04-30 06:57:04)
Se scad din ore de recuperat si nu primesc delegatie</t>
      </text>
    </comment>
    <comment authorId="0" ref="F684">
      <text>
        <t xml:space="preserve">======
ID#AAAB_HFF14k
Nagy Pal Ors | VELTOL    (2026-07-06 04:42:31)
Retro - Focsani</t>
      </text>
    </comment>
    <comment authorId="0" ref="B222">
      <text>
        <t xml:space="preserve">======
ID#AAABo0SAJ4E
Nagy Pal Ors | VELTOL    (2025-08-06 05:18:50)
Orsova</t>
      </text>
    </comment>
    <comment authorId="0" ref="E156">
      <text>
        <t xml:space="preserve">======
ID#AAABm8v_Ey8
Anonymous    (2025-07-04 12:26:35)
Resalta TM</t>
      </text>
    </comment>
    <comment authorId="0" ref="AD552">
      <text>
        <t xml:space="preserve">======
ID#AAAB5DFZres
Farczadi Janos | VELTOL    (2026-04-29 04:58:05)
Vili Torja</t>
      </text>
    </comment>
    <comment authorId="0" ref="AD486">
      <text>
        <t xml:space="preserve">======
ID#AAAB24XHnN8
Anonymous    (2026-04-01 05:21:45)
Iuhos Peter+Ciprian Banciu
------
ID#AAAB24XHnOU
Tamás Szente | VELTOL    (2026-04-01 07:23:23)
Nu au delegatie
------
ID#AAAB6r0QBhU
Robert Kendi | VELTOL    (2026-04-30 06:57:15)
Se scad din ore de recuperat si nu primesc delegatie</t>
      </text>
    </comment>
    <comment authorId="0" ref="W222">
      <text>
        <t xml:space="preserve">======
ID#AAABpyX-jKU
Vlad Ciubuca | VELTOL    (2025-08-25 08:05:36)
Paclisa</t>
      </text>
    </comment>
    <comment authorId="0" ref="X222">
      <text>
        <t xml:space="preserve">======
ID#AAABoCAY8ic
Vlad Ciubuca | VELTOL    (2025-08-27 05:23:32)
Paclisa</t>
      </text>
    </comment>
    <comment authorId="0" ref="Y222">
      <text>
        <t xml:space="preserve">======
ID#AAABqbVEWsQ
Vlad Ciubuca | VELTOL    (2025-08-31 19:10:03)
Paclisa</t>
      </text>
    </comment>
    <comment authorId="0" ref="Z222">
      <text>
        <t xml:space="preserve">======
ID#AAABqbVEWsc
Vlad Ciubuca | VELTOL    (2025-08-31 19:10:13)
Paclisa</t>
      </text>
    </comment>
    <comment authorId="0" ref="AA222">
      <text>
        <t xml:space="preserve">======
ID#AAABqbVEWso
Vlad Ciubuca | VELTOL    (2025-08-31 19:10:23)
Paclisa</t>
      </text>
    </comment>
    <comment authorId="0" ref="B223">
      <text>
        <t xml:space="preserve">======
ID#AAABo0SAJ4I
Nagy Pal Ors | VELTOL    (2025-08-06 05:18:56)
Orsova</t>
      </text>
    </comment>
    <comment authorId="0" ref="B157">
      <text>
        <t xml:space="preserve">======
ID#AAABm4v6yk4
Vlad Ciubuca | VELTOL    (2025-07-02 05:33:30)
Hojda Ileana - Borsa</t>
      </text>
    </comment>
    <comment authorId="0" ref="C157">
      <text>
        <t xml:space="preserve">======
ID#AAABm4v6ylY
Vlad Ciubuca | VELTOL    (2025-07-02 05:38:50)
Farcas Nicolae DEJ</t>
      </text>
    </comment>
    <comment authorId="0" ref="D157">
      <text>
        <t xml:space="preserve">======
ID#AAABm2MPmwY
Alpár Papp | VELTOL    (2025-07-01 12:58:57)
Oprea Aurelia, jud. BV</t>
      </text>
    </comment>
    <comment authorId="0" ref="E157">
      <text>
        <t xml:space="preserve">======
ID#AAABm4opwuQ
Nagy Pal Ors | VELTOL    (2025-07-03 10:35:21)
Feleki Ibolya</t>
      </text>
    </comment>
    <comment authorId="0" ref="F157">
      <text>
        <t xml:space="preserve">======
ID#AAABmDmptWA
Nagy Pal Ors | VELTOL    (2025-07-04 07:18:04)
Emeric Feleki</t>
      </text>
    </comment>
    <comment authorId="0" ref="I157">
      <text>
        <t xml:space="preserve">======
ID#AAABnZw35oU
Vlad Ciubuca | VELTOL    (2025-07-16 07:42:33)
Aruncutean Bistrita</t>
      </text>
    </comment>
    <comment authorId="0" ref="M157">
      <text>
        <t xml:space="preserve">======
ID#AAABnWIql9A
Alpár Papp | VELTOL    (2025-07-14 06:51:04)
Ariesan Bistrita</t>
      </text>
    </comment>
    <comment authorId="0" ref="Q157">
      <text>
        <t xml:space="preserve">======
ID#AAABnZw35oM
Vlad Ciubuca | VELTOL    (2025-07-16 07:41:44)
Birlut Alba</t>
      </text>
    </comment>
    <comment authorId="0" ref="R157">
      <text>
        <t xml:space="preserve">======
ID#AAABncKE--Y
Vlad Ciubuca | VELTOL    (2025-07-17 07:47:45)
Birlut C Alba</t>
      </text>
    </comment>
    <comment authorId="0" ref="S157">
      <text>
        <t xml:space="preserve">======
ID#AAABmlIKx74
Alpár Papp | VELTOL    (2025-07-17 08:50:55)
Gherla + Batos Bumbu</t>
      </text>
    </comment>
    <comment authorId="0" ref="W157">
      <text>
        <t xml:space="preserve">======
ID#AAABoheoSCo
Anonymous    (2025-07-31 11:59:07)
Miresan BN</t>
      </text>
    </comment>
    <comment authorId="0" ref="X157">
      <text>
        <t xml:space="preserve">======
ID#AAABoheoSCw
Anonymous    (2025-07-31 12:02:04)
Bodor HR</t>
      </text>
    </comment>
    <comment authorId="0" ref="B224">
      <text>
        <t xml:space="preserve">======
ID#AAABo0SAJ4M
Nagy Pal Ors | VELTOL    (2025-08-06 05:19:03)
Orsova</t>
      </text>
    </comment>
    <comment authorId="0" ref="B158">
      <text>
        <t xml:space="preserve">======
ID#AAABm4v6yk8
Vlad Ciubuca | VELTOL    (2025-07-02 05:33:45)
Hojda Ileana - Borsa</t>
      </text>
    </comment>
    <comment authorId="0" ref="C158">
      <text>
        <t xml:space="preserve">======
ID#AAABm4v6ylc
Vlad Ciubuca | VELTOL    (2025-07-02 05:38:55)
Farcas Nicolae DEJ</t>
      </text>
    </comment>
    <comment authorId="0" ref="D158">
      <text>
        <t xml:space="preserve">======
ID#AAABm2MPmwc
Alpár Papp | VELTOL    (2025-07-01 12:59:07)
Oprea Aurelia, jud. BV</t>
      </text>
    </comment>
    <comment authorId="0" ref="E158">
      <text>
        <t xml:space="preserve">======
ID#AAABm4opwuU
Nagy Pal Ors | VELTOL    (2025-07-03 10:35:37)
Feleki Ibolya</t>
      </text>
    </comment>
    <comment authorId="0" ref="R554">
      <text>
        <t xml:space="preserve">======
ID#AAAB5DbH_m4
Farczadi Janos | VELTOL    (2026-04-29 09:25:09)
Avicola-Focsani</t>
      </text>
    </comment>
    <comment authorId="0" ref="F158">
      <text>
        <t xml:space="preserve">======
ID#AAABmDmptWE
Nagy Pal Ors | VELTOL    (2025-07-04 07:18:17)
Emeric Feleki</t>
      </text>
    </comment>
    <comment authorId="0" ref="I158">
      <text>
        <t xml:space="preserve">======
ID#AAABnZw35oY
Vlad Ciubuca | VELTOL    (2025-07-16 07:42:37)
Aruncutean Bistrita</t>
      </text>
    </comment>
    <comment authorId="0" ref="X554">
      <text>
        <t xml:space="preserve">======
ID#AAAB5BpTHlg
Anonymous    (2026-04-28 08:04:59)
Centru de Dializa - Targoviste</t>
      </text>
    </comment>
    <comment authorId="0" ref="M158">
      <text>
        <t xml:space="preserve">======
ID#AAABnWIql9E
Alpár Papp | VELTOL    (2025-07-14 06:51:13)
Ariesan Bistrita</t>
      </text>
    </comment>
    <comment authorId="0" ref="Q158">
      <text>
        <t xml:space="preserve">======
ID#AAABnZw35oQ
Vlad Ciubuca | VELTOL    (2025-07-16 07:41:48)
Birlut Alba</t>
      </text>
    </comment>
    <comment authorId="0" ref="R158">
      <text>
        <t xml:space="preserve">======
ID#AAABncKE--c
Vlad Ciubuca | VELTOL    (2025-07-17 07:47:48)
Birlut C Alba</t>
      </text>
    </comment>
    <comment authorId="0" ref="S158">
      <text>
        <t xml:space="preserve">======
ID#AAABmlIKx78
Alpár Papp | VELTOL    (2025-07-17 08:51:05)
Gherla + Batos Bumbu</t>
      </text>
    </comment>
    <comment authorId="0" ref="W224">
      <text>
        <t xml:space="preserve">======
ID#AAABpyX-jKY
Vlad Ciubuca | VELTOL    (2025-08-25 08:05:39)
Paclisa</t>
      </text>
    </comment>
    <comment authorId="0" ref="X224">
      <text>
        <t xml:space="preserve">======
ID#AAABoCAY8ig
Vlad Ciubuca | VELTOL    (2025-08-27 05:23:41)
Paclisa</t>
      </text>
    </comment>
    <comment authorId="0" ref="Y224">
      <text>
        <t xml:space="preserve">======
ID#AAABqbVEWsU
Vlad Ciubuca | VELTOL    (2025-08-31 19:10:06)
Paclisa</t>
      </text>
    </comment>
    <comment authorId="0" ref="W158">
      <text>
        <t xml:space="preserve">======
ID#AAABoheoSCs
Anonymous    (2025-07-31 11:59:17)
Miresan BN</t>
      </text>
    </comment>
    <comment authorId="0" ref="Z224">
      <text>
        <t xml:space="preserve">======
ID#AAABqbVEWsg
Vlad Ciubuca | VELTOL    (2025-08-31 19:10:16)
Paclisa</t>
      </text>
    </comment>
    <comment authorId="0" ref="X158">
      <text>
        <t xml:space="preserve">======
ID#AAABoheoSC0
Anonymous    (2025-07-31 12:02:11)
Bodor HR</t>
      </text>
    </comment>
    <comment authorId="0" ref="AA224">
      <text>
        <t xml:space="preserve">======
ID#AAABqbVEWss
Vlad Ciubuca | VELTOL    (2025-08-31 19:10:26)
Paclisa</t>
      </text>
    </comment>
    <comment authorId="0" ref="AD158">
      <text>
        <t xml:space="preserve">======
ID#AAABp1_Qv2g
Robert Kendi | VELTOL    (2025-08-13 06:18:34)
Doborcsány + Tasnád</t>
      </text>
    </comment>
    <comment authorId="0" ref="J489">
      <text>
        <t xml:space="preserve">======
ID#AAAB1q8spuQ
Alpár Papp | VELTOL    (2026-03-12 13:03:41)
Breaza
------
ID#AAAB22Lv4yQ
Anonymous    (2026-03-31 11:10:49)
NU se accepta. Fara factura si delegatie</t>
      </text>
    </comment>
    <comment authorId="0" ref="AE158">
      <text>
        <t xml:space="preserve">======
ID#AAABp1_Qv2k
Robert Kendi | VELTOL    (2025-08-13 06:18:42)
Doborcsány + Tasnád</t>
      </text>
    </comment>
    <comment authorId="0" ref="B159">
      <text>
        <t xml:space="preserve">======
ID#AAABm4v6ylM
Vlad Ciubuca | VELTOL    (2025-07-02 05:36:28)
Hojda Ileana - Borsa</t>
      </text>
    </comment>
    <comment authorId="0" ref="AH158">
      <text>
        <t xml:space="preserve">======
ID#AAABpQfCGGc
Robert Kendi | VELTOL    (2025-08-12 13:38:34)
CSibi Levi Bogata</t>
      </text>
    </comment>
    <comment authorId="0" ref="I357">
      <text>
        <t xml:space="preserve">======
ID#AAABxfOF_w4
Robert Kendi | VELTOL    (2025-12-15 09:29:51)
Delegtie SM - Stef Barth Tamas</t>
      </text>
    </comment>
    <comment authorId="0" ref="D159">
      <text>
        <t xml:space="preserve">======
ID#AAABm2MPmwg
Alpár Papp | VELTOL    (2025-07-01 12:59:11)
Oprea Aurelia, jud. BV</t>
      </text>
    </comment>
    <comment authorId="0" ref="E159">
      <text>
        <t xml:space="preserve">======
ID#AAABmlIKx8g
Robert Kendi | VELTOL    (2025-07-17 12:07:48)
SZ.B: Szilágyi Clara Lopadea Noua CV24</t>
      </text>
    </comment>
    <comment authorId="0" ref="F159">
      <text>
        <t xml:space="preserve">======
ID#AAABnN3fGSQ
Robert Kendi | VELTOL    (2025-07-09 11:01:28)
Stanila Emil CV-2024 BN</t>
      </text>
    </comment>
    <comment authorId="0" ref="S489">
      <text>
        <t xml:space="preserve">======
ID#AAAB3-VDtnE
Robert Kendi | VELTOL    (2026-04-24 14:27:40)
Perfomdoor Buzau 04.10 - 21:26</t>
      </text>
    </comment>
    <comment authorId="0" ref="K225">
      <text>
        <t xml:space="preserve">======
ID#AAABpTw5MOI
Vlad Ciubuca | VELTOL    (2025-08-14 06:05:52)
Transport seara Nissan defect</t>
      </text>
    </comment>
    <comment authorId="0" ref="J159">
      <text>
        <t xml:space="preserve">======
ID#AAABmlIKx8s
Robert Kendi | VELTOL    (2025-07-17 12:08:15)
Delegatie Ploiesti</t>
      </text>
    </comment>
    <comment authorId="0" ref="P159">
      <text>
        <t xml:space="preserve">======
ID#AAABmlIKx84
Robert Kendi | VELTOL    (2025-07-17 12:08:33)
Delegatie Ploiesti</t>
      </text>
    </comment>
    <comment authorId="0" ref="R159">
      <text>
        <t xml:space="preserve">======
ID#AAABnduDs-c
Alpár Papp | VELTOL    (2025-07-18 06:47:09)
Salamon, Pauleni</t>
      </text>
    </comment>
    <comment authorId="0" ref="B490">
      <text>
        <t xml:space="preserve">======
ID#AAAB1Xn-2dc
Alpár Papp | VELTOL    (2026-03-05 10:03:48)
GCIT Saftica</t>
      </text>
    </comment>
    <comment authorId="0" ref="W159">
      <text>
        <t xml:space="preserve">======
ID#AAABoheoSCc
Anonymous    (2025-07-31 11:57:42)
Miresan BN</t>
      </text>
    </comment>
    <comment authorId="0" ref="X159">
      <text>
        <t xml:space="preserve">======
ID#AAABnjmqFqE
Alpár Papp | VELTOL    (2025-07-22 05:29:49)
Dobrinas, Int. Buzaului</t>
      </text>
    </comment>
    <comment authorId="0" ref="C358">
      <text>
        <t xml:space="preserve">======
ID#AAABw0SsXxA
Alpár Papp | VELTOL    (2025-12-02 07:02:35)
GCIT Saftica</t>
      </text>
    </comment>
    <comment authorId="0" ref="I490">
      <text>
        <t xml:space="preserve">======
ID#AAAB211LxXM
Anonymous    (2026-03-31 07:41:44)
Saftica</t>
      </text>
    </comment>
    <comment authorId="0" ref="AD159">
      <text>
        <t xml:space="preserve">======
ID#AAABp1_Qv3Q
Robert Kendi | VELTOL    (2025-08-13 12:45:34)
Dobricionesti Secara</t>
      </text>
    </comment>
    <comment authorId="0" ref="F358">
      <text>
        <t xml:space="preserve">======
ID#AAABw0SsXxE
Alpár Papp | VELTOL    (2025-12-02 07:02:53)
GCIT Saftica</t>
      </text>
    </comment>
    <comment authorId="0" ref="AE159">
      <text>
        <t xml:space="preserve">======
ID#AAABp1_Qv3c
Robert Kendi | VELTOL    (2025-08-13 12:48:20)
C. Vladut Kisgorgeny + munka</t>
      </text>
    </comment>
    <comment authorId="0" ref="AF159">
      <text>
        <t xml:space="preserve">======
ID#AAABpQWpZAQ
Robert Kendi | VELTOL    (2025-08-12 13:35:53)
Gal Domokos HR</t>
      </text>
    </comment>
    <comment authorId="0" ref="B160">
      <text>
        <t xml:space="preserve">======
ID#AAABm4v6ylQ
Vlad Ciubuca | VELTOL    (2025-07-02 05:36:34)
Hojda Ileana - Borsa</t>
      </text>
    </comment>
    <comment authorId="0" ref="AH159">
      <text>
        <t xml:space="preserve">======
ID#AAABpQfCGGg
Robert Kendi | VELTOL    (2025-08-12 13:38:57)
CSibi Levi Bogata</t>
      </text>
    </comment>
    <comment authorId="0" ref="D160">
      <text>
        <t xml:space="preserve">======
ID#AAABm2MPmwk
Alpár Papp | VELTOL    (2025-07-01 12:59:15)
Oprea Aurelia, jud. BV</t>
      </text>
    </comment>
    <comment authorId="0" ref="K358">
      <text>
        <t xml:space="preserve">======
ID#AAABxez-uYo
Alpár Papp | VELTOL    (2025-12-12 12:33:59)
GCIT Saftica</t>
      </text>
    </comment>
    <comment authorId="0" ref="E160">
      <text>
        <t xml:space="preserve">======
ID#AAABmlIKx8k
Robert Kendi | VELTOL    (2025-07-17 12:07:53)
SZ.B: Szilágyi Clara Lopadea Noua CV24</t>
      </text>
    </comment>
    <comment authorId="0" ref="F160">
      <text>
        <t xml:space="preserve">======
ID#AAABnN3fGSU
Robert Kendi | VELTOL    (2025-07-09 11:01:32)
Stanila Emil CV-2024 BN</t>
      </text>
    </comment>
    <comment authorId="0" ref="Q490">
      <text>
        <t xml:space="preserve">======
ID#AAAB1_TYezM
Alpár Papp | VELTOL    (2026-03-18 10:06:19)
GCIT Saftica</t>
      </text>
    </comment>
    <comment authorId="0" ref="J160">
      <text>
        <t xml:space="preserve">======
ID#AAABmlIKx8w
Robert Kendi | VELTOL    (2025-07-17 12:08:20)
Delegatie Ploiesti</t>
      </text>
    </comment>
    <comment authorId="0" ref="Q358">
      <text>
        <t xml:space="preserve">======
ID#AAABxfOF_wk
Alpár Papp | VELTOL    (2025-12-15 09:14:44)
GCIT Saftica</t>
      </text>
    </comment>
    <comment authorId="0" ref="W490">
      <text>
        <t xml:space="preserve">======
ID#AAAB2hWqBLE
Alpár Papp | VELTOL    (2026-03-26 09:01:41)
Saftica</t>
      </text>
    </comment>
    <comment authorId="0" ref="P160">
      <text>
        <t xml:space="preserve">======
ID#AAABmlIKx88
Robert Kendi | VELTOL    (2025-07-17 12:08:38)
Delegatie Ploiesti</t>
      </text>
    </comment>
    <comment authorId="0" ref="R160">
      <text>
        <t xml:space="preserve">======
ID#AAABnduDs-g
Alpár Papp | VELTOL    (2025-07-18 06:47:13)
Salamon, Pauleni</t>
      </text>
    </comment>
    <comment authorId="0" ref="F689">
      <text>
        <t xml:space="preserve">======
ID#AAAB_HFF14o
Nagy Pal Ors | VELTOL    (2026-07-06 04:42:35)
Retro - Focsani</t>
      </text>
    </comment>
    <comment authorId="0" ref="B491">
      <text>
        <t xml:space="preserve">======
ID#AAAB1axyB9Y
Vlad Ciubuca | VELTOL    (2026-03-06 08:08:14)
Lykos</t>
      </text>
    </comment>
    <comment authorId="0" ref="W160">
      <text>
        <t xml:space="preserve">======
ID#AAABoheoSCg
Anonymous    (2025-07-31 11:57:56)
Miresan BN</t>
      </text>
    </comment>
    <comment authorId="0" ref="X160">
      <text>
        <t xml:space="preserve">======
ID#AAABnjmqFqI
Alpár Papp | VELTOL    (2025-07-22 05:29:52)
Dobrinas, Int. Buzaului</t>
      </text>
    </comment>
    <comment authorId="0" ref="C359">
      <text>
        <t xml:space="preserve">======
ID#AAABw0SsXxI
Alpár Papp | VELTOL    (2025-12-02 07:03:06)
GCIT Saftica</t>
      </text>
    </comment>
    <comment authorId="0" ref="AD160">
      <text>
        <t xml:space="preserve">======
ID#AAABp1_Qv3U
Robert Kendi | VELTOL    (2025-08-13 12:45:40)
Dobricionesti Secara</t>
      </text>
    </comment>
    <comment authorId="0" ref="AF160">
      <text>
        <t xml:space="preserve">======
ID#AAABpQWpZAU
Robert Kendi | VELTOL    (2025-08-12 13:35:57)
Gal Domokos HR</t>
      </text>
    </comment>
    <comment authorId="0" ref="B161">
      <text>
        <t xml:space="preserve">======
ID#AAABm4v6ylU
Vlad Ciubuca | VELTOL    (2025-07-02 05:36:39)
Hojda Ileana - Borsa</t>
      </text>
    </comment>
    <comment authorId="0" ref="AH160">
      <text>
        <t xml:space="preserve">======
ID#AAABpQfCGGk
Robert Kendi | VELTOL    (2025-08-12 13:39:05)
CSibi Levi Bogata</t>
      </text>
    </comment>
    <comment authorId="0" ref="D161">
      <text>
        <t xml:space="preserve">======
ID#AAABm2MPmwo
Alpár Papp | VELTOL    (2025-07-01 12:59:20)
Oprea Aurelia, jud. BV</t>
      </text>
    </comment>
    <comment authorId="0" ref="K359">
      <text>
        <t xml:space="preserve">======
ID#AAABxez-uYs
Alpár Papp | VELTOL    (2025-12-12 12:34:10)
GCIT Saftica</t>
      </text>
    </comment>
    <comment authorId="0" ref="E161">
      <text>
        <t xml:space="preserve">======
ID#AAABmlIKx8o
Robert Kendi | VELTOL    (2025-07-17 12:07:59)
SZ.B: Szilágyi Clara Lopadea Noua CV24</t>
      </text>
    </comment>
    <comment authorId="0" ref="F161">
      <text>
        <t xml:space="preserve">======
ID#AAABnN3fGSY
Robert Kendi | VELTOL    (2025-07-09 11:01:36)
Stanila Emil CV-2024 BN</t>
      </text>
    </comment>
    <comment authorId="0" ref="J161">
      <text>
        <t xml:space="preserve">======
ID#AAABmlIKx80
Robert Kendi | VELTOL    (2025-07-17 12:08:26)
Delegatie Ploiesti</t>
      </text>
    </comment>
    <comment authorId="0" ref="Q359">
      <text>
        <t xml:space="preserve">======
ID#AAABxfOF_wo
Alpár Papp | VELTOL    (2025-12-15 09:14:55)
GCIT Saftica</t>
      </text>
    </comment>
    <comment authorId="0" ref="R161">
      <text>
        <t xml:space="preserve">======
ID#AAABnduDs-k
Alpár Papp | VELTOL    (2025-07-18 06:47:17)
Salamon, Pauleni</t>
      </text>
    </comment>
    <comment authorId="0" ref="W161">
      <text>
        <t xml:space="preserve">======
ID#AAABoheoSCk
Anonymous    (2025-07-31 11:58:00)
Miresan BN</t>
      </text>
    </comment>
    <comment authorId="0" ref="X161">
      <text>
        <t xml:space="preserve">======
ID#AAABnjmqFqM
Alpár Papp | VELTOL    (2025-07-22 05:29:55)
Dobrinas, Int. Buzaului</t>
      </text>
    </comment>
    <comment authorId="0" ref="AD161">
      <text>
        <t xml:space="preserve">======
ID#AAABp1_Qv3Y
Robert Kendi | VELTOL    (2025-08-13 12:45:47)
Dobricionesti Secara</t>
      </text>
    </comment>
    <comment authorId="0" ref="AF161">
      <text>
        <t xml:space="preserve">======
ID#AAABpQWpZAY
Robert Kendi | VELTOL    (2025-08-12 13:36:02)
Gal Domokos HR</t>
      </text>
    </comment>
    <comment authorId="0" ref="AH161">
      <text>
        <t xml:space="preserve">======
ID#AAABpQfCGGo
Robert Kendi | VELTOL    (2025-08-12 13:39:10)
CSibi Levi Bogata</t>
      </text>
    </comment>
    <comment authorId="0" ref="C162">
      <text>
        <t xml:space="preserve">======
ID#AAABm4v6ylg
Vlad Ciubuca | VELTOL    (2025-07-02 05:39:12)
Farcas Nicolae DEJ</t>
      </text>
    </comment>
    <comment authorId="0" ref="D162">
      <text>
        <t xml:space="preserve">======
ID#AAABm4v7q0w
Nagy Pal Ors | VELTOL    (2025-07-02 07:44:27)
Feleki 1,2 - HR</t>
      </text>
    </comment>
    <comment authorId="0" ref="B493">
      <text>
        <t xml:space="preserve">======
ID#AAAB1Xn-2dg
Alpár Papp | VELTOL    (2026-03-05 10:04:39)
GCIT Saftica</t>
      </text>
    </comment>
    <comment authorId="0" ref="I493">
      <text>
        <t xml:space="preserve">======
ID#AAAB211LxXU
Anonymous    (2026-03-31 07:54:05)
Saftica</t>
      </text>
    </comment>
    <comment authorId="0" ref="B229">
      <text>
        <t xml:space="preserve">======
ID#AAABq4APRz0
Robert Kendi | VELTOL    (2025-09-08 12:51:57)
Ludusan Cristian Blaj</t>
      </text>
    </comment>
    <comment authorId="0" ref="C229">
      <text>
        <t xml:space="preserve">======
ID#AAABq4APR0U
Robert Kendi | VELTOL    (2025-09-08 12:57:38)
Cornel Tomoni HD</t>
      </text>
    </comment>
    <comment authorId="0" ref="D229">
      <text>
        <t xml:space="preserve">======
ID#AAABoJa1bxY
Nagy Pal Ors | VELTOL    (2025-09-08 13:22:29)
Solyom Klara - Salaj</t>
      </text>
    </comment>
    <comment authorId="0" ref="E229">
      <text>
        <t xml:space="preserve">======
ID#AAABqnOgk7M
Bela Pal Szasz    (2025-09-05 04:43:02)
Parohia Reformata Buza, CJ</t>
      </text>
    </comment>
    <comment authorId="0" ref="C163">
      <text>
        <t xml:space="preserve">======
ID#AAABm4v7q0g
Vlad Ciubuca | VELTOL    (2025-07-02 05:39:15)
Farcas Nicolae DEJ</t>
      </text>
    </comment>
    <comment authorId="0" ref="D163">
      <text>
        <t xml:space="preserve">======
ID#AAABm4v7q00
Nagy Pal Ors | VELTOL    (2025-07-02 07:44:33)
Feleki 1,2 - HR</t>
      </text>
    </comment>
    <comment authorId="0" ref="Q493">
      <text>
        <t xml:space="preserve">======
ID#AAAB211LxYU
Anonymous    (2026-03-31 08:25:34)
Saftica</t>
      </text>
    </comment>
    <comment authorId="0" ref="I163">
      <text>
        <t xml:space="preserve">======
ID#AAABnN3fXGQ
Nagy Pal Ors | VELTOL    (2025-07-09 12:38:02)
Delegatie Orsova</t>
      </text>
    </comment>
    <comment authorId="0" ref="L229">
      <text>
        <t xml:space="preserve">======
ID#AAABrMGx7Vc
Anonymous    (2025-09-16 08:22:10)
Marta cofetarie CJ</t>
      </text>
    </comment>
    <comment authorId="0" ref="J163">
      <text>
        <t xml:space="preserve">======
ID#AAABnN3fXGY
Nagy Pal Ors | VELTOL    (2025-07-09 12:40:13)
Delegatie Orsova</t>
      </text>
    </comment>
    <comment authorId="0" ref="K163">
      <text>
        <t xml:space="preserve">======
ID#AAABnN3fXGg
Nagy Pal Ors | VELTOL    (2025-07-09 12:40:21)
Delegatie Orsova</t>
      </text>
    </comment>
    <comment authorId="0" ref="W493">
      <text>
        <t xml:space="preserve">======
ID#AAAB211Nzns
Anonymous    (2026-03-31 08:51:25)
Saftica</t>
      </text>
    </comment>
    <comment authorId="0" ref="P163">
      <text>
        <t xml:space="preserve">======
ID#AAABnX6tZow
Tamás Szente | VELTOL    (2025-07-15 08:42:28)
Orsova</t>
      </text>
    </comment>
    <comment authorId="0" ref="Q163">
      <text>
        <t xml:space="preserve">======
ID#AAABnX6tZo0
Tamás Szente | VELTOL    (2025-07-15 08:42:36)
Orsova</t>
      </text>
    </comment>
    <comment authorId="0" ref="B494">
      <text>
        <t xml:space="preserve">======
ID#AAAB1Xn-2dk
Alpár Papp | VELTOL    (2026-03-05 10:04:44)
GCIT Saftica</t>
      </text>
    </comment>
    <comment authorId="0" ref="Y229">
      <text>
        <t xml:space="preserve">======
ID#AAABsaPpZF0
Robert Kendi | VELTOL    (2025-10-13 08:24:00)
Mypowerteam TM</t>
      </text>
    </comment>
    <comment authorId="0" ref="W163">
      <text>
        <t xml:space="preserve">======
ID#AAABnwsV2hg
Nagy Pal Ors | VELTOL    (2025-07-24 08:06:16)
Orsova</t>
      </text>
    </comment>
    <comment authorId="0" ref="X163">
      <text>
        <t xml:space="preserve">======
ID#AAABnwsV2hk
Nagy Pal Ors | VELTOL    (2025-07-24 08:06:27)
Orsova</t>
      </text>
    </comment>
    <comment authorId="0" ref="Y163">
      <text>
        <t xml:space="preserve">======
ID#AAABnwsV2ho
Nagy Pal Ors | VELTOL    (2025-07-24 08:06:43)
Orsova</t>
      </text>
    </comment>
    <comment authorId="0" ref="Z163">
      <text>
        <t xml:space="preserve">======
ID#AAABnwsV2hw
Nagy Pal Ors | VELTOL    (2025-07-24 08:06:52)
Orsova</t>
      </text>
    </comment>
    <comment authorId="0" ref="AF229">
      <text>
        <t xml:space="preserve">======
ID#AAABsaPpmmo
Robert Kendi | VELTOL    (2025-10-13 08:26:59)
szekely Istvan Gherla</t>
      </text>
    </comment>
    <comment authorId="0" ref="I494">
      <text>
        <t xml:space="preserve">======
ID#AAAB211LxXY
Anonymous    (2026-03-31 07:57:48)
Saftica</t>
      </text>
    </comment>
    <comment authorId="0" ref="AD163">
      <text>
        <t xml:space="preserve">======
ID#AAABoa_zsAQ
Nagy Pal Ors | VELTOL    (2025-07-29 07:53:25)
Orsova</t>
      </text>
    </comment>
    <comment authorId="0" ref="B230">
      <text>
        <t xml:space="preserve">======
ID#AAABq4APRz4
Robert Kendi | VELTOL    (2025-09-08 12:52:04)
Ludusan Cristian Blaj</t>
      </text>
    </comment>
    <comment authorId="0" ref="AH229">
      <text>
        <t xml:space="preserve">======
ID#AAABpNDntOM
Béla Pál Szász | VELTOL    (2025-10-06 08:49:21)
Secăreanu, Sighișoara, MS</t>
      </text>
    </comment>
    <comment authorId="0" ref="C230">
      <text>
        <t xml:space="preserve">======
ID#AAABoJa1bww
Robert Kendi | VELTOL    (2025-09-08 12:57:43)
Cornel Tomoni HD</t>
      </text>
    </comment>
    <comment authorId="0" ref="D230">
      <text>
        <t xml:space="preserve">======
ID#AAABoJa1bxU
Nagy Pal Ors | VELTOL    (2025-09-08 13:22:23)
Solyom Klara - Salaj</t>
      </text>
    </comment>
    <comment authorId="0" ref="E230">
      <text>
        <t xml:space="preserve">======
ID#AAABqnOgk7Q
Bela Pal Szasz    (2025-09-05 04:43:10)
Parohia Reformata Buza, CJ</t>
      </text>
    </comment>
    <comment authorId="0" ref="C164">
      <text>
        <t xml:space="preserve">======
ID#AAABm4v7q0k
Vlad Ciubuca | VELTOL    (2025-07-02 05:39:20)
Farcas Nicolae DEJ</t>
      </text>
    </comment>
    <comment authorId="0" ref="D164">
      <text>
        <t xml:space="preserve">======
ID#AAABm4v7q04
Nagy Pal Ors | VELTOL    (2025-07-02 07:44:37)
Feleki 1,2 - HR</t>
      </text>
    </comment>
    <comment authorId="0" ref="Q494">
      <text>
        <t xml:space="preserve">======
ID#AAAB211Nznc
Anonymous    (2026-03-31 08:25:40)
Saftica</t>
      </text>
    </comment>
    <comment authorId="0" ref="I164">
      <text>
        <t xml:space="preserve">======
ID#AAABnN3fXGU
Nagy Pal Ors | VELTOL    (2025-07-09 12:38:07)
Delegatie Orsova</t>
      </text>
    </comment>
    <comment authorId="0" ref="L230">
      <text>
        <t xml:space="preserve">======
ID#AAABrMGx7Vg
Anonymous    (2025-09-16 08:22:22)
Marta cofetarie CJ</t>
      </text>
    </comment>
    <comment authorId="0" ref="J164">
      <text>
        <t xml:space="preserve">======
ID#AAABnN3fXGc
Nagy Pal Ors | VELTOL    (2025-07-09 12:40:16)
Delegatie Orsova</t>
      </text>
    </comment>
    <comment authorId="0" ref="K164">
      <text>
        <t xml:space="preserve">======
ID#AAABnN3fXGk
Nagy Pal Ors | VELTOL    (2025-07-09 12:40:27)
Delegatie Orsova</t>
      </text>
    </comment>
    <comment authorId="0" ref="P296">
      <text>
        <t xml:space="preserve">======
ID#AAABtGefj5Q
Béla Pál Szász | VELTOL    (2025-10-22 06:34:12)
Incarcare panouri dupa program - 2 ore</t>
      </text>
    </comment>
    <comment authorId="0" ref="W494">
      <text>
        <t xml:space="preserve">======
ID#AAAB211Nznw
Anonymous    (2026-03-31 08:51:41)
Saftica</t>
      </text>
    </comment>
    <comment authorId="0" ref="B495">
      <text>
        <t xml:space="preserve">======
ID#AAAB1Xn-2do
Alpár Papp | VELTOL    (2026-03-05 10:04:48)
GCIT Saftica</t>
      </text>
    </comment>
    <comment authorId="0" ref="Y230">
      <text>
        <t xml:space="preserve">======
ID#AAABsaPpZF4
Robert Kendi | VELTOL    (2025-10-13 08:24:06)
Mypowerteam TM</t>
      </text>
    </comment>
    <comment authorId="0" ref="W164">
      <text>
        <t xml:space="preserve">======
ID#AAABnwsV2hs
Nagy Pal Ors | VELTOL    (2025-07-24 08:06:48)
Orsova</t>
      </text>
    </comment>
    <comment authorId="0" ref="Y164">
      <text>
        <t xml:space="preserve">======
ID#AAABnwsV2h4
Nagy Pal Ors | VELTOL    (2025-07-24 08:07:03)
Orsova</t>
      </text>
    </comment>
    <comment authorId="0" ref="Z164">
      <text>
        <t xml:space="preserve">======
ID#AAABnwsV2h0
Nagy Pal Ors | VELTOL    (2025-07-24 08:06:58)
Orsova</t>
      </text>
    </comment>
    <comment authorId="0" ref="AF230">
      <text>
        <t xml:space="preserve">======
ID#AAABsaPpmms
Robert Kendi | VELTOL    (2025-10-13 08:27:03)
szekely Istvan Gherla</t>
      </text>
    </comment>
    <comment authorId="0" ref="AD164">
      <text>
        <t xml:space="preserve">======
ID#AAABoa_zsAU
Nagy Pal Ors | VELTOL    (2025-07-29 07:53:37)
Orsova</t>
      </text>
    </comment>
    <comment authorId="0" ref="AH230">
      <text>
        <t xml:space="preserve">======
ID#AAABpNDntPQ
Béla Pál Szász | VELTOL    (2025-10-06 08:49:31)
Secăreanu, Sighișoara, MS</t>
      </text>
    </comment>
    <comment authorId="0" ref="D231">
      <text>
        <t xml:space="preserve">======
ID#AAABqg5UWDA
Bela Pal Szasz    (2025-09-03 04:29:18)
Baba Viorel, Gherla/CJ</t>
      </text>
    </comment>
    <comment authorId="0" ref="K363">
      <text>
        <t xml:space="preserve">======
ID#AAABxez-uYw
Alpár Papp | VELTOL    (2025-12-12 12:34:24)
GCIT Saftica</t>
      </text>
    </comment>
    <comment authorId="0" ref="Q495">
      <text>
        <t xml:space="preserve">======
ID#AAAB211Nzng
Anonymous    (2026-03-31 08:25:46)
Saftica</t>
      </text>
    </comment>
    <comment authorId="0" ref="W495">
      <text>
        <t xml:space="preserve">======
ID#AAAB211Nzn0
Anonymous    (2026-03-31 08:51:41)
Saftica</t>
      </text>
    </comment>
    <comment authorId="0" ref="B496">
      <text>
        <t xml:space="preserve">======
ID#AAAB2hWqBME
Robert Kendi | VELTOL    (2026-03-26 13:07:19)
CGG AGRIA</t>
      </text>
    </comment>
    <comment authorId="0" ref="Y99">
      <text>
        <t xml:space="preserve">======
ID#AAABkAhJeVg
Vlad Ciubuca | VELTOL    (2025-05-23 11:06:25)
service Toplita</t>
      </text>
    </comment>
    <comment authorId="0" ref="K562">
      <text>
        <t xml:space="preserve">======
ID#AAAB6imNN-w
Nagy Pal Ors | VELTOL    (2026-05-18 06:53:55)
Fundata</t>
      </text>
    </comment>
    <comment authorId="0" ref="I496">
      <text>
        <t xml:space="preserve">======
ID#AAAB2i-D9rY
Robert Kendi | VELTOL    (2026-03-26 14:01:25)
CGC Agria</t>
      </text>
    </comment>
    <comment authorId="0" ref="B232">
      <text>
        <t xml:space="preserve">======
ID#AAABq4APR0E
Robert Kendi | VELTOL    (2025-09-08 12:55:39)
Koto Hardi Attila Gherla CJ</t>
      </text>
    </comment>
    <comment authorId="0" ref="K364">
      <text>
        <t xml:space="preserve">======
ID#AAABxez-uY0
Alpár Papp | VELTOL    (2025-12-12 12:34:41)
GCIT Saftica</t>
      </text>
    </comment>
    <comment authorId="0" ref="P496">
      <text>
        <t xml:space="preserve">======
ID#AAAB211LxYI
Anonymous    (2026-03-31 08:13:56)
CGC Agria</t>
      </text>
    </comment>
    <comment authorId="0" ref="R232">
      <text>
        <t xml:space="preserve">======
ID#AAABrO3sAUg
Béla Pál Szász | VELTOL    (2025-09-17 07:00:14)
Fekete Gabor, Poian, CV</t>
      </text>
    </comment>
    <comment authorId="0" ref="S232">
      <text>
        <t xml:space="preserve">======
ID#AAABrlzZrYU
Béla Pál Szász | VELTOL    (2025-09-29 06:07:07)
Climescu Emilia, Poian, jud. CV</t>
      </text>
    </comment>
    <comment authorId="0" ref="Q100">
      <text>
        <t xml:space="preserve">======
ID#AAABjlRNLhs
Béla Pál Szász | VELTOL    (2025-05-13 07:05:37)
Osvath Sandor, Vărșag</t>
      </text>
    </comment>
    <comment authorId="0" ref="R100">
      <text>
        <t xml:space="preserve">======
ID#AAABjnPT2Tw
Alpár Papp | VELTOL    (2025-05-14 09:26:25)
Torja 2 rendszer Kovacs Tunde (20+18)</t>
      </text>
    </comment>
    <comment authorId="0" ref="S100">
      <text>
        <t xml:space="preserve">======
ID#AAABjp9MJno
Vlad Ciubuca | VELTOL    (2025-05-15 07:14:02)
Nache Steluta Maioresti</t>
      </text>
    </comment>
    <comment authorId="0" ref="B497">
      <text>
        <t xml:space="preserve">======
ID#AAAB2hWqBMc
Robert Kendi | VELTOL    (2026-03-26 13:17:20)
CGC AGRIA</t>
      </text>
    </comment>
    <comment authorId="0" ref="X100">
      <text>
        <t xml:space="preserve">======
ID#AAABjaqIScQ
Alpár Papp | VELTOL    (2025-05-19 11:40:26)
Gilyen+Purcaru Alba</t>
      </text>
    </comment>
    <comment authorId="0" ref="K563">
      <text>
        <t xml:space="preserve">======
ID#AAAB6imNN-0
Nagy Pal Ors | VELTOL    (2026-05-18 06:54:02)
Fundata</t>
      </text>
    </comment>
    <comment authorId="0" ref="I497">
      <text>
        <t xml:space="preserve">======
ID#AAAB2i-D9rc
Robert Kendi | VELTOL    (2026-03-26 14:01:29)
CGC Agria</t>
      </text>
    </comment>
    <comment authorId="0" ref="B233">
      <text>
        <t xml:space="preserve">======
ID#AAABq4APR0I
Robert Kendi | VELTOL    (2025-09-08 12:55:44)
Koto Hardi Attila Gherla CJ</t>
      </text>
    </comment>
    <comment authorId="0" ref="AE100">
      <text>
        <t xml:space="preserve">======
ID#AAABlt8KdMY
Béla Pál Szász | VELTOL    (2025-06-16 10:32:42)
Elisabeta Budai - Sic, CJ</t>
      </text>
    </comment>
    <comment authorId="0" ref="AG100">
      <text>
        <t xml:space="preserve">======
ID#AAABlkWtBzs
Béla Pál Szász | VELTOL    (2025-06-11 05:19:05)
Biro Imre - Feliceni, HR</t>
      </text>
    </comment>
    <comment authorId="0" ref="P497">
      <text>
        <t xml:space="preserve">======
ID#AAAB211LxYM
Anonymous    (2026-03-31 08:14:11)
CGC Agria</t>
      </text>
    </comment>
    <comment authorId="0" ref="P233">
      <text>
        <t xml:space="preserve">======
ID#AAABrKBpV1M
Alpár Papp | VELTOL    (2025-09-15 13:01:41)
Levicko Turia</t>
      </text>
    </comment>
    <comment authorId="0" ref="R233">
      <text>
        <t xml:space="preserve">======
ID#AAABrO3sAUk
Béla Pál Szász | VELTOL    (2025-09-17 07:00:24)
Fekete Gabor, Poian, CV</t>
      </text>
    </comment>
    <comment authorId="0" ref="S233">
      <text>
        <t xml:space="preserve">======
ID#AAABrlzZrYY
Béla Pál Szász | VELTOL    (2025-09-29 06:07:24)
Climescu Emilia, Poian, jud. CV</t>
      </text>
    </comment>
    <comment authorId="0" ref="Q101">
      <text>
        <t xml:space="preserve">======
ID#AAABjlRNLhw
Béla Pál Szász | VELTOL    (2025-05-13 07:05:43)
Osvath Sandor, Vărșag</t>
      </text>
    </comment>
    <comment authorId="0" ref="R101">
      <text>
        <t xml:space="preserve">======
ID#AAABjnPT2T0
Alpár Papp | VELTOL    (2025-05-14 09:26:40)
Torja 2 rendszer Kovacs Tunde (20+18)</t>
      </text>
    </comment>
    <comment authorId="0" ref="S101">
      <text>
        <t xml:space="preserve">======
ID#AAABjp9MJns
Vlad Ciubuca | VELTOL    (2025-05-15 07:14:07)
Nache Steluta Maioresti</t>
      </text>
    </comment>
    <comment authorId="0" ref="B498">
      <text>
        <t xml:space="preserve">======
ID#AAAB2hWqBMY
Robert Kendi | VELTOL    (2026-03-26 13:16:43)
CGC AGRIA</t>
      </text>
    </comment>
    <comment authorId="0" ref="I630">
      <text>
        <t xml:space="preserve">======
ID#AAAB9k2LSpY
Farczadi Janos | VELTOL    (2026-06-15 11:45:27)
Avicola-FOCSANI</t>
      </text>
    </comment>
    <comment authorId="0" ref="X101">
      <text>
        <t xml:space="preserve">======
ID#AAABjaqIScU
Alpár Papp | VELTOL    (2025-05-19 11:40:35)
Gilyen+Purcaru Alba</t>
      </text>
    </comment>
    <comment authorId="0" ref="I498">
      <text>
        <t xml:space="preserve">======
ID#AAAB2i-D9rg
Robert Kendi | VELTOL    (2026-03-26 14:01:34)
CGC Agria</t>
      </text>
    </comment>
    <comment authorId="0" ref="B234">
      <text>
        <t xml:space="preserve">======
ID#AAABqeaX6dE
Nagy Pal Ors | VELTOL    (2025-09-02 11:30:38)
Orsova</t>
      </text>
    </comment>
    <comment authorId="0" ref="AE101">
      <text>
        <t xml:space="preserve">======
ID#AAABlt8KdMc
Béla Pál Szász | VELTOL    (2025-06-16 10:32:47)
Elisabeta Budai - Sic, CJ</t>
      </text>
    </comment>
    <comment authorId="0" ref="AG101">
      <text>
        <t xml:space="preserve">======
ID#AAABlkWtBzw
Béla Pál Szász | VELTOL    (2025-06-11 05:19:10)
Biro Imre - Feliceni, HR</t>
      </text>
    </comment>
    <comment authorId="0" ref="I234">
      <text>
        <t xml:space="preserve">======
ID#AAABrMGx7VI
Anonymous    (2025-09-16 08:18:44)
Orsova</t>
      </text>
    </comment>
    <comment authorId="0" ref="S432">
      <text>
        <t xml:space="preserve">======
ID#AAAB0EfJzk8
Vlad Ciubuca | VELTOL    (2026-02-10 09:26:38)
Lykos</t>
      </text>
    </comment>
    <comment authorId="0" ref="P234">
      <text>
        <t xml:space="preserve">======
ID#AAABrKBpV1Q
Alpár Papp | VELTOL    (2025-09-15 13:01:45)
Levicko Turia</t>
      </text>
    </comment>
    <comment authorId="0" ref="Q102">
      <text>
        <t xml:space="preserve">======
ID#AAABjlRNLh0
Béla Pál Szász | VELTOL    (2025-05-13 07:05:47)
Osvath Sandor, Vărșag</t>
      </text>
    </comment>
    <comment authorId="0" ref="R102">
      <text>
        <t xml:space="preserve">======
ID#AAABjnPT2T4
Alpár Papp | VELTOL    (2025-05-14 09:26:50)
Torja 2 rendszer Kovacs Tunde (20+18)</t>
      </text>
    </comment>
    <comment authorId="0" ref="W234">
      <text>
        <t xml:space="preserve">======
ID#AAABpKj2gZ4
Nagy Pal Ors | VELTOL    (2025-09-30 11:27:16)
Orsova</t>
      </text>
    </comment>
    <comment authorId="0" ref="S102">
      <text>
        <t xml:space="preserve">======
ID#AAABjp9MJnw
Vlad Ciubuca | VELTOL    (2025-05-15 07:14:10)
Nache Steluta Maioresti</t>
      </text>
    </comment>
    <comment authorId="0" ref="B499">
      <text>
        <t xml:space="preserve">======
ID#AAAB2hWqBMA
Robert Kendi | VELTOL    (2026-03-26 12:59:39)
CGG AGRIA</t>
      </text>
    </comment>
    <comment authorId="0" ref="X102">
      <text>
        <t xml:space="preserve">======
ID#AAABjaqIScY
Alpár Papp | VELTOL    (2025-05-19 11:40:41)
Gilyen+Purcaru Alba</t>
      </text>
    </comment>
    <comment authorId="0" ref="I565">
      <text>
        <t xml:space="preserve">======
ID#AAAB8eRGpQg
Farczadi Janos | VELTOL    (2026-05-25 08:08:16)
GCIT-PREDEAL</t>
      </text>
    </comment>
    <comment authorId="0" ref="AD234">
      <text>
        <t xml:space="preserve">======
ID#AAABpKj2gaE
Nagy Pal Ors | VELTOL    (2025-09-30 11:28:02)
Orsova</t>
      </text>
    </comment>
    <comment authorId="0" ref="AF234">
      <text>
        <t xml:space="preserve">======
ID#AAABpNCdz8k
Béla Pál Szász | VELTOL    (2025-10-06 06:25:57)
Spital Bistrita</t>
      </text>
    </comment>
    <comment authorId="0" ref="AG234">
      <text>
        <t xml:space="preserve">======
ID#AAABpNDntNM
Béla Pál Szász | VELTOL    (2025-10-06 06:26:54)
Spital Bistrita</t>
      </text>
    </comment>
    <comment authorId="0" ref="B235">
      <text>
        <t xml:space="preserve">======
ID#AAABqeaX6dI
Nagy Pal Ors | VELTOL    (2025-09-02 11:30:44)
Orsova</t>
      </text>
    </comment>
    <comment authorId="0" ref="AH234">
      <text>
        <t xml:space="preserve">======
ID#AAABpNDntNU
Béla Pál Szász | VELTOL    (2025-10-06 06:27:45)
Spital Bistrita</t>
      </text>
    </comment>
    <comment authorId="0" ref="AE102">
      <text>
        <t xml:space="preserve">======
ID#AAABlt8KdMg
Béla Pál Szász | VELTOL    (2025-06-16 10:32:53)
Elisabeta Budai - Sic, CJ</t>
      </text>
    </comment>
    <comment authorId="0" ref="AG102">
      <text>
        <t xml:space="preserve">======
ID#AAABlkWtBz0
Béla Pál Szász | VELTOL    (2025-06-11 05:19:15)
Biro Imre - Feliceni, HR</t>
      </text>
    </comment>
    <comment authorId="0" ref="I235">
      <text>
        <t xml:space="preserve">======
ID#AAABrMGx7VM
Anonymous    (2025-09-16 08:18:52)
Orsova</t>
      </text>
    </comment>
    <comment authorId="0" ref="X565">
      <text>
        <t xml:space="preserve">======
ID#AAAB6wITipU
Alpár Papp | VELTOL    (2026-05-19 12:45:16)
GCIT Saftica</t>
      </text>
    </comment>
    <comment authorId="0" ref="Y565">
      <text>
        <t xml:space="preserve">======
ID#AAAB6wITipY
Alpár Papp | VELTOL    (2026-05-19 12:45:23)
Lorin, Dambovita</t>
      </text>
    </comment>
    <comment authorId="0" ref="Z565">
      <text>
        <t xml:space="preserve">======
ID#AAAB8eRGpRM
Farczadi Janos | VELTOL    (2026-05-25 08:26:00)
GCIT-PREDEAL</t>
      </text>
    </comment>
    <comment authorId="0" ref="AF565">
      <text>
        <t xml:space="preserve">======
ID#AAAB8BHEtI8
Alpár Papp | VELTOL    (2026-05-26 05:46:19)
Pascani</t>
      </text>
    </comment>
    <comment authorId="0" ref="W235">
      <text>
        <t xml:space="preserve">======
ID#AAABpKj2gZ8
Nagy Pal Ors | VELTOL    (2025-09-30 11:27:28)
Orsova</t>
      </text>
    </comment>
    <comment authorId="0" ref="R37">
      <text>
        <t xml:space="preserve">======
ID#AAABgqNGjac
Nagy Pál    (2025-04-16 09:52:35)
Pop Anca - mutat Victron+Baterie</t>
      </text>
    </comment>
    <comment authorId="0" ref="B500">
      <text>
        <t xml:space="preserve">======
ID#AAAB2hWqBMU
Robert Kendi | VELTOL    (2026-03-26 13:14:20)
CGC Agria</t>
      </text>
    </comment>
    <comment authorId="0" ref="AD235">
      <text>
        <t xml:space="preserve">======
ID#AAABpKj2gaI
Nagy Pal Ors | VELTOL    (2025-09-30 11:28:09)
Orsova</t>
      </text>
    </comment>
    <comment authorId="0" ref="AF235">
      <text>
        <t xml:space="preserve">======
ID#AAABpNCdz8o
Béla Pál Szász | VELTOL    (2025-10-06 06:26:05)
Spital Bistrita</t>
      </text>
    </comment>
    <comment authorId="0" ref="Z37">
      <text>
        <t xml:space="preserve">======
ID#AAABjSm-wHM
Anonymous    (2025-05-12 12:08:32)
Nagy Stefan Gherla</t>
      </text>
    </comment>
    <comment authorId="0" ref="AG235">
      <text>
        <t xml:space="preserve">======
ID#AAABpNDntNQ
Béla Pál Szász | VELTOL    (2025-10-06 06:27:00)
Spital Bistrita</t>
      </text>
    </comment>
    <comment authorId="0" ref="B236">
      <text>
        <t xml:space="preserve">======
ID#AAABqeaX6dM
Nagy Pal Ors | VELTOL    (2025-09-02 11:30:51)
Orsova</t>
      </text>
    </comment>
    <comment authorId="0" ref="AH235">
      <text>
        <t xml:space="preserve">======
ID#AAABpNDntNY
Béla Pál Szász | VELTOL    (2025-10-06 06:27:52)
Spital Bistrita</t>
      </text>
    </comment>
    <comment authorId="0" ref="I236">
      <text>
        <t xml:space="preserve">======
ID#AAABrMGx7VQ
Anonymous    (2025-09-16 08:18:59)
Orsova</t>
      </text>
    </comment>
    <comment authorId="0" ref="P104">
      <text>
        <t xml:space="preserve">======
ID#AAABjlRNLhU
Béla Pál Szász | VELTOL    (2025-05-13 06:43:52)
Oaida Sofia SB</t>
      </text>
    </comment>
    <comment authorId="0" ref="Q104">
      <text>
        <t xml:space="preserve">======
ID#AAABjlRNLho
Béla Pál Szász | VELTOL    (2025-05-13 07:03:13)
Adriana Adam, BV</t>
      </text>
    </comment>
    <comment authorId="0" ref="R104">
      <text>
        <t xml:space="preserve">======
ID#AAABjjT_EgE
Alpár Papp | VELTOL    (2025-05-14 06:14:23)
Florica, Tireu Ibanesti</t>
      </text>
    </comment>
    <comment authorId="0" ref="W236">
      <text>
        <t xml:space="preserve">======
ID#AAABpKj2gaA
Nagy Pal Ors | VELTOL    (2025-09-30 11:27:33)
Orsova</t>
      </text>
    </comment>
    <comment authorId="0" ref="R38">
      <text>
        <t xml:space="preserve">======
ID#AAABgqNGjag
Nagy Pál    (2025-04-16 09:52:44)
Pop Anca - mutat Victron+Baterie</t>
      </text>
    </comment>
    <comment authorId="0" ref="W104">
      <text>
        <t xml:space="preserve">======
ID#AAABj53ZJf0
Alpár Papp | VELTOL    (2025-05-20 06:19:39)
Purcaru Ciugud</t>
      </text>
    </comment>
    <comment authorId="0" ref="AD236">
      <text>
        <t xml:space="preserve">======
ID#AAABpKj2gaM
Nagy Pal Ors | VELTOL    (2025-09-30 11:28:15)
Orsova</t>
      </text>
    </comment>
    <comment authorId="0" ref="AA104">
      <text>
        <t xml:space="preserve">======
ID#AAABkAhJeWM
Robert Kendi | VELTOL    (2025-05-23 12:10:48)
ore suplimentare - terminare lucrare 20 kW - Red Discount</t>
      </text>
    </comment>
    <comment authorId="0" ref="AF236">
      <text>
        <t xml:space="preserve">======
ID#AAABpNCdz8s
Béla Pál Szász | VELTOL    (2025-10-06 06:26:45)
Spital Bistrita</t>
      </text>
    </comment>
    <comment authorId="0" ref="Z38">
      <text>
        <t xml:space="preserve">======
ID#AAABjSm-wHQ
Anonymous    (2025-05-12 12:08:45)
Nagy Stefan Gherla</t>
      </text>
    </comment>
    <comment authorId="0" ref="B237">
      <text>
        <t xml:space="preserve">======
ID#AAABq4APR0M
Robert Kendi | VELTOL    (2025-09-08 12:56:06)
Koto Edvin Otto Gherla CJ</t>
      </text>
    </comment>
    <comment authorId="0" ref="D237">
      <text>
        <t xml:space="preserve">======
ID#AAABqg5UWC8
Bela Pal Szasz    (2025-09-03 04:29:04)
Baba Viorel, Gherla/CJ</t>
      </text>
    </comment>
    <comment authorId="0" ref="AE104">
      <text>
        <t xml:space="preserve">======
ID#AAABkQC3av4
Vlad Ciubuca    (2025-05-27 20:09:06)
Budai Elisabeta</t>
      </text>
    </comment>
    <comment authorId="0" ref="Q567">
      <text>
        <t xml:space="preserve">======
ID#AAAB6lBGk9o
Nagy Pal Ors | VELTOL    (2026-05-18 06:56:27)
Avicola Focsani</t>
      </text>
    </comment>
    <comment authorId="0" ref="I237">
      <text>
        <t xml:space="preserve">======
ID#AAABqsn9xoo
Alpár Papp | VELTOL    (2025-09-08 09:43:10)
Dobrinas Intorsura</t>
      </text>
    </comment>
    <comment authorId="0" ref="K237">
      <text>
        <t xml:space="preserve">======
ID#AAABrMGx7Vk
Anonymous    (2025-09-16 08:23:31)
Baciu - Cj
------
ID#AAABrMGx7Vw
Anonymous    (2025-09-16 08:24:27)
Kovacs Ildiko</t>
      </text>
    </comment>
    <comment authorId="0" ref="U567">
      <text>
        <t xml:space="preserve">======
ID#AAAB6wITipQ
Alpár Papp | VELTOL    (2026-05-19 12:44:33)
Binale M. Nirajului</t>
      </text>
    </comment>
    <comment authorId="0" ref="L237">
      <text>
        <t xml:space="preserve">======
ID#AAABrMGx7V0
Anonymous    (2025-09-16 08:27:51)
Zarecki - Valenii</t>
      </text>
    </comment>
    <comment authorId="0" ref="P237">
      <text>
        <t xml:space="preserve">======
ID#AAABrMGx7VU
Anonymous    (2025-09-16 08:20:51)
Forro - CV</t>
      </text>
    </comment>
    <comment authorId="0" ref="Q237">
      <text>
        <t xml:space="preserve">======
ID#AAABrPaYnMs
Alpár Papp | VELTOL    (2025-09-17 07:09:21)
Lepedus, Covasna</t>
      </text>
    </comment>
    <comment authorId="0" ref="AA567">
      <text>
        <t xml:space="preserve">======
ID#AAAB8eRGpRA
Nagy Pal Ors | VELTOL    (2026-05-25 08:15:52)
Avicola Focsani</t>
      </text>
    </comment>
    <comment authorId="0" ref="S237">
      <text>
        <t xml:space="preserve">======
ID#AAABpKj2gaQ
Nagy Pal Ors | VELTOL    (2025-09-30 11:30:50)
Szep Attila CV</t>
      </text>
    </comment>
    <comment authorId="0" ref="AD567">
      <text>
        <t xml:space="preserve">======
ID#AAAB8DHEp9w
Farczadi Janos | VELTOL    (2026-05-27 05:04:23)
OBLAZA SRL-BARSANA</t>
      </text>
    </comment>
    <comment authorId="0" ref="AF567">
      <text>
        <t xml:space="preserve">======
ID#AAAB9W5ytfc
Farczadi Janos | VELTOL    (2026-05-29 05:37:52)
GCIT-SAFTICA</t>
      </text>
    </comment>
    <comment authorId="0" ref="Y237">
      <text>
        <t xml:space="preserve">======
ID#AAABpKj2gaY
Nagy Pal Ors | VELTOL    (2025-09-30 11:33:24)
Szasz Jozsef HR</t>
      </text>
    </comment>
    <comment authorId="0" ref="Z171">
      <text>
        <t xml:space="preserve">======
ID#AAABo1LurXI
Vlad Ciubuca    (2025-08-05 19:06:29)
Paclisa</t>
      </text>
    </comment>
    <comment authorId="0" ref="AA171">
      <text>
        <t xml:space="preserve">======
ID#AAABo1LurXY
Vlad Ciubuca    (2025-08-05 19:07:09)
Paclisa</t>
      </text>
    </comment>
    <comment authorId="0" ref="C370">
      <text>
        <t xml:space="preserve">======
ID#AAABw0SsXxc
Alpár Papp | VELTOL    (2025-12-02 07:03:42)
GCIT Saftica</t>
      </text>
    </comment>
    <comment authorId="0" ref="F370">
      <text>
        <t xml:space="preserve">======
ID#AAABw0SsXxg
Alpár Papp | VELTOL    (2025-12-02 07:03:47)
GCIT Saftica</t>
      </text>
    </comment>
    <comment authorId="0" ref="B238">
      <text>
        <t xml:space="preserve">======
ID#AAABq4APR0Q
Robert Kendi | VELTOL    (2025-09-08 12:56:10)
Koto Edvin Otto Gherla CJ</t>
      </text>
    </comment>
    <comment authorId="0" ref="I238">
      <text>
        <t xml:space="preserve">======
ID#AAABqsn9xos
Alpár Papp | VELTOL    (2025-09-08 09:43:15)
Dobrinas Intorsura</t>
      </text>
    </comment>
    <comment authorId="0" ref="C40">
      <text>
        <t xml:space="preserve">======
ID#AAABhanDA20
Anonymous    (2025-04-02 10:35:31)
2 sisteme BN - Zgambau</t>
      </text>
    </comment>
    <comment authorId="0" ref="K238">
      <text>
        <t xml:space="preserve">======
ID#AAABrMGx7Vo
Anonymous    (2025-09-16 08:23:40)
Baciu - Cj
------
ID#AAABrMGx7Vs
Anonymous    (2025-09-16 08:24:13)
- Kovacs Ildiko</t>
      </text>
    </comment>
    <comment authorId="0" ref="L238">
      <text>
        <t xml:space="preserve">======
ID#AAABrMGx7XA
Anonymous    (2025-09-16 08:27:56)
Zarecki - Valenii</t>
      </text>
    </comment>
    <comment authorId="0" ref="P238">
      <text>
        <t xml:space="preserve">======
ID#AAABrMGx7VY
Anonymous    (2025-09-16 08:20:56)
Forro - CV</t>
      </text>
    </comment>
    <comment authorId="0" ref="Q238">
      <text>
        <t xml:space="preserve">======
ID#AAABrPaYnMw
Alpár Papp | VELTOL    (2025-09-17 07:09:26)
Lepedus, Covasna</t>
      </text>
    </comment>
    <comment authorId="0" ref="K40">
      <text>
        <t xml:space="preserve">======
ID#AAABhmYs2rE
Alpár Papp | VELTOL    (2025-04-09 09:24:24)
Fekete Cluj</t>
      </text>
    </comment>
    <comment authorId="0" ref="L40">
      <text>
        <t xml:space="preserve">======
ID#AAABhnNbNZ8
Anonymous    (2025-04-10 11:24:08)
Tiplea Cj</t>
      </text>
    </comment>
    <comment authorId="0" ref="S238">
      <text>
        <t xml:space="preserve">======
ID#AAABpKj2gaU
Nagy Pal Ors | VELTOL    (2025-09-30 11:30:59)
Szep Attila CV</t>
      </text>
    </comment>
    <comment authorId="0" ref="R172">
      <text>
        <t xml:space="preserve">======
ID#AAABncKE--E
Nagy Pal Ors | VELTOL    (2025-07-17 05:57:38)
3 ore supl. ajuta Tomele la Jako</t>
      </text>
    </comment>
    <comment authorId="0" ref="P40">
      <text>
        <t xml:space="preserve">======
ID#AAABhwMtNYQ
Vlad Ciubuca | VELTOL    (2025-04-14 07:44:57)
Istovan+Stroiar</t>
      </text>
    </comment>
    <comment authorId="0" ref="Q40">
      <text>
        <t xml:space="preserve">======
ID#AAABhx2r_-g
Tamás Szente | VELTOL    (2025-04-15 05:07:41)
Stroian diferenta</t>
      </text>
    </comment>
    <comment authorId="0" ref="Y238">
      <text>
        <t xml:space="preserve">======
ID#AAABpKj2gac
Nagy Pal Ors | VELTOL    (2025-09-30 11:33:33)
Szasz Jozsef HR</t>
      </text>
    </comment>
    <comment authorId="0" ref="Z172">
      <text>
        <t xml:space="preserve">======
ID#AAABo1LurXM
Vlad Ciubuca    (2025-08-05 19:06:54)
Paclisa</t>
      </text>
    </comment>
    <comment authorId="0" ref="AA172">
      <text>
        <t xml:space="preserve">======
ID#AAABo1LurXc
Vlad Ciubuca    (2025-08-05 19:07:12)
Paclisa</t>
      </text>
    </comment>
    <comment authorId="0" ref="X40">
      <text>
        <t xml:space="preserve">======
ID#AAABiZIj7fg
Alpár Papp | VELTOL    (2025-04-23 05:24:59)
14. martie Pascani - uitat</t>
      </text>
    </comment>
    <comment authorId="0" ref="Y40">
      <text>
        <t xml:space="preserve">======
ID#AAABjaI2wMo
Vlad Ciubuca | VELTOL    (2025-05-16 12:22:45)
Service Minor Karoly</t>
      </text>
    </comment>
    <comment authorId="0" ref="Z40">
      <text>
        <t xml:space="preserve">======
ID#AAABihqUvok
Nagy Pal Ors | VELTOL    (2025-04-28 09:31:16)
Orosz Ibolya - Turia</t>
      </text>
    </comment>
    <comment authorId="0" ref="K41">
      <text>
        <t xml:space="preserve">======
ID#AAABhmYs2rM
Alpár Papp | VELTOL    (2025-04-09 09:24:31)
Fekete Cluj</t>
      </text>
    </comment>
    <comment authorId="0" ref="L41">
      <text>
        <t xml:space="preserve">======
ID#AAABhnNbNaA
Anonymous    (2025-04-10 11:24:22)
Tiplea Cj</t>
      </text>
    </comment>
    <comment authorId="0" ref="AD569">
      <text>
        <t xml:space="preserve">======
ID#AAAB8DHEp9s
Farczadi Janos | VELTOL    (2026-05-27 05:04:16)
OBLAZA SRL-BARSANA</t>
      </text>
    </comment>
    <comment authorId="0" ref="AF569">
      <text>
        <t xml:space="preserve">======
ID#AAAB9W5ytfg
Farczadi Janos | VELTOL    (2026-05-29 05:38:10)
GCIT-SAFTICA</t>
      </text>
    </comment>
    <comment authorId="0" ref="P41">
      <text>
        <t xml:space="preserve">======
ID#AAABhwMtNYY
Vlad Ciubuca | VELTOL    (2025-04-14 07:45:14)
Istovan+Stroiar</t>
      </text>
    </comment>
    <comment authorId="0" ref="Q41">
      <text>
        <t xml:space="preserve">======
ID#AAABhyqVh70
Tamás Szente | VELTOL    (2025-04-15 05:07:45)
Stroian diferenta</t>
      </text>
    </comment>
    <comment authorId="0" ref="B504">
      <text>
        <t xml:space="preserve">======
ID#AAAB1axyB9c
Vlad Ciubuca | VELTOL    (2026-03-06 08:08:18)
Lykos</t>
      </text>
    </comment>
    <comment authorId="0" ref="X41">
      <text>
        <t xml:space="preserve">======
ID#AAABiZIj7fk
Alpár Papp | VELTOL    (2025-04-23 05:25:12)
14. martie Pascani - uitat</t>
      </text>
    </comment>
    <comment authorId="0" ref="Y41">
      <text>
        <t xml:space="preserve">======
ID#AAABjaI2wMs
Vlad Ciubuca | VELTOL    (2025-05-16 12:22:52)
Service Minor Karoly</t>
      </text>
    </comment>
    <comment authorId="0" ref="Z41">
      <text>
        <t xml:space="preserve">======
ID#AAABihqUvoo
Nagy Pal Ors | VELTOL    (2025-04-28 09:31:22)
Orosz Ibolya - Turia</t>
      </text>
    </comment>
    <comment authorId="0" ref="B240">
      <text>
        <t xml:space="preserve">======
ID#AAABq4APRz8
Robert Kendi | VELTOL    (2025-09-08 12:53:54)
Ludusan Cristian Blaj 70 +100 - 2 ore +</t>
      </text>
    </comment>
    <comment authorId="0" ref="AH239">
      <text>
        <t xml:space="preserve">======
ID#AAABpNDntPU
Béla Pál Szász | VELTOL    (2025-10-06 08:51:31)
Secăreanu, Sighișoara, MS</t>
      </text>
    </comment>
    <comment authorId="0" ref="D240">
      <text>
        <t xml:space="preserve">======
ID#AAABqhf5pDE
Nagy Pal Ors | VELTOL    (2025-09-03 12:04:45)
Solyom Klara, SJ</t>
      </text>
    </comment>
    <comment authorId="0" ref="P42">
      <text>
        <t xml:space="preserve">======
ID#AAABhwVZaxk
Alpár Papp | VELTOL    (2025-04-14 13:52:39)
Salagean, Loc. Balda</t>
      </text>
    </comment>
    <comment authorId="0" ref="Q42">
      <text>
        <t xml:space="preserve">======
ID#AAABjaI2wMM
Anonymous    (2025-05-16 12:03:25)
Sarmas + iernut</t>
      </text>
    </comment>
    <comment authorId="0" ref="R42">
      <text>
        <t xml:space="preserve">======
ID#AAABiFRqcxk
Anonymous    (2025-04-16 08:45:04)
Petru Demian</t>
      </text>
    </comment>
    <comment authorId="0" ref="S42">
      <text>
        <t xml:space="preserve">======
ID#AAABiVtLDDA
Béla Pál Szász | VELTOL    (2025-04-22 09:00:16)
Sfetcu Ioana - Limba, jud. Alba</t>
      </text>
    </comment>
    <comment authorId="0" ref="B439">
      <text>
        <t xml:space="preserve">======
ID#AAABzOB7qqQ
Alpár Papp | VELTOL    (2026-01-30 14:36:16)
Saftica</t>
      </text>
    </comment>
    <comment authorId="0" ref="Z174">
      <text>
        <t xml:space="preserve">======
ID#AAABo1LurXU
Vlad Ciubuca    (2025-08-05 19:07:06)
Paclisa</t>
      </text>
    </comment>
    <comment authorId="0" ref="AA174">
      <text>
        <t xml:space="preserve">======
ID#AAABo1LurXk
Vlad Ciubuca    (2025-08-05 19:07:18)
Paclisa</t>
      </text>
    </comment>
    <comment authorId="0" ref="I571">
      <text>
        <t xml:space="preserve">======
ID#AAAB8eRGpQk
Farczadi Janos | VELTOL    (2026-05-25 08:08:45)
GCIT-PREDEAL</t>
      </text>
    </comment>
    <comment authorId="0" ref="X42">
      <text>
        <t xml:space="preserve">======
ID#AAABiZIj7fE
Vlad Ciubuca | VELTOL    (2025-04-23 05:07:06)
Taran Constantin - Harghita</t>
      </text>
    </comment>
    <comment authorId="0" ref="Y42">
      <text>
        <t xml:space="preserve">======
ID#AAABibfii_Q
Béla Pál Szász | VELTOL    (2025-04-25 04:44:43)
Diana Rotar - Soala, Jud. Sibiu</t>
      </text>
    </comment>
    <comment authorId="0" ref="C307">
      <text>
        <t xml:space="preserve">======
ID#AAABsaMAPvQ
Béla Pál Szász | VELTOL    (2025-10-13 04:41:12)
Petrovici, Gherla, CJ</t>
      </text>
    </comment>
    <comment authorId="0" ref="J505">
      <text>
        <t xml:space="preserve">======
ID#AAAB1q8spuI
Alpár Papp | VELTOL    (2026-03-12 13:03:01)
Breaza
------
ID#AAAB22Lv4yU
Anonymous    (2026-03-31 11:10:53)
NU se accepta. Fara factura si delegatie</t>
      </text>
    </comment>
    <comment authorId="0" ref="D307">
      <text>
        <t xml:space="preserve">======
ID#AAABsaMAPvY
Béla Pál Szász | VELTOL    (2025-10-13 04:43:31)
Manastirea Pauloaia</t>
      </text>
    </comment>
    <comment authorId="0" ref="B241">
      <text>
        <t xml:space="preserve">======
ID#AAABq4APR0A
Robert Kendi | VELTOL    (2025-09-08 12:53:59)
Ludusan Cristian Blaj 70 +100 - 2 ore +</t>
      </text>
    </comment>
    <comment authorId="0" ref="E307">
      <text>
        <t xml:space="preserve">======
ID#AAABsaMAPvo
Béla Pál Szász | VELTOL    (2025-10-13 04:46:08)
Zolog Mircea, Ludus</t>
      </text>
    </comment>
    <comment authorId="0" ref="AH240">
      <text>
        <t xml:space="preserve">======
ID#AAABpNDntPY
Béla Pál Szász | VELTOL    (2025-10-06 08:51:38)
Secăreanu, Sighișoara, MS</t>
      </text>
    </comment>
    <comment authorId="0" ref="D241">
      <text>
        <t xml:space="preserve">======
ID#AAABqhf5pDI
Nagy Pal Ors | VELTOL    (2025-09-03 12:04:52)
Solyom Klara, SJ</t>
      </text>
    </comment>
    <comment authorId="0" ref="I307">
      <text>
        <t xml:space="preserve">======
ID#AAABsaPpmnY
Robert Kendi | VELTOL    (2025-10-13 08:36:47)
Isfanoi HD</t>
      </text>
    </comment>
    <comment authorId="0" ref="C109">
      <text>
        <t xml:space="preserve">======
ID#AAABlIP_MQ0
Robert Kendi | VELTOL    (2025-06-04 07:33:07)
Fekete Ferenc Disznajó</t>
      </text>
    </comment>
    <comment authorId="0" ref="J307">
      <text>
        <t xml:space="preserve">======
ID#AAABsdkgZE8
Béla Pál Szász | VELTOL    (2025-10-15 05:17:31)
Nica Marius, Codlea, BV</t>
      </text>
    </comment>
    <comment authorId="0" ref="D109">
      <text>
        <t xml:space="preserve">======
ID#AAABlkWtBzA
Béla Pál Szász | VELTOL    (2025-06-11 05:13:20)
Balint Ioan, Huedin</t>
      </text>
    </comment>
    <comment authorId="0" ref="E109">
      <text>
        <t xml:space="preserve">======
ID#AAABlkWtByo
Béla Pál Szász | VELTOL    (2025-06-11 05:10:54)
Clean Prest, Albesti</t>
      </text>
    </comment>
    <comment authorId="0" ref="S505">
      <text>
        <t xml:space="preserve">======
ID#AAAB3-VDtnI
Robert Kendi | VELTOL    (2026-04-24 14:27:46)
Perfomdoor Buzau 04.10 - 21:26</t>
      </text>
    </comment>
    <comment authorId="0" ref="X571">
      <text>
        <t xml:space="preserve">======
ID#AAAB8eRGpRE
Farczadi Janos | VELTOL    (2026-05-25 08:25:07)
GCIT-SAFTICA</t>
      </text>
    </comment>
    <comment authorId="0" ref="J109">
      <text>
        <t xml:space="preserve">======
ID#AAABlkWtByQ
Béla Pál Szász | VELTOL    (2025-06-11 04:49:59)
Török Dániel, Cluj</t>
      </text>
    </comment>
    <comment authorId="0" ref="Z571">
      <text>
        <t xml:space="preserve">======
ID#AAAB8eRGpRI
Farczadi Janos | VELTOL    (2026-05-25 08:25:54)
GCIT-PREDEAL</t>
      </text>
    </comment>
    <comment authorId="0" ref="R109">
      <text>
        <t xml:space="preserve">======
ID#AAABncKE--s
Alpár Papp | VELTOL    (2025-07-17 08:22:17)
Cluj racord</t>
      </text>
    </comment>
    <comment authorId="0" ref="P43">
      <text>
        <t xml:space="preserve">======
ID#AAABhwVcRxM
Alpár Papp | VELTOL    (2025-04-14 13:52:43)
Salagean, Loc. Balda</t>
      </text>
    </comment>
    <comment authorId="0" ref="Q43">
      <text>
        <t xml:space="preserve">======
ID#AAABjaI2wMQ
Anonymous    (2025-05-16 12:04:02)
Sarmas + iernut</t>
      </text>
    </comment>
    <comment authorId="0" ref="R43">
      <text>
        <t xml:space="preserve">======
ID#AAABiFRsslg
Anonymous    (2025-04-16 08:45:16)
Petru Demian</t>
      </text>
    </comment>
    <comment authorId="0" ref="S43">
      <text>
        <t xml:space="preserve">======
ID#AAABiVtLDDE
Béla Pál Szász | VELTOL    (2025-04-22 09:00:23)
Sfetcu Ioana - Limba, jud. Alba</t>
      </text>
    </comment>
    <comment authorId="0" ref="Z175">
      <text>
        <t xml:space="preserve">======
ID#AAABo1LurXQ
Vlad Ciubuca    (2025-08-05 19:07:03)
Paclisa</t>
      </text>
    </comment>
    <comment authorId="0" ref="AA175">
      <text>
        <t xml:space="preserve">======
ID#AAABo1LurXg
Vlad Ciubuca    (2025-08-05 19:07:15)
Paclisa</t>
      </text>
    </comment>
    <comment authorId="0" ref="Y43">
      <text>
        <t xml:space="preserve">======
ID#AAABibfii_U
Béla Pál Szász | VELTOL    (2025-04-25 04:44:49)
Diana Rotar - Soala, Jud. Sibiu</t>
      </text>
    </comment>
    <comment authorId="0" ref="C308">
      <text>
        <t xml:space="preserve">======
ID#AAABsaMAPvU
Béla Pál Szász | VELTOL    (2025-10-13 04:41:20)
Petrovici, Gherla, CJ</t>
      </text>
    </comment>
    <comment authorId="0" ref="J506">
      <text>
        <t xml:space="preserve">======
ID#AAAB1q8spuM
Alpár Papp | VELTOL    (2026-03-12 13:03:17)
Breaza
------
ID#AAAB22Lv4yY
Anonymous    (2026-03-31 11:10:56)
NU se accepta. Fara factura si delegatie</t>
      </text>
    </comment>
    <comment authorId="0" ref="D308">
      <text>
        <t xml:space="preserve">======
ID#AAABsaMAPvc
Béla Pál Szász | VELTOL    (2025-10-13 04:43:37)
Manastirea Pauloaia</t>
      </text>
    </comment>
    <comment authorId="0" ref="E308">
      <text>
        <t xml:space="preserve">======
ID#AAABsaMAPvs
Béla Pál Szász | VELTOL    (2025-10-13 04:46:13)
Zolog Mircea, Ludus</t>
      </text>
    </comment>
    <comment authorId="0" ref="AH241">
      <text>
        <t xml:space="preserve">======
ID#AAABpNDntPc
Béla Pál Szász | VELTOL    (2025-10-06 08:51:46)
Secăreanu, Sighișoara, MS</t>
      </text>
    </comment>
    <comment authorId="0" ref="I308">
      <text>
        <t xml:space="preserve">======
ID#AAABsaPpmnc
Robert Kendi | VELTOL    (2025-10-13 08:36:51)
Isfanoi HD</t>
      </text>
    </comment>
    <comment authorId="0" ref="C110">
      <text>
        <t xml:space="preserve">======
ID#AAABlIP_MQ4
Robert Kendi | VELTOL    (2025-06-04 07:33:12)
Fekete Ferenc Disznajó</t>
      </text>
    </comment>
    <comment authorId="0" ref="J308">
      <text>
        <t xml:space="preserve">======
ID#AAABsdkgZFA
Béla Pál Szász | VELTOL    (2025-10-15 05:17:39)
Nica Marius, Codlea, BV</t>
      </text>
    </comment>
    <comment authorId="0" ref="D110">
      <text>
        <t xml:space="preserve">======
ID#AAABlkWtBzE
Béla Pál Szász | VELTOL    (2025-06-11 05:13:24)
Balint Ioan, Huedin</t>
      </text>
    </comment>
    <comment authorId="0" ref="E110">
      <text>
        <t xml:space="preserve">======
ID#AAABlkWtBys
Béla Pál Szász | VELTOL    (2025-06-11 05:11:00)
Clean Prest, Albesti</t>
      </text>
    </comment>
    <comment authorId="0" ref="J110">
      <text>
        <t xml:space="preserve">======
ID#AAABlkWtByU
Béla Pál Szász | VELTOL    (2025-06-11 04:50:04)
Török Dániel, Cluj</t>
      </text>
    </comment>
    <comment authorId="0" ref="Y572">
      <text>
        <t xml:space="preserve">======
ID#AAAB6wITipc
Alpár Papp | VELTOL    (2026-05-19 12:45:55)
Lorin, Dambovita</t>
      </text>
    </comment>
    <comment authorId="0" ref="W506">
      <text>
        <t xml:space="preserve">======
ID#AAAB211NzoA
Anonymous    (2026-03-31 09:03:26)
Saftica</t>
      </text>
    </comment>
    <comment authorId="0" ref="AE638">
      <text>
        <t xml:space="preserve">======
ID#AAAB_WkqmDg
Andrei Kacso | VELTOL    (2026-07-08 11:47:32)
Gusutri</t>
      </text>
    </comment>
    <comment authorId="0" ref="AF638">
      <text>
        <t xml:space="preserve">======
ID#AAAB_WkqmDE
Andrei Kacso | VELTOL    (2026-07-08 11:31:14)
Gusutri</t>
      </text>
    </comment>
    <comment authorId="0" ref="R110">
      <text>
        <t xml:space="preserve">======
ID#AAABncKE--w
Alpár Papp | VELTOL    (2025-07-17 08:22:25)
Cluj racord</t>
      </text>
    </comment>
    <comment authorId="0" ref="P44">
      <text>
        <t xml:space="preserve">======
ID#AAABhwVcRxQ
Alpár Papp | VELTOL    (2025-04-14 13:52:48)
Salagean, Loc. Balda</t>
      </text>
    </comment>
    <comment authorId="0" ref="Q44">
      <text>
        <t xml:space="preserve">======
ID#AAABjaI2wMU
Anonymous    (2025-05-16 12:04:13)
Sarmas + iernut</t>
      </text>
    </comment>
    <comment authorId="0" ref="R44">
      <text>
        <t xml:space="preserve">======
ID#AAABiFRsslk
Anonymous    (2025-04-16 08:45:26)
Petru Demian</t>
      </text>
    </comment>
    <comment authorId="0" ref="S44">
      <text>
        <t xml:space="preserve">======
ID#AAABiVtLDDI
Béla Pál Szász | VELTOL    (2025-04-22 09:00:28)
Sfetcu Ioana - Limba, jud. Alba</t>
      </text>
    </comment>
    <comment authorId="0" ref="W110">
      <text>
        <t xml:space="preserve">======
ID#AAABmZ_uYG8
Alpár Papp | VELTOL    (2025-06-26 05:54:58)
Bumbu M. Batos</t>
      </text>
    </comment>
    <comment authorId="0" ref="X110">
      <text>
        <t xml:space="preserve">======
ID#AAABmlIKx7s
Alpár Papp | VELTOL    (2025-07-17 08:26:57)
Vita Zsigmond, Valeni</t>
      </text>
    </comment>
    <comment authorId="0" ref="Y44">
      <text>
        <t xml:space="preserve">======
ID#AAABibfii_Y
Béla Pál Szász | VELTOL    (2025-04-25 04:44:56)
Diana Rotar - Soala, Jud. Sibiu</t>
      </text>
    </comment>
    <comment authorId="0" ref="I507">
      <text>
        <t xml:space="preserve">======
ID#AAAB211LxXQ
Anonymous    (2026-03-31 07:45:32)
Saftica</t>
      </text>
    </comment>
    <comment authorId="0" ref="B243">
      <text>
        <t xml:space="preserve">======
ID#AAABqeXGsyE
Vlad Ciubuca | VELTOL    (2025-09-02 11:04:19)
Paclisa</t>
      </text>
    </comment>
    <comment authorId="0" ref="C243">
      <text>
        <t xml:space="preserve">======
ID#AAABqeXGsyM
Vlad Ciubuca | VELTOL    (2025-09-02 11:05:01)
Paclisa</t>
      </text>
    </comment>
    <comment authorId="0" ref="C111">
      <text>
        <t xml:space="preserve">======
ID#AAABlIP_MQ8
Robert Kendi | VELTOL    (2025-06-04 07:33:17)
Fekete Ferenc Disznajó</t>
      </text>
    </comment>
    <comment authorId="0" ref="D111">
      <text>
        <t xml:space="preserve">======
ID#AAABlkWtBzI
Béla Pál Szász | VELTOL    (2025-06-11 05:13:28)
Balint Ioan, Huedin</t>
      </text>
    </comment>
    <comment authorId="0" ref="E111">
      <text>
        <t xml:space="preserve">======
ID#AAABlkWtByw
Béla Pál Szász | VELTOL    (2025-06-11 05:11:05)
Clean Prest, Albesti</t>
      </text>
    </comment>
    <comment authorId="0" ref="G45">
      <text>
        <t xml:space="preserve">======
ID#AAABhhY1ZiM
Anonymous    (2025-04-07 05:48:04)
Sistem Jabenitan</t>
      </text>
    </comment>
    <comment authorId="0" ref="J111">
      <text>
        <t xml:space="preserve">======
ID#AAABlkWtByY
Béla Pál Szász | VELTOL    (2025-06-11 04:50:08)
Török Dániel, Cluj</t>
      </text>
    </comment>
    <comment authorId="0" ref="I45">
      <text>
        <t xml:space="preserve">======
ID#AAABhhY1Zpw
Robert Kendi | VELTOL    (2025-04-07 12:20:31)
Nemes Petruta 87km</t>
      </text>
    </comment>
    <comment authorId="0" ref="K45">
      <text>
        <t xml:space="preserve">======
ID#AAABhndABHs
Béla Pál Szász | VELTOL    (2025-04-09 11:33:13)
Bogomeri - Buza/Cluj</t>
      </text>
    </comment>
    <comment authorId="0" ref="L45">
      <text>
        <t xml:space="preserve">======
ID#AAABhnZ83-I
Alpár Papp | VELTOL    (2025-04-09 11:26:48)
Sadu, Sibiu</t>
      </text>
    </comment>
    <comment authorId="0" ref="AE639">
      <text>
        <t xml:space="preserve">======
ID#AAAB_WkqmDk
Andrei Kacso | VELTOL    (2026-07-08 11:47:40)
Gusutri</t>
      </text>
    </comment>
    <comment authorId="0" ref="AF639">
      <text>
        <t xml:space="preserve">======
ID#AAAB_WkqmDI
Andrei Kacso | VELTOL    (2026-07-08 11:31:23)
Gusutri</t>
      </text>
    </comment>
    <comment authorId="0" ref="P45">
      <text>
        <t xml:space="preserve">======
ID#AAABhwMt-f4
Vlad Ciubuca | VELTOL    (2025-04-14 11:56:56)
Malutan</t>
      </text>
    </comment>
    <comment authorId="0" ref="T45">
      <text>
        <t xml:space="preserve">======
ID#AAABiVtLDCg
Nagy Pal Ors | VELTOL    (2025-04-22 06:22:56)
Sistem Egyed L.</t>
      </text>
    </comment>
    <comment authorId="0" ref="W111">
      <text>
        <t xml:space="preserve">======
ID#AAABmZ_uYHA
Alpár Papp | VELTOL    (2025-06-26 05:55:02)
Bumbu M. Batos</t>
      </text>
    </comment>
    <comment authorId="0" ref="X111">
      <text>
        <t xml:space="preserve">======
ID#AAABmlIKx7w
Alpár Papp | VELTOL    (2025-07-17 08:27:02)
Vita Zsigmond, Valeni</t>
      </text>
    </comment>
    <comment authorId="0" ref="AD177">
      <text>
        <t xml:space="preserve">======
ID#AAABoa_zr_8
Tamás Szente | VELTOL    (2025-07-29 07:27:42)
Saftica Ejjel 2</t>
      </text>
    </comment>
    <comment authorId="0" ref="Z45">
      <text>
        <t xml:space="preserve">======
ID#AAABibfii_I
Béla Pál Szász | VELTOL    (2025-04-25 04:37:17)
Szabó József</t>
      </text>
    </comment>
    <comment authorId="0" ref="B244">
      <text>
        <t xml:space="preserve">======
ID#AAABqeXGsyI
Vlad Ciubuca | VELTOL    (2025-09-02 11:04:23)
Paclisa</t>
      </text>
    </comment>
    <comment authorId="0" ref="C244">
      <text>
        <t xml:space="preserve">======
ID#AAABqeXGsyQ
Vlad Ciubuca | VELTOL    (2025-09-02 11:05:04)
Paclisa</t>
      </text>
    </comment>
    <comment authorId="0" ref="P640">
      <text>
        <t xml:space="preserve">======
ID#AAAB9tRKyPk
Anonymous    (2026-06-18 10:40:29)
Panamarom - Tg. Neamt</t>
      </text>
    </comment>
    <comment authorId="0" ref="B112">
      <text>
        <t xml:space="preserve">======
ID#AAABlIP_MQc
Robert Kendi | VELTOL    (2025-06-04 07:30:56)
Szász Arnold Odorheiu Sec (HR)</t>
      </text>
    </comment>
    <comment authorId="0" ref="E178">
      <text>
        <t xml:space="preserve">======
ID#AAABm8v_EyY
Alpár Papp | VELTOL    (2025-07-04 12:08:38)
Racord Coldea Medias</t>
      </text>
    </comment>
    <comment authorId="0" ref="D112">
      <text>
        <t xml:space="preserve">======
ID#AAABlJNP0-0
Alpár Papp | VELTOL    (2025-06-05 04:31:36)
Nutu (Deva) + Haiduc (Alba)</t>
      </text>
    </comment>
    <comment authorId="0" ref="X640">
      <text>
        <t xml:space="preserve">======
ID#AAAB-l9ORrY
Nagy Pal Ors | VELTOL    (2026-06-26 13:21:38)
Balkanik - Focsani</t>
      </text>
    </comment>
    <comment authorId="0" ref="G46">
      <text>
        <t xml:space="preserve">======
ID#AAABhhY1ZiQ
Anonymous    (2025-04-07 05:48:16)
Sistem Jabenitan</t>
      </text>
    </comment>
    <comment authorId="0" ref="J112">
      <text>
        <t xml:space="preserve">======
ID#AAABli7rFqc
Alpár Papp | VELTOL    (2025-06-10 14:56:53)
Matemar Cluj</t>
      </text>
    </comment>
    <comment authorId="0" ref="I46">
      <text>
        <t xml:space="preserve">======
ID#AAABhhY1Zp0
Robert Kendi | VELTOL    (2025-04-07 12:20:37)
Nemes Petruta 87km</t>
      </text>
    </comment>
    <comment authorId="0" ref="L112">
      <text>
        <t xml:space="preserve">======
ID#AAABlnuLxWQ
Vlad Ciubuca | VELTOL    (2025-06-12 07:15:38)
Ioan Szentgyorgyi</t>
      </text>
    </comment>
    <comment authorId="0" ref="K46">
      <text>
        <t xml:space="preserve">======
ID#AAABhndABHw
Béla Pál Szász | VELTOL    (2025-04-09 11:33:24)
Bogomeri - Buza/Cluj</t>
      </text>
    </comment>
    <comment authorId="0" ref="L46">
      <text>
        <t xml:space="preserve">======
ID#AAABhnZ83-M
Alpár Papp | VELTOL    (2025-04-09 11:26:58)
Sadu, Sibiu</t>
      </text>
    </comment>
    <comment authorId="0" ref="R178">
      <text>
        <t xml:space="preserve">======
ID#AAABpQs8U6I
Robert Kendi | VELTOL    (2025-08-12 13:49:54)
Gal Domokos HR</t>
      </text>
    </comment>
    <comment authorId="0" ref="P112">
      <text>
        <t xml:space="preserve">======
ID#AAABnMNdyFQ
Robert Kendi | VELTOL    (2025-07-09 09:29:48)
Delegatie BH</t>
      </text>
    </comment>
    <comment authorId="0" ref="Q112">
      <text>
        <t xml:space="preserve">======
ID#AAABnMNdyFY
Robert Kendi | VELTOL    (2025-07-09 09:30:02)
Delegatie BH</t>
      </text>
    </comment>
    <comment authorId="0" ref="R112">
      <text>
        <t xml:space="preserve">======
ID#AAABnMNdyFg
Robert Kendi | VELTOL    (2025-07-09 09:30:12)
Delegatie BH</t>
      </text>
    </comment>
    <comment authorId="0" ref="P46">
      <text>
        <t xml:space="preserve">======
ID#AAABhwMt-f8
Vlad Ciubuca | VELTOL    (2025-04-14 11:57:04)
Malutan</t>
      </text>
    </comment>
    <comment authorId="0" ref="S112">
      <text>
        <t xml:space="preserve">======
ID#AAABnMNdyFo
Robert Kendi | VELTOL    (2025-07-09 09:30:42)
Delegatie BH + interventie Carei Baterie Kecseti</t>
      </text>
    </comment>
    <comment authorId="0" ref="B509">
      <text>
        <t xml:space="preserve">======
ID#AAAB1axyB9g
Vlad Ciubuca | VELTOL    (2026-03-06 08:08:21)
Lykos</t>
      </text>
    </comment>
    <comment authorId="0" ref="T46">
      <text>
        <t xml:space="preserve">======
ID#AAABiVtLDCc
Nagy Pal Ors | VELTOL    (2025-04-22 06:22:48)
Sistem Egyed L.</t>
      </text>
    </comment>
    <comment authorId="0" ref="AD178">
      <text>
        <t xml:space="preserve">======
ID#AAABoa_zsAA
Tamás Szente | VELTOL    (2025-07-29 07:27:51)
Saftica Ejjel 2</t>
      </text>
    </comment>
    <comment authorId="0" ref="Z46">
      <text>
        <t xml:space="preserve">======
ID#AAABibfii_M
Béla Pál Szász | VELTOL    (2025-04-25 04:37:29)
Szabó József</t>
      </text>
    </comment>
    <comment authorId="0" ref="B113">
      <text>
        <t xml:space="preserve">======
ID#AAABlIP_MQg
Robert Kendi | VELTOL    (2025-06-04 07:31:01)
Szász Arnold Odorheiu Sec (HR)</t>
      </text>
    </comment>
    <comment authorId="0" ref="D113">
      <text>
        <t xml:space="preserve">======
ID#AAABlJNP0-4
Alpár Papp | VELTOL    (2025-06-05 04:31:42)
Nutu (Deva) + Haiduc (Alba)</t>
      </text>
    </comment>
    <comment authorId="0" ref="R509">
      <text>
        <t xml:space="preserve">======
ID#AAAB1_TYezU
Anonymous    (2026-03-18 10:10:37)
Pucioasa</t>
      </text>
    </comment>
    <comment authorId="0" ref="I179">
      <text>
        <t xml:space="preserve">======
ID#AAABnN3fXGo
Nagy Pal Ors | VELTOL    (2025-07-09 12:40:52)
Delegatie Orsova</t>
      </text>
    </comment>
    <comment authorId="0" ref="J179">
      <text>
        <t xml:space="preserve">======
ID#AAABnN3fXG0
Nagy Pal Ors | VELTOL    (2025-07-09 12:41:05)
Delegatie Orsova</t>
      </text>
    </comment>
    <comment authorId="0" ref="K179">
      <text>
        <t xml:space="preserve">======
ID#AAABnN3fXHA
Nagy Pal Ors | VELTOL    (2025-07-09 12:41:15)
Delegatie Orsova</t>
      </text>
    </comment>
    <comment authorId="0" ref="J113">
      <text>
        <t xml:space="preserve">======
ID#AAABli7rFqg
Alpár Papp | VELTOL    (2025-06-10 14:56:58)
Matemar Cluj</t>
      </text>
    </comment>
    <comment authorId="0" ref="L113">
      <text>
        <t xml:space="preserve">======
ID#AAABlnuLxWU
Vlad Ciubuca | VELTOL    (2025-06-12 07:15:41)
Ioan Szentgyorgyi</t>
      </text>
    </comment>
    <comment authorId="0" ref="J47">
      <text>
        <t xml:space="preserve">======
ID#AAABefdaznE
Nagy Pál    (2025-04-08 11:37:03)
+1 sistem Petru Emanoil Stefan</t>
      </text>
    </comment>
    <comment authorId="0" ref="K47">
      <text>
        <t xml:space="preserve">======
ID#AAABhmYs2q4
Alpár Papp | VELTOL    (2025-04-09 09:24:07)
Fekete Cluj</t>
      </text>
    </comment>
    <comment authorId="0" ref="P113">
      <text>
        <t xml:space="preserve">======
ID#AAABnMNdyFU
Robert Kendi | VELTOL    (2025-07-09 09:29:55)
Delegatie BH</t>
      </text>
    </comment>
    <comment authorId="0" ref="Q113">
      <text>
        <t xml:space="preserve">======
ID#AAABnMNdyFc
Robert Kendi | VELTOL    (2025-07-09 09:30:07)
Delegatie BH</t>
      </text>
    </comment>
    <comment authorId="0" ref="AD509">
      <text>
        <t xml:space="preserve">======
ID#AAAB24XHnOE
Anonymous    (2026-04-01 05:52:50)
Iuhos Peter
------
ID#AAAB24Y3zB4
Tamás Szente | VELTOL    (2026-04-01 07:23:27)
Nu au delegatie
------
ID#AAAB6r0QBhY
Robert Kendi | VELTOL    (2026-04-30 06:57:24)
Se scad din ore de recuperat si nu primesc delegatie</t>
      </text>
    </comment>
    <comment authorId="0" ref="R113">
      <text>
        <t xml:space="preserve">======
ID#AAABnMNdyFk
Robert Kendi | VELTOL    (2025-07-09 09:30:18)
Delegatie BH</t>
      </text>
    </comment>
    <comment authorId="0" ref="P47">
      <text>
        <t xml:space="preserve">======
ID#AAABhwMtNYc
Vlad Ciubuca | VELTOL    (2025-04-14 07:45:31)
Istovan+Stroiar</t>
      </text>
    </comment>
    <comment authorId="0" ref="S113">
      <text>
        <t xml:space="preserve">======
ID#AAABnMP-6xI
Robert Kendi | VELTOL    (2025-07-09 09:30:48)
Delegatie BH + interventie Carei Baterie Kecseti</t>
      </text>
    </comment>
    <comment authorId="0" ref="Q47">
      <text>
        <t xml:space="preserve">======
ID#AAABhyqVh74
Tamás Szente | VELTOL    (2025-04-15 05:08:24)
Stroian diferenta</t>
      </text>
    </comment>
    <comment authorId="0" ref="W179">
      <text>
        <t xml:space="preserve">======
ID#AAABnwsV2iA
Nagy Pal Ors | VELTOL    (2025-07-24 08:09:32)
Orsova</t>
      </text>
    </comment>
    <comment authorId="0" ref="X179">
      <text>
        <t xml:space="preserve">======
ID#AAABnwsV2iE
Nagy Pal Ors | VELTOL    (2025-07-24 08:09:37)
Orsova</t>
      </text>
    </comment>
    <comment authorId="0" ref="Y179">
      <text>
        <t xml:space="preserve">======
ID#AAABnwsV2iI
Nagy Pal Ors | VELTOL    (2025-07-24 08:09:42)
Orsova</t>
      </text>
    </comment>
    <comment authorId="0" ref="Z179">
      <text>
        <t xml:space="preserve">======
ID#AAABnwsV2iM
Nagy Pal Ors | VELTOL    (2025-07-24 08:09:47)
Orsova</t>
      </text>
    </comment>
    <comment authorId="0" ref="C378">
      <text>
        <t xml:space="preserve">======
ID#AAABw0SsXxM
Alpár Papp | VELTOL    (2025-12-02 07:03:14)
GCIT Saftica</t>
      </text>
    </comment>
    <comment authorId="0" ref="Z113">
      <text>
        <t xml:space="preserve">======
ID#AAABmaZHiTk
Anonymous    (2025-06-26 09:24:50)
Zimmerman - Covasna</t>
      </text>
    </comment>
    <comment authorId="0" ref="AA113">
      <text>
        <t xml:space="preserve">======
ID#AAABmtnTfC4
Bela Pal Szasz    (2025-06-27 06:43:02)
Ceusan, Sarmasel Gara, MS</t>
      </text>
    </comment>
    <comment authorId="0" ref="Y47">
      <text>
        <t xml:space="preserve">======
ID#AAABibfii_c
Béla Pál Szász | VELTOL    (2025-04-25 04:45:02)
Diana Rotar - Soala, Jud. Sibiu</t>
      </text>
    </comment>
    <comment authorId="0" ref="F378">
      <text>
        <t xml:space="preserve">======
ID#AAABw0SsXxQ
Alpár Papp | VELTOL    (2025-12-02 07:03:19)
GCIT Saftica</t>
      </text>
    </comment>
    <comment authorId="0" ref="B114">
      <text>
        <t xml:space="preserve">======
ID#AAABlIP_MQk
Robert Kendi | VELTOL    (2025-06-04 07:31:07)
Szász Arnold Odorheiu Sec (HR)</t>
      </text>
    </comment>
    <comment authorId="0" ref="D114">
      <text>
        <t xml:space="preserve">======
ID#AAABlJNP0-8
Alpár Papp | VELTOL    (2025-06-05 04:31:47)
Nutu (Deva) + Haiduc (Alba)</t>
      </text>
    </comment>
    <comment authorId="0" ref="I180">
      <text>
        <t xml:space="preserve">======
ID#AAABnN3fXGs
Nagy Pal Ors | VELTOL    (2025-07-09 12:40:57)
Delegatie Orsova</t>
      </text>
    </comment>
    <comment authorId="0" ref="J180">
      <text>
        <t xml:space="preserve">======
ID#AAABnN3fXG4
Nagy Pal Ors | VELTOL    (2025-07-09 12:41:09)
Delegatie Orsova</t>
      </text>
    </comment>
    <comment authorId="0" ref="K180">
      <text>
        <t xml:space="preserve">======
ID#AAABnN3fXHE
Nagy Pal Ors | VELTOL    (2025-07-09 12:41:19)
Delegatie Orsova</t>
      </text>
    </comment>
    <comment authorId="0" ref="J114">
      <text>
        <t xml:space="preserve">======
ID#AAABli7rFqk
Alpár Papp | VELTOL    (2025-06-10 14:57:04)
Matemar Cluj</t>
      </text>
    </comment>
    <comment authorId="0" ref="M180">
      <text>
        <t xml:space="preserve">======
ID#AAABnX6tZos
Tamás Szente | VELTOL    (2025-07-15 08:42:12)
Versuni Orsel</t>
      </text>
    </comment>
    <comment authorId="0" ref="N180">
      <text>
        <t xml:space="preserve">======
ID#AAABnX6mmAs
Robert Kendi | VELTOL    (2025-07-15 07:29:41)
24x450W Csergő Zoltán Miercurea Nirajului</t>
      </text>
    </comment>
    <comment authorId="0" ref="L114">
      <text>
        <t xml:space="preserve">======
ID#AAABlnuLxWY
Vlad Ciubuca | VELTOL    (2025-06-12 07:15:44)
Ioan Szentgyorgyi</t>
      </text>
    </comment>
    <comment authorId="0" ref="K48">
      <text>
        <t xml:space="preserve">======
ID#AAABhmYs2q8
Alpár Papp | VELTOL    (2025-04-09 09:24:12)
Fekete Cluj</t>
      </text>
    </comment>
    <comment authorId="0" ref="P114">
      <text>
        <t xml:space="preserve">======
ID#AAABnMP-6xM
Robert Kendi | VELTOL    (2025-07-09 09:31:00)
Delegatie BH</t>
      </text>
    </comment>
    <comment authorId="0" ref="Q114">
      <text>
        <t xml:space="preserve">======
ID#AAABnMP-6xQ
Robert Kendi | VELTOL    (2025-07-09 09:31:05)
Delegatie BH</t>
      </text>
    </comment>
    <comment authorId="0" ref="AD510">
      <text>
        <t xml:space="preserve">======
ID#AAAB24XHnOI
Anonymous    (2026-04-01 05:52:59)
Iuhos Peter
------
ID#AAAB24Y3zB8
Tamás Szente | VELTOL    (2026-04-01 07:23:31)
Nu au delegatie
------
ID#AAAB6r0QBhc
Robert Kendi | VELTOL    (2026-04-30 06:57:26)
Se scad din ore de recuperat si nu primesc delegatie</t>
      </text>
    </comment>
    <comment authorId="0" ref="R114">
      <text>
        <t xml:space="preserve">======
ID#AAABnMP-6xU
Robert Kendi | VELTOL    (2025-07-09 09:31:11)
Delegatie BH</t>
      </text>
    </comment>
    <comment authorId="0" ref="P48">
      <text>
        <t xml:space="preserve">======
ID#AAABhwMtNYg
Vlad Ciubuca | VELTOL    (2025-04-14 07:45:37)
Istovan+Stroiar</t>
      </text>
    </comment>
    <comment authorId="0" ref="S114">
      <text>
        <t xml:space="preserve">======
ID#AAABnMP-6xY
Robert Kendi | VELTOL    (2025-07-09 09:31:37)
Delegatie BH</t>
      </text>
    </comment>
    <comment authorId="0" ref="Q48">
      <text>
        <t xml:space="preserve">======
ID#AAABhyqVh78
Tamás Szente | VELTOL    (2025-04-15 05:08:28)
Stroian diferenta</t>
      </text>
    </comment>
    <comment authorId="0" ref="W180">
      <text>
        <t xml:space="preserve">======
ID#AAABnwsV2iQ
Nagy Pal Ors | VELTOL    (2025-07-24 08:10:11)
Orsova</t>
      </text>
    </comment>
    <comment authorId="0" ref="Z114">
      <text>
        <t xml:space="preserve">======
ID#AAABmaZHiTg
Anonymous    (2025-06-26 09:24:46)
Zimmerman - Covasna</t>
      </text>
    </comment>
    <comment authorId="0" ref="AA114">
      <text>
        <t xml:space="preserve">======
ID#AAABmtnTfC8
Bela Pal Szasz    (2025-06-27 06:43:06)
Ceusan, Sarmasel Gara, MS</t>
      </text>
    </comment>
    <comment authorId="0" ref="Y48">
      <text>
        <t xml:space="preserve">======
ID#AAABibfii_g
Béla Pál Szász | VELTOL    (2025-04-25 04:45:07)
Diana Rotar - Soala, Jud. Sibiu</t>
      </text>
    </comment>
    <comment authorId="0" ref="I511">
      <text>
        <t xml:space="preserve">======
ID#AAAB211LxXc
Anonymous    (2026-03-31 08:00:29)
CGC Agria</t>
      </text>
    </comment>
    <comment authorId="0" ref="L577">
      <text>
        <t xml:space="preserve">======
ID#AAAB8eRGpQw
Farczadi Janos | VELTOL    (2026-05-25 08:13:23)
GCIT-PREDEAL</t>
      </text>
    </comment>
    <comment authorId="0" ref="P577">
      <text>
        <t xml:space="preserve">======
ID#AAAB8eRGpQs
Farczadi Janos | VELTOL    (2026-05-25 08:11:58)
GCIT-PREDEAL</t>
      </text>
    </comment>
    <comment authorId="0" ref="I181">
      <text>
        <t xml:space="preserve">======
ID#AAABnN3fXGw
Nagy Pal Ors | VELTOL    (2025-07-09 12:41:01)
Delegatie Orsova</t>
      </text>
    </comment>
    <comment authorId="0" ref="J181">
      <text>
        <t xml:space="preserve">======
ID#AAABnN3fXG8
Nagy Pal Ors | VELTOL    (2025-07-09 12:41:12)
Delegatie Orsova</t>
      </text>
    </comment>
    <comment authorId="0" ref="K181">
      <text>
        <t xml:space="preserve">======
ID#AAABnN3fXHI
Nagy Pal Ors | VELTOL    (2025-07-09 12:41:22)
Delegatie Orsova</t>
      </text>
    </comment>
    <comment authorId="0" ref="J115">
      <text>
        <t xml:space="preserve">======
ID#AAABmaaCDcI
Bela Pal Szasz    (2025-06-27 06:18:38)
Spitalul Bistrița</t>
      </text>
    </comment>
    <comment authorId="0" ref="K115">
      <text>
        <t xml:space="preserve">======
ID#AAABmaaCDcU
Bela Pal Szasz    (2025-06-27 06:18:52)
Spitalul Bistrița</t>
      </text>
    </comment>
    <comment authorId="0" ref="L115">
      <text>
        <t xml:space="preserve">======
ID#AAABmaaCDcg
Bela Pal Szasz    (2025-06-27 06:19:09)
Spitalul Bistrița</t>
      </text>
    </comment>
    <comment authorId="0" ref="M115">
      <text>
        <t xml:space="preserve">======
ID#AAABmaaCDcs
Bela Pal Szasz    (2025-06-27 06:19:26)
Spitalul Bistrița</t>
      </text>
    </comment>
    <comment authorId="0" ref="K49">
      <text>
        <t xml:space="preserve">======
ID#AAABhmYs2rA
Alpár Papp | VELTOL    (2025-04-09 09:24:16)
Fekete Cluj</t>
      </text>
    </comment>
    <comment authorId="0" ref="P49">
      <text>
        <t xml:space="preserve">======
ID#AAABhwMtNYk
Vlad Ciubuca | VELTOL    (2025-04-14 07:45:41)
Istovan+Stroiar</t>
      </text>
    </comment>
    <comment authorId="0" ref="AE511">
      <text>
        <t xml:space="preserve">======
ID#AAAB3yEOedk
Farczadi Janos | VELTOL    (2026-04-21 07:12:48)
Avicola-Focsani</t>
      </text>
    </comment>
    <comment authorId="0" ref="Q49">
      <text>
        <t xml:space="preserve">======
ID#AAABhyqVh8A
Tamás Szente | VELTOL    (2025-04-15 05:08:31)
Stroian diferenta</t>
      </text>
    </comment>
    <comment authorId="0" ref="Z115">
      <text>
        <t xml:space="preserve">======
ID#AAABmtnTfFY
Vlad Ciubuca | VELTOL    (2025-06-27 08:02:12)
Lovrin-Resalta</t>
      </text>
    </comment>
    <comment authorId="0" ref="Y49">
      <text>
        <t xml:space="preserve">======
ID#AAABibfii_k
Béla Pál Szász | VELTOL    (2025-04-25 04:45:12)
Diana Rotar - Soala, Jud. Sibiu</t>
      </text>
    </comment>
    <comment authorId="0" ref="AD181">
      <text>
        <t xml:space="preserve">======
ID#AAABoa_zsAY
Nagy Pal Ors | VELTOL    (2025-07-29 07:54:11)
Orsova</t>
      </text>
    </comment>
    <comment authorId="0" ref="S644">
      <text>
        <t xml:space="preserve">======
ID#AAAB-na9BoE
Farczadi Janos | VELTOL    (2026-06-29 05:07:44)
Botosani</t>
      </text>
    </comment>
    <comment authorId="0" ref="T512">
      <text>
        <t xml:space="preserve">======
ID#AAAB2Z8Cc8A
Vlad Ciubuca | VELTOL    (2026-03-23 07:37:17)
Lykos</t>
      </text>
    </comment>
    <comment authorId="0" ref="J116">
      <text>
        <t xml:space="preserve">======
ID#AAABmaaCDcM
Bela Pal Szasz    (2025-06-27 06:18:43)
Spitalul Bistrița</t>
      </text>
    </comment>
    <comment authorId="0" ref="K116">
      <text>
        <t xml:space="preserve">======
ID#AAABmaaCDcY
Bela Pal Szasz    (2025-06-27 06:18:56)
Spitalul Bistrița</t>
      </text>
    </comment>
    <comment authorId="0" ref="L116">
      <text>
        <t xml:space="preserve">======
ID#AAABmaaCDck
Bela Pal Szasz    (2025-06-27 06:19:14)
Spitalul Bistrița</t>
      </text>
    </comment>
    <comment authorId="0" ref="Y512">
      <text>
        <t xml:space="preserve">======
ID#AAAB2mF7e5k
Vlad Ciubuca | VELTOL    (2026-03-27 07:39:17)
Lykos</t>
      </text>
    </comment>
    <comment authorId="0" ref="M116">
      <text>
        <t xml:space="preserve">======
ID#AAABmaaCDcw
Bela Pal Szasz    (2025-06-27 06:19:29)
Spitalul Bistrița</t>
      </text>
    </comment>
    <comment authorId="0" ref="K50">
      <text>
        <t xml:space="preserve">======
ID#AAABhnZ83-E
Anonymous    (2025-04-09 11:26:43)
24 pano Benő Lori</t>
      </text>
    </comment>
    <comment authorId="0" ref="P50">
      <text>
        <t xml:space="preserve">======
ID#AAABhwVZawY
Vlad Ciubuca | VELTOL    (2025-04-14 11:57:29)
Malutan</t>
      </text>
    </comment>
    <comment authorId="0" ref="Q50">
      <text>
        <t xml:space="preserve">======
ID#AAABiFI-mJQ
Anonymous    (2025-04-16 05:19:45)
Tiplea Cj</t>
      </text>
    </comment>
    <comment authorId="0" ref="C513">
      <text>
        <t xml:space="preserve">======
ID#AAAB2hWqBMk
Robert Kendi | VELTOL    (2026-03-26 13:46:34)
BUc</t>
      </text>
    </comment>
    <comment authorId="0" ref="Z116">
      <text>
        <t xml:space="preserve">======
ID#AAABmtnTfFc
Vlad Ciubuca | VELTOL    (2025-06-27 08:02:16)
Lovrin-Resalta</t>
      </text>
    </comment>
    <comment authorId="0" ref="X50">
      <text>
        <t xml:space="preserve">======
ID#AAABiZIj7fc
Vlad Ciubuca | VELTOL    (2025-04-23 05:09:42)
Taran Constantin - Harghita</t>
      </text>
    </comment>
    <comment authorId="0" ref="AD182">
      <text>
        <t xml:space="preserve">======
ID#AAABoa_zsAc
Nagy Pal Ors | VELTOL    (2025-07-29 07:54:30)
Orsova</t>
      </text>
    </comment>
    <comment authorId="0" ref="J117">
      <text>
        <t xml:space="preserve">======
ID#AAABmaaCDcQ
Bela Pal Szasz    (2025-06-27 06:18:48)
Spitalul Bistrița</t>
      </text>
    </comment>
    <comment authorId="0" ref="K117">
      <text>
        <t xml:space="preserve">======
ID#AAABmaaCDcc
Bela Pal Szasz    (2025-06-27 06:19:00)
Spitalul Bistrița</t>
      </text>
    </comment>
    <comment authorId="0" ref="L117">
      <text>
        <t xml:space="preserve">======
ID#AAABmaaCDco
Bela Pal Szasz    (2025-06-27 06:19:19)
Spitalul Bistrița</t>
      </text>
    </comment>
    <comment authorId="0" ref="M117">
      <text>
        <t xml:space="preserve">======
ID#AAABmtnTfBE
Bela Pal Szasz    (2025-06-27 06:19:36)
Spitalul Bistrița</t>
      </text>
    </comment>
    <comment authorId="0" ref="K51">
      <text>
        <t xml:space="preserve">======
ID#AAABhnZ83-Q
Anonymous    (2025-04-09 11:26:58)
24 pano Benő Lori</t>
      </text>
    </comment>
    <comment authorId="0" ref="P51">
      <text>
        <t xml:space="preserve">======
ID#AAABhwMt-gE
Vlad Ciubuca | VELTOL    (2025-04-14 11:57:20)
Malutan
------
ID#AAABhwMt-gI
Vlad Ciubuca | VELTOL    (2025-04-14 11:57:24)
Malutan</t>
      </text>
    </comment>
    <comment authorId="0" ref="Q51">
      <text>
        <t xml:space="preserve">======
ID#AAABiFI-mJU
Anonymous    (2025-04-16 05:19:55)
Tiplea Cj</t>
      </text>
    </comment>
    <comment authorId="0" ref="C514">
      <text>
        <t xml:space="preserve">======
ID#AAAB2hWqBMo
Robert Kendi | VELTOL    (2026-03-26 13:46:40)
BUC</t>
      </text>
    </comment>
    <comment authorId="0" ref="C382">
      <text>
        <t xml:space="preserve">======
ID#AAABw0SsXxU
Alpár Papp | VELTOL    (2025-12-02 07:03:24)
GCIT Saftica</t>
      </text>
    </comment>
    <comment authorId="0" ref="Z117">
      <text>
        <t xml:space="preserve">======
ID#AAABmtnTfFg
Vlad Ciubuca | VELTOL    (2025-06-27 08:02:21)
Lovrin-Resalta</t>
      </text>
    </comment>
    <comment authorId="0" ref="X51">
      <text>
        <t xml:space="preserve">======
ID#AAABiZIj7fQ
Vlad Ciubuca | VELTOL    (2025-04-23 05:08:37)
Taran Constantin - Harghita</t>
      </text>
    </comment>
    <comment authorId="0" ref="AD183">
      <text>
        <t xml:space="preserve">======
ID#AAABpc_IBX0
Robert Kendi | VELTOL    (2025-08-19 09:43:45)
ott volt egyész héten és nem volt berakva  neki ez a hét! A következő hónapban kiadni a fennmaradt 400 lejt!</t>
      </text>
    </comment>
    <comment authorId="0" ref="F382">
      <text>
        <t xml:space="preserve">======
ID#AAABw0SsXxY
Alpár Papp | VELTOL    (2025-12-02 07:03:28)
GCIT Saftica</t>
      </text>
    </comment>
    <comment authorId="0" ref="C118">
      <text>
        <t xml:space="preserve">======
ID#AAABlkWtBzY
Béla Pál Szász | VELTOL    (2025-06-11 05:16:07)
Bokor Francisc, Huedin</t>
      </text>
    </comment>
    <comment authorId="0" ref="K118">
      <text>
        <t xml:space="preserve">======
ID#AAABlkWtB2E
Nagy Pal Ors | VELTOL    (2025-06-11 08:38:03)
Liviu Macavei, Turda</t>
      </text>
    </comment>
    <comment authorId="0" ref="S316">
      <text>
        <t xml:space="preserve">======
ID#AAABwlU7S9I
Alpár Papp | VELTOL    (2025-11-21 12:33:18)
GCIT Saftica</t>
      </text>
    </comment>
    <comment authorId="0" ref="K52">
      <text>
        <t xml:space="preserve">======
ID#AAABhndABHk
Anonymous    (2025-04-09 11:27:45)
24 pano Beno Lori</t>
      </text>
    </comment>
    <comment authorId="0" ref="T316">
      <text>
        <t xml:space="preserve">======
ID#AAABwlU7S9Q
Alpár Papp | VELTOL    (2025-11-21 12:33:28)
GCIT Saftica</t>
      </text>
    </comment>
    <comment authorId="0" ref="P52">
      <text>
        <t xml:space="preserve">======
ID#AAABhwMt-gA
Vlad Ciubuca | VELTOL    (2025-04-14 11:57:13)
Malutan</t>
      </text>
    </comment>
    <comment authorId="0" ref="Q52">
      <text>
        <t xml:space="preserve">======
ID#AAABiFI-mJY
Anonymous    (2025-04-16 05:20:09)
Tiplea Cj</t>
      </text>
    </comment>
    <comment authorId="0" ref="W118">
      <text>
        <t xml:space="preserve">======
ID#AAABmtnTfCc
Bela Pal Szasz    (2025-06-27 06:32:48)
Banciu Ciprian, Dezmir, CJ</t>
      </text>
    </comment>
    <comment authorId="0" ref="X118">
      <text>
        <t xml:space="preserve">======
ID#AAABmtnTfCk
Bela Pal Szasz    (2025-06-27 06:37:36)
Szekeres Irina, Papiu Ilarian, MS</t>
      </text>
    </comment>
    <comment authorId="0" ref="Y118">
      <text>
        <t xml:space="preserve">======
ID#AAABmXcXROQ
Nagy Pal Ors | VELTOL    (2025-06-25 12:30:51)
Mihaly Pascu CJ</t>
      </text>
    </comment>
    <comment authorId="0" ref="Z118">
      <text>
        <t xml:space="preserve">======
ID#AAABmZ_8DXc
Anonymous    (2025-06-26 09:22:19)
Szanto Francisc -Ludus</t>
      </text>
    </comment>
    <comment authorId="0" ref="X52">
      <text>
        <t xml:space="preserve">======
ID#AAABiZIj7fU
Vlad Ciubuca | VELTOL    (2025-04-23 05:08:41)
Taran Constantin - Harghita</t>
      </text>
    </comment>
    <comment authorId="0" ref="B251">
      <text>
        <t xml:space="preserve">======
ID#AAABqeXGsyU
Vlad Ciubuca | VELTOL    (2025-09-02 11:05:07)
Paclisa</t>
      </text>
    </comment>
    <comment authorId="0" ref="C251">
      <text>
        <t xml:space="preserve">======
ID#AAABqeXGsy4
Vlad Ciubuca | VELTOL    (2025-09-02 11:05:39)
Paclisa</t>
      </text>
    </comment>
    <comment authorId="0" ref="C119">
      <text>
        <t xml:space="preserve">======
ID#AAABlkWtBzc
Béla Pál Szász | VELTOL    (2025-06-11 05:16:13)
Bokor Francisc, Huedin</t>
      </text>
    </comment>
    <comment authorId="0" ref="L251">
      <text>
        <t xml:space="preserve">======
ID#AAABrMGx7XE
Béla Pál Szász | VELTOL    (2025-09-16 08:42:56)
CEF M. Viteazu, Turda 1</t>
      </text>
    </comment>
    <comment authorId="0" ref="K119">
      <text>
        <t xml:space="preserve">======
ID#AAABlkWtB2I
Nagy Pal Ors | VELTOL    (2025-06-11 08:38:09)
Liviu Macavei, Turda</t>
      </text>
    </comment>
    <comment authorId="0" ref="S317">
      <text>
        <t xml:space="preserve">======
ID#AAABwlU7S9M
Alpár Papp | VELTOL    (2025-11-21 12:33:24)
GCIT Saftica</t>
      </text>
    </comment>
    <comment authorId="0" ref="T317">
      <text>
        <t xml:space="preserve">======
ID#AAABwlU7S9U
Alpár Papp | VELTOL    (2025-11-21 12:33:32)
GCIT Saftica</t>
      </text>
    </comment>
    <comment authorId="0" ref="W119">
      <text>
        <t xml:space="preserve">======
ID#AAABmtnTfCg
Bela Pal Szasz    (2025-06-27 06:32:52)
Banciu Ciprian, Dezmir, CJ</t>
      </text>
    </comment>
    <comment authorId="0" ref="X119">
      <text>
        <t xml:space="preserve">======
ID#AAABmtnTfCo
Bela Pal Szasz    (2025-06-27 06:37:43)
Szekeres Irina, Papiu Ilarian, MS</t>
      </text>
    </comment>
    <comment authorId="0" ref="Y119">
      <text>
        <t xml:space="preserve">======
ID#AAABmXcXROU
Nagy Pal Ors | VELTOL    (2025-06-25 12:30:57)
Mihaly Pascu CJ</t>
      </text>
    </comment>
    <comment authorId="0" ref="Z119">
      <text>
        <t xml:space="preserve">======
ID#AAABmaZHiTc
Anonymous    (2025-06-26 09:22:24)
Szanto Francisc -Ludus</t>
      </text>
    </comment>
    <comment authorId="0" ref="AA119">
      <text>
        <t xml:space="preserve">======
ID#AAABm4v6ykk
Béla Pál Szász | VELTOL    (2025-07-02 05:17:00)
NTS intervenție</t>
      </text>
    </comment>
    <comment authorId="0" ref="B252">
      <text>
        <t xml:space="preserve">======
ID#AAABqeXGsyY
Vlad Ciubuca | VELTOL    (2025-09-02 11:05:12)
Paclisa</t>
      </text>
    </comment>
    <comment authorId="0" ref="C252">
      <text>
        <t xml:space="preserve">======
ID#AAABqeaX6cc
Vlad Ciubuca | VELTOL    (2025-09-02 11:05:42)
Paclisa</t>
      </text>
    </comment>
    <comment authorId="0" ref="I384">
      <text>
        <t xml:space="preserve">======
ID#AAABxfOF_w8
Robert Kendi | VELTOL    (2025-12-15 09:29:57)
Delegtie SM - Stef Barth Tamas</t>
      </text>
    </comment>
    <comment authorId="0" ref="C120">
      <text>
        <t xml:space="preserve">======
ID#AAABlkWtBzg
Béla Pál Szász | VELTOL    (2025-06-11 05:16:29)
Bokor Francisc, Huedin</t>
      </text>
    </comment>
    <comment authorId="0" ref="D120">
      <text>
        <t xml:space="preserve">======
ID#AAABlkWtBzM
Béla Pál Szász | VELTOL    (2025-06-11 05:13:53)
Balint Ioan, Huedin</t>
      </text>
    </comment>
    <comment authorId="0" ref="P318">
      <text>
        <t xml:space="preserve">======
ID#AAABxfOF_ws
Béla Pál Szász | VELTOL    (2025-12-15 09:22:49)
CEF TURDA EST</t>
      </text>
    </comment>
    <comment authorId="0" ref="J120">
      <text>
        <t xml:space="preserve">======
ID#AAABlkWtByc
Béla Pál Szász | VELTOL    (2025-06-11 04:50:32)
Török Dániel, Cluj</t>
      </text>
    </comment>
    <comment authorId="0" ref="R120">
      <text>
        <t xml:space="preserve">======
ID#AAABmtnTfBg
Bela Pal Szasz    (2025-06-27 06:29:10)
George Filip, Cisnadie, SB</t>
      </text>
    </comment>
    <comment authorId="0" ref="S120">
      <text>
        <t xml:space="preserve">======
ID#AAABmtnTfCQ
Bela Pal Szasz    (2025-06-27 06:31:09)
Daniela Lesan, Bistrita, BN</t>
      </text>
    </comment>
    <comment authorId="0" ref="B451">
      <text>
        <t xml:space="preserve">======
ID#AAAB0EPm3cA
Vlad Ciubuca | VELTOL    (2026-02-10 09:25:57)
Lykos</t>
      </text>
    </comment>
    <comment authorId="0" ref="W120">
      <text>
        <t xml:space="preserve">======
ID#AAABmZ_uYHE
Alpár Papp | VELTOL    (2025-06-26 05:55:23)
Bumbu M. Batos</t>
      </text>
    </comment>
    <comment authorId="0" ref="C451">
      <text>
        <t xml:space="preserve">======
ID#AAAB0EPm3cE
Vlad Ciubuca | VELTOL    (2026-02-10 09:26:02)
Lykos</t>
      </text>
    </comment>
    <comment authorId="0" ref="D451">
      <text>
        <t xml:space="preserve">======
ID#AAAB0EPm3cI
Vlad Ciubuca | VELTOL    (2026-02-10 09:26:09)
Lykos</t>
      </text>
    </comment>
    <comment authorId="0" ref="Z120">
      <text>
        <t xml:space="preserve">======
ID#AAABmuLuCpg
Anonymous    (2025-06-27 04:32:23)
Zimmerman - Covasna</t>
      </text>
    </comment>
    <comment authorId="0" ref="AA120">
      <text>
        <t xml:space="preserve">======
ID#AAABm4v6yko
Béla Pál Szász | VELTOL    (2025-07-02 05:17:05)
NTS intervenție</t>
      </text>
    </comment>
    <comment authorId="0" ref="B253">
      <text>
        <t xml:space="preserve">======
ID#AAABqeXGsyc
Vlad Ciubuca | VELTOL    (2025-09-02 11:05:15)
Paclisa</t>
      </text>
    </comment>
    <comment authorId="0" ref="C253">
      <text>
        <t xml:space="preserve">======
ID#AAABqeaX6cg
Vlad Ciubuca | VELTOL    (2025-09-02 11:05:45)
Paclisa</t>
      </text>
    </comment>
    <comment authorId="0" ref="C121">
      <text>
        <t xml:space="preserve">======
ID#AAABlkWtBzk
Béla Pál Szász | VELTOL    (2025-06-11 05:16:59)
Bokor Francisc, Huedin</t>
      </text>
    </comment>
    <comment authorId="0" ref="D121">
      <text>
        <t xml:space="preserve">======
ID#AAABlkWtBzQ
Béla Pál Szász | VELTOL    (2025-06-11 05:13:57)
Balint Ioan, Huedin</t>
      </text>
    </comment>
    <comment authorId="0" ref="P451">
      <text>
        <t xml:space="preserve">======
ID#AAABvh5h0GE
Anonymous    (2026-02-25 11:54:32)
Lipsa OD! De clarificat
------
ID#AAAB1fT7ZqA
Tamás Szente | VELTOL    (2026-03-09 13:01:44)
Clarificat</t>
      </text>
    </comment>
    <comment authorId="0" ref="P319">
      <text>
        <t xml:space="preserve">======
ID#AAABxfOF_ww
Béla Pál Szász | VELTOL    (2025-12-15 09:22:58)
CEF TURDA EST</t>
      </text>
    </comment>
    <comment authorId="0" ref="J121">
      <text>
        <t xml:space="preserve">======
ID#AAABlkWtByg
Béla Pál Szász | VELTOL    (2025-06-11 04:50:37)
Török Dániel, Cluj</t>
      </text>
    </comment>
    <comment authorId="0" ref="R121">
      <text>
        <t xml:space="preserve">======
ID#AAABmtnTfBk
Bela Pal Szasz    (2025-06-27 06:29:15)
George Filip, Cisnadie, SB</t>
      </text>
    </comment>
    <comment authorId="0" ref="S121">
      <text>
        <t xml:space="preserve">======
ID#AAABmtnTfCU
Bela Pal Szasz    (2025-06-27 06:31:13)
Daniela Lesan, Bistrita, BN</t>
      </text>
    </comment>
    <comment authorId="0" ref="W121">
      <text>
        <t xml:space="preserve">======
ID#AAABmZ_8DWc
Alpár Papp | VELTOL    (2025-06-26 05:55:28)
Bumbu M. Batos</t>
      </text>
    </comment>
    <comment authorId="0" ref="Z121">
      <text>
        <t xml:space="preserve">======
ID#AAABmuLuCpk
Anonymous    (2025-06-27 04:32:28)
Zimmerman - Covasna</t>
      </text>
    </comment>
    <comment authorId="0" ref="AA121">
      <text>
        <t xml:space="preserve">======
ID#AAABm4v6yks
Béla Pál Szász | VELTOL    (2025-07-02 05:17:09)
NTS intervenție</t>
      </text>
    </comment>
    <comment authorId="0" ref="B254">
      <text>
        <t xml:space="preserve">======
ID#AAABqeXGsyg
Vlad Ciubuca | VELTOL    (2025-09-02 11:05:18)
Paclisa</t>
      </text>
    </comment>
    <comment authorId="0" ref="C254">
      <text>
        <t xml:space="preserve">======
ID#AAABqeaX6ck
Vlad Ciubuca | VELTOL    (2025-09-02 11:05:49)
Paclisa</t>
      </text>
    </comment>
    <comment authorId="0" ref="C122">
      <text>
        <t xml:space="preserve">======
ID#AAABlkWtBzo
Béla Pál Szász | VELTOL    (2025-06-11 05:17:03)
Bokor Francisc, Huedin</t>
      </text>
    </comment>
    <comment authorId="0" ref="D122">
      <text>
        <t xml:space="preserve">======
ID#AAABlkWtBzU
Béla Pál Szász | VELTOL    (2025-06-11 05:14:01)
Balint Ioan, Huedin</t>
      </text>
    </comment>
    <comment authorId="0" ref="P320">
      <text>
        <t xml:space="preserve">======
ID#AAABxfOF_w0
Béla Pál Szász | VELTOL    (2025-12-15 09:23:07)
CEF TURDA EST</t>
      </text>
    </comment>
    <comment authorId="0" ref="J122">
      <text>
        <t xml:space="preserve">======
ID#AAABlkWtByk
Béla Pál Szász | VELTOL    (2025-06-11 04:50:43)
Török Dániel, Cluj</t>
      </text>
    </comment>
    <comment authorId="0" ref="R122">
      <text>
        <t xml:space="preserve">======
ID#AAABmtnTfBo
Bela Pal Szasz    (2025-06-27 06:29:19)
George Filip, Cisnadie, SB</t>
      </text>
    </comment>
    <comment authorId="0" ref="S122">
      <text>
        <t xml:space="preserve">======
ID#AAABmtnTfCY
Bela Pal Szasz    (2025-06-27 06:31:18)
Daniela Lesan, Bistrita, BN</t>
      </text>
    </comment>
    <comment authorId="0" ref="W122">
      <text>
        <t xml:space="preserve">======
ID#AAABmZ_8DWg
Alpár Papp | VELTOL    (2025-06-26 05:55:31)
Bumbu M. Batos</t>
      </text>
    </comment>
    <comment authorId="0" ref="Z122">
      <text>
        <t xml:space="preserve">======
ID#AAABmuLuCpo
Anonymous    (2025-06-27 04:32:33)
Zimmerman - Covasna</t>
      </text>
    </comment>
    <comment authorId="0" ref="AA122">
      <text>
        <t xml:space="preserve">======
ID#AAABm4v6ykw
Béla Pál Szász | VELTOL    (2025-07-02 05:17:14)
NTS intervenție</t>
      </text>
    </comment>
    <comment authorId="0" ref="B255">
      <text>
        <t xml:space="preserve">======
ID#AAABqeXGsyk
Vlad Ciubuca | VELTOL    (2025-09-02 11:05:21)
Paclisa</t>
      </text>
    </comment>
    <comment authorId="0" ref="C255">
      <text>
        <t xml:space="preserve">======
ID#AAABqeaX6co
Vlad Ciubuca | VELTOL    (2025-09-02 11:05:52)
Paclisa</t>
      </text>
    </comment>
    <comment authorId="0" ref="B123">
      <text>
        <t xml:space="preserve">======
ID#AAABlIP_MQo
Robert Kendi | VELTOL    (2025-06-04 07:31:12)
Szász Arnold Odorheiu Sec (HR)
------
ID#AAABlJvrJQE
Béla Pál Szász | VELTOL    (2025-06-05 12:24:13)
Lucrarea II. Kutasi Janos</t>
      </text>
    </comment>
    <comment authorId="0" ref="C123">
      <text>
        <t xml:space="preserve">======
ID#AAABlI8KhBM
Robert Kendi | VELTOL    (2025-06-04 07:33:23)
Fekete Ferenc Disznajó</t>
      </text>
    </comment>
    <comment authorId="0" ref="E123">
      <text>
        <t xml:space="preserve">======
ID#AAABlkWtBy0
Béla Pál Szász | VELTOL    (2025-06-11 05:11:36)
Clean Prest, Albesti</t>
      </text>
    </comment>
    <comment authorId="0" ref="M255">
      <text>
        <t xml:space="preserve">======
ID#AAABrMGx7XI
Béla Pál Szász | VELTOL    (2025-09-16 08:43:02)
CEF M. Viteazu, Turda 1</t>
      </text>
    </comment>
    <comment authorId="0" ref="J123">
      <text>
        <t xml:space="preserve">======
ID#AAABli7rFqo
Alpár Papp | VELTOL    (2025-06-10 14:57:09)
Matemar Cluj</t>
      </text>
    </comment>
    <comment authorId="0" ref="L123">
      <text>
        <t xml:space="preserve">======
ID#AAABlnuLxWc
Vlad Ciubuca | VELTOL    (2025-06-12 07:22:03)
Ioan Szentgyorgyi</t>
      </text>
    </comment>
    <comment authorId="0" ref="P123">
      <text>
        <t xml:space="preserve">======
ID#AAABnMP-6xc
Robert Kendi | VELTOL    (2025-07-09 09:32:05)
Delegatie BH</t>
      </text>
    </comment>
    <comment authorId="0" ref="Q123">
      <text>
        <t xml:space="preserve">======
ID#AAABnMP-6xo
Robert Kendi | VELTOL    (2025-07-09 09:32:18)
Delegatie BH
------
ID#AAABnN3fGSo
Robert Kendi | VELTOL    (2025-07-09 11:20:53)
a + 300 RON a szatmári ujrafedés amikor le voltak csavarozva a cserepek kb 35 nm</t>
      </text>
    </comment>
    <comment authorId="0" ref="R123">
      <text>
        <t xml:space="preserve">======
ID#AAABnMP-6x0
Robert Kendi | VELTOL    (2025-07-09 09:32:31)
Delegatie BH</t>
      </text>
    </comment>
    <comment authorId="0" ref="S123">
      <text>
        <t xml:space="preserve">======
ID#AAABnMP-6yA
Robert Kendi | VELTOL    (2025-07-09 09:32:42)
Delegatie BH</t>
      </text>
    </comment>
    <comment authorId="0" ref="J652">
      <text>
        <t xml:space="preserve">======
ID#AAAB_WkqmBA
Alpár Papp | VELTOL    (2026-07-08 06:00:05)
GCIT Saftica</t>
      </text>
    </comment>
    <comment authorId="0" ref="Y123">
      <text>
        <t xml:space="preserve">======
ID#AAABmXcXROY
Nagy Pal Ors | VELTOL    (2025-06-25 12:31:25)
Mihaly Pascu CJ</t>
      </text>
    </comment>
    <comment authorId="0" ref="Z123">
      <text>
        <t xml:space="preserve">======
ID#AAABmtnTfCs
Bela Pal Szasz    (2025-06-27 06:41:16)
Hiristea Silvia, Gilau, CJ</t>
      </text>
    </comment>
    <comment authorId="0" ref="C190">
      <text>
        <t xml:space="preserve">======
ID#AAABpQusubI
Robert Kendi | VELTOL    (2025-08-12 13:57:00)
Pop Cornelia BN</t>
      </text>
    </comment>
    <comment authorId="0" ref="B124">
      <text>
        <t xml:space="preserve">======
ID#AAABlIP_MQs
Robert Kendi | VELTOL    (2025-06-04 07:31:17)
Szász Arnold Odorheiu Sec (HR)
------
ID#AAABlJvrJQI
Béla Pál Szász | VELTOL    (2025-06-05 12:24:19)
Lucrarea II. Kutasi Janos</t>
      </text>
    </comment>
    <comment authorId="0" ref="E190">
      <text>
        <t xml:space="preserve">======
ID#AAABpCub5p4
Alpár Papp | VELTOL    (2025-08-08 08:33:34)
Fogarasi, Brasov</t>
      </text>
    </comment>
    <comment authorId="0" ref="C124">
      <text>
        <t xml:space="preserve">======
ID#AAABlI8KhBQ
Robert Kendi | VELTOL    (2025-06-04 07:33:26)
Fekete Ferenc Disznajó</t>
      </text>
    </comment>
    <comment authorId="0" ref="E124">
      <text>
        <t xml:space="preserve">======
ID#AAABlkWtBy4
Béla Pál Szász | VELTOL    (2025-06-11 05:11:40)
Clean Prest, Albesti</t>
      </text>
    </comment>
    <comment authorId="0" ref="J190">
      <text>
        <t xml:space="preserve">======
ID#AAABpQusubs
Robert Kendi | VELTOL    (2025-08-12 14:07:29)
Sukosd Sandor Parohia CJ Fisesu Gherlii</t>
      </text>
    </comment>
    <comment authorId="0" ref="K190">
      <text>
        <t xml:space="preserve">======
ID#AAABpnLftVI
Béla Pál Szász | VELTOL    (2025-08-20 05:04:39)
Phoenix, BN</t>
      </text>
    </comment>
    <comment authorId="0" ref="L190">
      <text>
        <t xml:space="preserve">======
ID#AAABpaXh2bE
Béla Pál Szász | VELTOL    (2025-08-18 10:10:23)
Phoenix, BN</t>
      </text>
    </comment>
    <comment authorId="0" ref="J124">
      <text>
        <t xml:space="preserve">======
ID#AAABli7rFqs
Alpár Papp | VELTOL    (2025-06-10 14:57:12)
Matemar Cluj</t>
      </text>
    </comment>
    <comment authorId="0" ref="M190">
      <text>
        <t xml:space="preserve">======
ID#AAABpZzSusY
Alpár Papp | VELTOL    (2025-08-18 06:13:46)
Phoenix + Prigon Bistrita</t>
      </text>
    </comment>
    <comment authorId="0" ref="L124">
      <text>
        <t xml:space="preserve">======
ID#AAABlnuLxWg
Vlad Ciubuca | VELTOL    (2025-06-12 07:22:12)
Ioan Szentgyorgyi</t>
      </text>
    </comment>
    <comment authorId="0" ref="P190">
      <text>
        <t xml:space="preserve">======
ID#AAABpnLftVA
Béla Pál Szász | VELTOL    (2025-08-20 05:02:24)
Lapohos, BN</t>
      </text>
    </comment>
    <comment authorId="0" ref="Q190">
      <text>
        <t xml:space="preserve">======
ID#AAABpnLftU4
Béla Pál Szász | VELTOL    (2025-08-20 05:01:54)
Cirstea, BV</t>
      </text>
    </comment>
    <comment authorId="0" ref="P124">
      <text>
        <t xml:space="preserve">======
ID#AAABnMP-6xg
Robert Kendi | VELTOL    (2025-07-09 09:32:10)
Delegatie BH</t>
      </text>
    </comment>
    <comment authorId="0" ref="Q124">
      <text>
        <t xml:space="preserve">======
ID#AAABnMP-6xs
Robert Kendi | VELTOL    (2025-07-09 09:32:21)
Delegatie BH</t>
      </text>
    </comment>
    <comment authorId="0" ref="R124">
      <text>
        <t xml:space="preserve">======
ID#AAABnMP-6x4
Robert Kendi | VELTOL    (2025-07-09 09:32:35)
Delegatie BH</t>
      </text>
    </comment>
    <comment authorId="0" ref="S124">
      <text>
        <t xml:space="preserve">======
ID#AAABnMP-6yE
Robert Kendi | VELTOL    (2025-07-09 09:32:46)
Delegatie BH</t>
      </text>
    </comment>
    <comment authorId="0" ref="W190">
      <text>
        <t xml:space="preserve">======
ID#AAABpz__70s
Béla Pál Szász | VELTOL    (2025-08-26 07:52:54)
Parohia Feldioara - CJ</t>
      </text>
    </comment>
    <comment authorId="0" ref="Y190">
      <text>
        <t xml:space="preserve">======
ID#AAABpz__708
Béla Pál Szász | VELTOL    (2025-08-26 07:56:01)
Kelemen Alpár, Santionluca, CV</t>
      </text>
    </comment>
    <comment authorId="0" ref="Z190">
      <text>
        <t xml:space="preserve">======
ID#AAABqnOgk7k
Bela Pal Szasz    (2025-09-05 05:15:18)
Parohia Sarata, BN</t>
      </text>
    </comment>
    <comment authorId="0" ref="AA190">
      <text>
        <t xml:space="preserve">======
ID#AAABqnOgk7s
Bela Pal Szasz    (2025-09-05 05:17:03)
Cosma Laurențiu, Gherla, CJ</t>
      </text>
    </comment>
    <comment authorId="0" ref="Y124">
      <text>
        <t xml:space="preserve">======
ID#AAABmXcXROc
Nagy Pal Ors | VELTOL    (2025-06-25 12:31:30)
Mihaly Pascu CJ</t>
      </text>
    </comment>
    <comment authorId="0" ref="Z124">
      <text>
        <t xml:space="preserve">======
ID#AAABmtnTfCw
Bela Pal Szasz    (2025-06-27 06:41:21)
Hiristea Silvia, Gilau, CJ</t>
      </text>
    </comment>
    <comment authorId="0" ref="C191">
      <text>
        <t xml:space="preserve">======
ID#AAABpQusubM
Robert Kendi | VELTOL    (2025-08-12 13:57:04)
Pop Cornelia BN</t>
      </text>
    </comment>
    <comment authorId="0" ref="B125">
      <text>
        <t xml:space="preserve">======
ID#AAABlIP_MQw
Robert Kendi | VELTOL    (2025-06-04 07:31:22)
Szász Arnold Odorheiu Sec (HR)</t>
      </text>
    </comment>
    <comment authorId="0" ref="E191">
      <text>
        <t xml:space="preserve">======
ID#AAABpCub5p8
Alpár Papp | VELTOL    (2025-08-08 08:33:38)
Fogarasi, Brasov</t>
      </text>
    </comment>
    <comment authorId="0" ref="C125">
      <text>
        <t xml:space="preserve">======
ID#AAABlI8KhBU
Robert Kendi | VELTOL    (2025-06-04 07:33:30)
Fekete Ferenc Disznajó</t>
      </text>
    </comment>
    <comment authorId="0" ref="R587">
      <text>
        <t xml:space="preserve">======
ID#AAAB6lBGk9s
Nagy Pal Ors | VELTOL    (2026-05-18 06:56:58)
Avicola Focsani</t>
      </text>
    </comment>
    <comment authorId="0" ref="E125">
      <text>
        <t xml:space="preserve">======
ID#AAABlkWtBy8
Béla Pál Szász | VELTOL    (2025-06-11 05:11:44)
Clean Prest, Albesti</t>
      </text>
    </comment>
    <comment authorId="0" ref="J191">
      <text>
        <t xml:space="preserve">======
ID#AAABpQusubw
Robert Kendi | VELTOL    (2025-08-12 14:07:34)
Sukosd Sandor Parohia CJ Fisesu Gherlii</t>
      </text>
    </comment>
    <comment authorId="0" ref="K191">
      <text>
        <t xml:space="preserve">======
ID#AAABpnLftVM
Béla Pál Szász | VELTOL    (2025-08-20 05:04:44)
Phoenix, BN</t>
      </text>
    </comment>
    <comment authorId="0" ref="L191">
      <text>
        <t xml:space="preserve">======
ID#AAABpaXh2bI
Béla Pál Szász | VELTOL    (2025-08-18 10:10:30)
Phoenix, BN</t>
      </text>
    </comment>
    <comment authorId="0" ref="J125">
      <text>
        <t xml:space="preserve">======
ID#AAABli7rFqw
Alpár Papp | VELTOL    (2025-06-10 14:57:17)
Matemar Cluj</t>
      </text>
    </comment>
    <comment authorId="0" ref="M191">
      <text>
        <t xml:space="preserve">======
ID#AAABpaXh2bA
Béla Pál Szász | VELTOL    (2025-08-18 10:09:47)
Phoenix + Prigon Bistrita</t>
      </text>
    </comment>
    <comment authorId="0" ref="L125">
      <text>
        <t xml:space="preserve">======
ID#AAABlnuLxWk
Vlad Ciubuca | VELTOL    (2025-06-12 07:22:18)
Ioan Szentgyorgyi</t>
      </text>
    </comment>
    <comment authorId="0" ref="AA587">
      <text>
        <t xml:space="preserve">======
ID#AAAB8eRGpQ8
Nagy Pal Ors | VELTOL    (2026-05-25 08:15:14)
Avicola Focsani</t>
      </text>
    </comment>
    <comment authorId="0" ref="P191">
      <text>
        <t xml:space="preserve">======
ID#AAABpnLftVE
Béla Pál Szász | VELTOL    (2025-08-20 05:02:29)
Lapohos, BN</t>
      </text>
    </comment>
    <comment authorId="0" ref="Q191">
      <text>
        <t xml:space="preserve">======
ID#AAABpnLftU8
Béla Pál Szász | VELTOL    (2025-08-20 05:02:03)
Cirstea, BV</t>
      </text>
    </comment>
    <comment authorId="0" ref="P125">
      <text>
        <t xml:space="preserve">======
ID#AAABnMP-6xk
Robert Kendi | VELTOL    (2025-07-09 09:32:14)
Delegatie BH</t>
      </text>
    </comment>
    <comment authorId="0" ref="Q125">
      <text>
        <t xml:space="preserve">======
ID#AAABnMP-6xw
Robert Kendi | VELTOL    (2025-07-09 09:32:26)
Delegatie BH</t>
      </text>
    </comment>
    <comment authorId="0" ref="R125">
      <text>
        <t xml:space="preserve">======
ID#AAABnMP-6x8
Robert Kendi | VELTOL    (2025-07-09 09:32:38)
Delegatie BH</t>
      </text>
    </comment>
    <comment authorId="0" ref="S125">
      <text>
        <t xml:space="preserve">======
ID#AAABnMP-6yI
Robert Kendi | VELTOL    (2025-07-09 09:32:51)
Delegatie BH</t>
      </text>
    </comment>
    <comment authorId="0" ref="W191">
      <text>
        <t xml:space="preserve">======
ID#AAABpz__70w
Béla Pál Szász | VELTOL    (2025-08-26 07:53:26)
Parohia Feldioara - CJ</t>
      </text>
    </comment>
    <comment authorId="0" ref="Y191">
      <text>
        <t xml:space="preserve">======
ID#AAABpz__71A
Béla Pál Szász | VELTOL    (2025-08-26 07:56:09)
Kelemen Alpár, Santionluca, CV</t>
      </text>
    </comment>
    <comment authorId="0" ref="Z191">
      <text>
        <t xml:space="preserve">======
ID#AAABqnOgk7o
Bela Pal Szasz    (2025-09-05 05:15:23)
Parohia Sarata, BN</t>
      </text>
    </comment>
    <comment authorId="0" ref="AA191">
      <text>
        <t xml:space="preserve">======
ID#AAABqnOgk7w
Bela Pal Szasz    (2025-09-05 05:17:11)
Cosma Laurențiu, Gherla, CJ</t>
      </text>
    </comment>
    <comment authorId="0" ref="Y125">
      <text>
        <t xml:space="preserve">======
ID#AAABmXcXROg
Nagy Pal Ors | VELTOL    (2025-06-25 12:31:34)
Mihaly Pascu CJ</t>
      </text>
    </comment>
    <comment authorId="0" ref="Z125">
      <text>
        <t xml:space="preserve">======
ID#AAABmtnTfC0
Bela Pal Szasz    (2025-06-27 06:41:24)
Hiristea Silvia, Gilau, CJ</t>
      </text>
    </comment>
    <comment authorId="0" ref="K522">
      <text>
        <t xml:space="preserve">======
ID#AAAB4LColXc
Alpár Papp | VELTOL    (2026-04-09 07:18:27)
GCIT Saftica</t>
      </text>
    </comment>
    <comment authorId="0" ref="AB59">
      <text>
        <t xml:space="preserve">======
ID#AAABihqUvoY
Nagy Pal Ors | VELTOL    (2025-04-28 09:25:43)
Jako csövezés kábelhúzás</t>
      </text>
    </comment>
    <comment authorId="0" ref="B192">
      <text>
        <t xml:space="preserve">======
ID#AAABo-_PuPA
Vlad Ciubuca | VELTOL    (2025-08-07 07:16:05)
Timisoara</t>
      </text>
    </comment>
    <comment authorId="0" ref="C192">
      <text>
        <t xml:space="preserve">======
ID#AAABo-_PuPE
Vlad Ciubuca | VELTOL    (2025-08-07 07:16:10)
Timisoara</t>
      </text>
    </comment>
    <comment authorId="0" ref="D192">
      <text>
        <t xml:space="preserve">======
ID#AAABo-_PuPI
Vlad Ciubuca | VELTOL    (2025-08-07 07:16:16)
Timisoara</t>
      </text>
    </comment>
    <comment authorId="0" ref="B259">
      <text>
        <t xml:space="preserve">======
ID#AAABqeXGsyo
Vlad Ciubuca | VELTOL    (2025-09-02 11:05:25)
Paclisa</t>
      </text>
    </comment>
    <comment authorId="0" ref="C259">
      <text>
        <t xml:space="preserve">======
ID#AAABqeaX6cs
Vlad Ciubuca | VELTOL    (2025-09-02 11:05:55)
Paclisa</t>
      </text>
    </comment>
    <comment authorId="0" ref="AB60">
      <text>
        <t xml:space="preserve">======
ID#AAABihqUvoc
Nagy Pal Ors | VELTOL    (2025-04-28 09:25:48)
Jako csövezés kábelhúzás</t>
      </text>
    </comment>
    <comment authorId="0" ref="B193">
      <text>
        <t xml:space="preserve">======
ID#AAABoxX4P_I
Alpár Papp | VELTOL    (2025-08-04 13:23:15)
Craciun, Sebes</t>
      </text>
    </comment>
    <comment authorId="0" ref="I193">
      <text>
        <t xml:space="preserve">======
ID#AAABpQusubc
Robert Kendi | VELTOL    (2025-08-12 14:02:30)
Interventie Bihor Nagy Laszlo</t>
      </text>
    </comment>
    <comment authorId="0" ref="S193">
      <text>
        <t xml:space="preserve">======
ID#AAABoJa1bxE
Robert Kendi | VELTOL    (2025-09-08 13:20:34)
AXA</t>
      </text>
    </comment>
    <comment authorId="0" ref="T193">
      <text>
        <t xml:space="preserve">======
ID#AAABoJa1bxM
Robert Kendi | VELTOL    (2025-09-08 13:21:11)
AXA 2 + ora</t>
      </text>
    </comment>
    <comment authorId="0" ref="W193">
      <text>
        <t xml:space="preserve">======
ID#AAABqsn9xpE
Robert Kendi | VELTOL    (2025-09-08 12:30:28)
Delegatie SM Stef + interventii</t>
      </text>
    </comment>
    <comment authorId="0" ref="X193">
      <text>
        <t xml:space="preserve">======
ID#AAABqsn9xpM
Robert Kendi | VELTOL    (2025-09-08 12:30:38)
Delegatie SM Stef + interventii</t>
      </text>
    </comment>
    <comment authorId="0" ref="AA193">
      <text>
        <t xml:space="preserve">======
ID#AAABq4APRzc
Robert Kendi | VELTOL    (2025-09-08 12:38:50)
Turia - Endre+Levi</t>
      </text>
    </comment>
    <comment authorId="0" ref="J524">
      <text>
        <t xml:space="preserve">======
ID#AAAB4LColXY
Alpár Papp | VELTOL    (2026-04-09 07:18:03)
GCIT Saftica</t>
      </text>
    </comment>
    <comment authorId="0" ref="AB61">
      <text>
        <t xml:space="preserve">======
ID#AAABihqUvog
Nagy Pal Ors | VELTOL    (2025-04-28 09:25:54)
Jako csövezés kábelhúzás</t>
      </text>
    </comment>
    <comment authorId="0" ref="B194">
      <text>
        <t xml:space="preserve">======
ID#AAABoxX4P_M
Alpár Papp | VELTOL    (2025-08-04 13:23:22)
Craciun, Sebes
------
ID#AAABrPaYnOY
Alpár Papp | VELTOL    (2025-09-17 12:06:04)
Gresit</t>
      </text>
    </comment>
    <comment authorId="0" ref="Q524">
      <text>
        <t xml:space="preserve">======
ID#AAAB3yEOeds
Farczadi Janos | VELTOL    (2026-04-21 07:44:38)
Avicola-Focsani</t>
      </text>
    </comment>
    <comment authorId="0" ref="I194">
      <text>
        <t xml:space="preserve">======
ID#AAABpQusubg
Robert Kendi | VELTOL    (2025-08-12 14:02:34)
Interventie Bihor Nagy Laszlo</t>
      </text>
    </comment>
    <comment authorId="0" ref="S194">
      <text>
        <t xml:space="preserve">======
ID#AAABoJa1bxI
Robert Kendi | VELTOL    (2025-09-08 13:20:40)
AXA</t>
      </text>
    </comment>
    <comment authorId="0" ref="AD524">
      <text>
        <t xml:space="preserve">======
ID#AAAB8DHEp9o
Farczadi Janos | VELTOL    (2026-05-27 04:52:27)
OBLAZA SRL-BARSANA</t>
      </text>
    </comment>
    <comment authorId="0" ref="T194">
      <text>
        <t xml:space="preserve">======
ID#AAABoJa1bxQ
Robert Kendi | VELTOL    (2025-09-08 13:21:19)
AXA 2 + ora</t>
      </text>
    </comment>
    <comment authorId="0" ref="W194">
      <text>
        <t xml:space="preserve">======
ID#AAABqsn9xpI
Robert Kendi | VELTOL    (2025-09-08 12:30:33)
Delegatie SM Stef + interventii</t>
      </text>
    </comment>
    <comment authorId="0" ref="X194">
      <text>
        <t xml:space="preserve">======
ID#AAABqsn9xpQ
Robert Kendi | VELTOL    (2025-09-08 12:30:43)
Delegatie SM Stef + interventii</t>
      </text>
    </comment>
    <comment authorId="0" ref="AA194">
      <text>
        <t xml:space="preserve">======
ID#AAABq4APRzg
Robert Kendi | VELTOL    (2025-09-08 12:38:58)
Turia - Endre+Levi</t>
      </text>
    </comment>
    <comment authorId="0" ref="AE260">
      <text>
        <t xml:space="preserve">======
ID#AAABpNDntNc
Béla Pál Szász | VELTOL    (2025-10-06 06:29:36)
Spital Bistrita</t>
      </text>
    </comment>
    <comment authorId="0" ref="AF260">
      <text>
        <t xml:space="preserve">======
ID#AAABpNDntNg
Béla Pál Szász | VELTOL    (2025-10-06 06:29:46)
Spital Bistrita</t>
      </text>
    </comment>
    <comment authorId="0" ref="B261">
      <text>
        <t xml:space="preserve">======
ID#AAABqeXGsys
Vlad Ciubuca | VELTOL    (2025-09-02 11:05:27)
Paclisa</t>
      </text>
    </comment>
    <comment authorId="0" ref="AG260">
      <text>
        <t xml:space="preserve">======
ID#AAABpNDntNo
Béla Pál Szász | VELTOL    (2025-10-06 06:29:49)
Spital Bistrita</t>
      </text>
    </comment>
    <comment authorId="0" ref="AH260">
      <text>
        <t xml:space="preserve">======
ID#AAABpNDntNs
Béla Pál Szász | VELTOL    (2025-10-06 06:29:53)
Spital Bistrita</t>
      </text>
    </comment>
    <comment authorId="0" ref="C261">
      <text>
        <t xml:space="preserve">======
ID#AAABqeaX6cw
Vlad Ciubuca | VELTOL    (2025-09-02 11:05:58)
Paclisa</t>
      </text>
    </comment>
    <comment authorId="0" ref="B195">
      <text>
        <t xml:space="preserve">======
ID#AAABo-_PuPM
Vlad Ciubuca | VELTOL    (2025-08-07 07:16:34)
Timisoara</t>
      </text>
    </comment>
    <comment authorId="0" ref="C195">
      <text>
        <t xml:space="preserve">======
ID#AAABo-_PuPQ
Vlad Ciubuca | VELTOL    (2025-08-07 07:16:38)
Timisoara</t>
      </text>
    </comment>
    <comment authorId="0" ref="D195">
      <text>
        <t xml:space="preserve">======
ID#AAABo-_PuPU
Vlad Ciubuca | VELTOL    (2025-08-07 07:16:43)
Timisoara</t>
      </text>
    </comment>
    <comment authorId="0" ref="Q525">
      <text>
        <t xml:space="preserve">======
ID#AAAB3yEOedw
Farczadi Janos | VELTOL    (2026-04-21 07:46:08)
Avicola-Focsani</t>
      </text>
    </comment>
    <comment authorId="0" ref="L195">
      <text>
        <t xml:space="preserve">======
ID#AAABpUact9I
Alpár Papp | VELTOL    (2025-08-14 13:54:02)
Hotel Axa Sebes</t>
      </text>
    </comment>
    <comment authorId="0" ref="P195">
      <text>
        <t xml:space="preserve">======
ID#AAABpnLftVw
Alpár Papp | VELTOL    (2025-08-20 07:22:00)
Hotel Axa Sebes</t>
      </text>
    </comment>
    <comment authorId="0" ref="Q195">
      <text>
        <t xml:space="preserve">======
ID#AAABpscWqPQ
Nagy Pal Ors | VELTOL    (2025-08-22 04:15:02)
Orsova</t>
      </text>
    </comment>
    <comment authorId="0" ref="R195">
      <text>
        <t xml:space="preserve">======
ID#AAABpscWqPc
Nagy Pal Ors | VELTOL    (2025-08-22 04:15:26)
Orsova</t>
      </text>
    </comment>
    <comment authorId="0" ref="S195">
      <text>
        <t xml:space="preserve">======
ID#AAABpscWqPo
Nagy Pal Ors | VELTOL    (2025-08-22 04:15:40)
Orsova</t>
      </text>
    </comment>
    <comment authorId="0" ref="W195">
      <text>
        <t xml:space="preserve">======
ID#AAABqIUVgZQ
Nagy Pal Ors | VELTOL    (2025-08-27 08:30:45)
Santier Naval Orsova</t>
      </text>
    </comment>
    <comment authorId="0" ref="J658">
      <text>
        <t xml:space="preserve">======
ID#AAAB_WkqmBE
Alpár Papp | VELTOL    (2026-07-08 06:00:15)
GCIT Saftica</t>
      </text>
    </comment>
    <comment authorId="0" ref="X63">
      <text>
        <t xml:space="preserve">======
ID#AAABiZIj7fI
Vlad Ciubuca | VELTOL    (2025-04-23 05:07:35)
Taran Constantin - Harghita</t>
      </text>
    </comment>
    <comment authorId="0" ref="AE261">
      <text>
        <t xml:space="preserve">======
ID#AAABpNDntNw
Béla Pál Szász | VELTOL    (2025-10-06 06:33:13)
Spital Bistrita</t>
      </text>
    </comment>
    <comment authorId="0" ref="AF261">
      <text>
        <t xml:space="preserve">======
ID#AAABpNDntN0
Béla Pál Szász | VELTOL    (2025-10-06 06:33:25)
Spital Bistrita</t>
      </text>
    </comment>
    <comment authorId="0" ref="B262">
      <text>
        <t xml:space="preserve">======
ID#AAABqeXGsyw
Vlad Ciubuca | VELTOL    (2025-09-02 11:05:31)
Paclisa</t>
      </text>
    </comment>
    <comment authorId="0" ref="C262">
      <text>
        <t xml:space="preserve">======
ID#AAABqeaX6c0
Vlad Ciubuca | VELTOL    (2025-09-02 11:06:01)
Paclisa</t>
      </text>
    </comment>
    <comment authorId="0" ref="B196">
      <text>
        <t xml:space="preserve">======
ID#AAABrPaYnOU
Alpár Papp | VELTOL    (2025-09-17 12:05:45)
Craciun, Sebes</t>
      </text>
    </comment>
    <comment authorId="0" ref="Q526">
      <text>
        <t xml:space="preserve">======
ID#AAAB3yEOed0
Farczadi Janos | VELTOL    (2026-04-21 07:46:36)
Avicola-Focsani</t>
      </text>
    </comment>
    <comment authorId="0" ref="L196">
      <text>
        <t xml:space="preserve">======
ID#AAABpUact9M
Alpár Papp | VELTOL    (2025-08-14 13:54:07)
Hotel Axa Sebes</t>
      </text>
    </comment>
    <comment authorId="0" ref="P196">
      <text>
        <t xml:space="preserve">======
ID#AAABpnLftV0
Alpár Papp | VELTOL    (2025-08-20 07:22:04)
Hotel Axa Sebes</t>
      </text>
    </comment>
    <comment authorId="0" ref="Q196">
      <text>
        <t xml:space="preserve">======
ID#AAABpscWqPU
Nagy Pal Ors | VELTOL    (2025-08-22 04:15:09)
Orsova</t>
      </text>
    </comment>
    <comment authorId="0" ref="R196">
      <text>
        <t xml:space="preserve">======
ID#AAABpscWqPg
Nagy Pal Ors | VELTOL    (2025-08-22 04:15:30)
Orsova</t>
      </text>
    </comment>
    <comment authorId="0" ref="S196">
      <text>
        <t xml:space="preserve">======
ID#AAABpscWqPs
Nagy Pal Ors | VELTOL    (2025-08-22 04:15:46)
Orsova</t>
      </text>
    </comment>
    <comment authorId="0" ref="W196">
      <text>
        <t xml:space="preserve">======
ID#AAABqIUVgZU
Nagy Pal Ors | VELTOL    (2025-08-27 08:30:52)
Santier Naval Orsova</t>
      </text>
    </comment>
    <comment authorId="0" ref="B263">
      <text>
        <t xml:space="preserve">======
ID#AAABqeXGsy0
Vlad Ciubuca | VELTOL    (2025-09-02 11:05:33)
Paclisa</t>
      </text>
    </comment>
    <comment authorId="0" ref="C263">
      <text>
        <t xml:space="preserve">======
ID#AAABqeaX6c4
Vlad Ciubuca | VELTOL    (2025-09-02 11:06:05)
Paclisa</t>
      </text>
    </comment>
    <comment authorId="0" ref="C65">
      <text>
        <t xml:space="preserve">======
ID#AAABhanDA2w
Anonymous    (2025-04-02 10:34:27)
2 sisteme BN - Zgambau</t>
      </text>
    </comment>
    <comment authorId="0" ref="D65">
      <text>
        <t xml:space="preserve">======
ID#AAABefdaznA
Nagy Pál    (2025-04-08 11:36:02)
+1 sistem Morar Daniel</t>
      </text>
    </comment>
    <comment authorId="0" ref="L197">
      <text>
        <t xml:space="preserve">======
ID#AAABpUact9Q
Alpár Papp | VELTOL    (2025-08-14 13:54:10)
Hotel Axa Sebes</t>
      </text>
    </comment>
    <comment authorId="0" ref="I65">
      <text>
        <t xml:space="preserve">======
ID#AAABhrRMngU
Robert Kendi | VELTOL    (2025-04-11 09:16:18)
Nemes Petruta 87 km</t>
      </text>
    </comment>
    <comment authorId="0" ref="K65">
      <text>
        <t xml:space="preserve">======
ID#AAABhndABH4
Béla Pál Szász | VELTOL    (2025-04-09 11:33:39)
Bogomeri - Buza/Cluj</t>
      </text>
    </comment>
    <comment authorId="0" ref="P197">
      <text>
        <t xml:space="preserve">======
ID#AAABpnLg0Os
Alpár Papp | VELTOL    (2025-08-20 07:22:07)
Hotel Axa Sebes</t>
      </text>
    </comment>
    <comment authorId="0" ref="Q197">
      <text>
        <t xml:space="preserve">======
ID#AAABpscWqPY
Nagy Pal Ors | VELTOL    (2025-08-22 04:15:13)
Orsova</t>
      </text>
    </comment>
    <comment authorId="0" ref="R197">
      <text>
        <t xml:space="preserve">======
ID#AAABpscWqPk
Nagy Pal Ors | VELTOL    (2025-08-22 04:15:35)
Orsova</t>
      </text>
    </comment>
    <comment authorId="0" ref="S197">
      <text>
        <t xml:space="preserve">======
ID#AAABpscWqPw
Nagy Pal Ors | VELTOL    (2025-08-22 04:16:16)
Orsova</t>
      </text>
    </comment>
    <comment authorId="0" ref="AD527">
      <text>
        <t xml:space="preserve">======
ID#AAAB5DFZrew
Farczadi Janos | VELTOL    (2026-04-29 05:14:11)
Vili Torja</t>
      </text>
    </comment>
    <comment authorId="0" ref="W197">
      <text>
        <t xml:space="preserve">======
ID#AAABqIjPEBo
Nagy Pal Ors | VELTOL    (2025-08-27 08:30:56)
Santier Naval Orsova</t>
      </text>
    </comment>
    <comment authorId="0" ref="S65">
      <text>
        <t xml:space="preserve">======
ID#AAABiVtSrhw
Béla Pál Szász | VELTOL    (2025-04-22 09:00:43)
Sfetcu Ioana - Limba, jud. Alba</t>
      </text>
    </comment>
    <comment authorId="0" ref="AE263">
      <text>
        <t xml:space="preserve">======
ID#AAABpNDntN8
Béla Pál Szász | VELTOL    (2025-10-06 06:36:11)
Spital Bistrita</t>
      </text>
    </comment>
    <comment authorId="0" ref="AF263">
      <text>
        <t xml:space="preserve">======
ID#AAABpNDntOE
Béla Pál Szász | VELTOL    (2025-10-06 06:36:24)
Spital Bistrita</t>
      </text>
    </comment>
    <comment authorId="0" ref="Z65">
      <text>
        <t xml:space="preserve">======
ID#AAABihqUvos
Nagy Pal Ors | VELTOL    (2025-04-28 09:31:54)
Orosz Ibolya - Turia</t>
      </text>
    </comment>
    <comment authorId="0" ref="AG263">
      <text>
        <t xml:space="preserve">======
ID#AAABpNDntOA
Béla Pál Szász | VELTOL    (2025-10-06 06:36:18)
Spital Bistrita</t>
      </text>
    </comment>
    <comment authorId="0" ref="K528">
      <text>
        <t xml:space="preserve">======
ID#AAAB4LColXg
Alpár Papp | VELTOL    (2026-04-09 07:18:36)
GCIT Saftica</t>
      </text>
    </comment>
    <comment authorId="0" ref="AH263">
      <text>
        <t xml:space="preserve">======
ID#AAABpNDntN4
Béla Pál Szász | VELTOL    (2025-10-06 06:36:05)
Spital Bistrita</t>
      </text>
    </comment>
    <comment authorId="0" ref="C198">
      <text>
        <t xml:space="preserve">======
ID#AAABp1_Qv20
Béla Pál Szász | VELTOL    (2025-08-13 12:12:10)
Munteanu, BV</t>
      </text>
    </comment>
    <comment authorId="0" ref="E198">
      <text>
        <t xml:space="preserve">======
ID#AAABmBtVtr8
Vlad Ciubuca | VELTOL    (2025-08-12 06:40:26)
Mardare Ciprian - Sibiu</t>
      </text>
    </comment>
    <comment authorId="0" ref="I198">
      <text>
        <t xml:space="preserve">======
ID#AAABpQusubk
Robert Kendi | VELTOL    (2025-08-12 14:03:30)
Ani Ioan Emanuel CJ - Gherla</t>
      </text>
    </comment>
    <comment authorId="0" ref="J198">
      <text>
        <t xml:space="preserve">======
ID#AAABpUSBk8Y
Béla Pál Szász | VELTOL    (2025-08-14 10:36:40)
Munteanu, BV</t>
      </text>
    </comment>
    <comment authorId="0" ref="K198">
      <text>
        <t xml:space="preserve">======
ID#AAABp1_Qv3g
Alpár Papp | VELTOL    (2025-08-13 12:52:18)
Fustos Alexandru, Bistrita</t>
      </text>
    </comment>
    <comment authorId="0" ref="M198">
      <text>
        <t xml:space="preserve">======
ID#AAABpZzSusc
Robert Kendi | VELTOL    (2025-08-18 06:30:17)
Moise Adrian MS</t>
      </text>
    </comment>
    <comment authorId="0" ref="I66">
      <text>
        <t xml:space="preserve">======
ID#AAABhrRMngY
Robert Kendi | VELTOL    (2025-04-11 09:16:26)
Nemes Petruta 87 km</t>
      </text>
    </comment>
    <comment authorId="0" ref="K66">
      <text>
        <t xml:space="preserve">======
ID#AAABhndABH8
Béla Pál Szász | VELTOL    (2025-04-09 11:33:45)
Bogomeri - Buza/Cluj</t>
      </text>
    </comment>
    <comment authorId="0" ref="P198">
      <text>
        <t xml:space="preserve">======
ID#AAABpcsx-LY
Béla Pál Szász | VELTOL    (2025-08-20 07:55:45)
Balint Tiberiu, Huedin, CJ</t>
      </text>
    </comment>
    <comment authorId="0" ref="S198">
      <text>
        <t xml:space="preserve">======
ID#AAABsaPpZFs
Robert Kendi | VELTOL    (2025-10-13 08:19:29)
Borcsa CV</t>
      </text>
    </comment>
    <comment authorId="0" ref="W198">
      <text>
        <t xml:space="preserve">======
ID#AAABpz__700
Béla Pál Szász | VELTOL    (2025-08-26 07:53:37)
Parohia Feldioara - CJ</t>
      </text>
    </comment>
    <comment authorId="0" ref="S66">
      <text>
        <t xml:space="preserve">======
ID#AAABiVtSrh0
Béla Pál Szász | VELTOL    (2025-04-22 09:00:49)
Sfetcu Ioana - Limba, jud. Alba</t>
      </text>
    </comment>
    <comment authorId="0" ref="D397">
      <text>
        <t xml:space="preserve">======
ID#AAABynZKJEM
Alpár Papp | VELTOL    (2026-01-15 12:50:32)
GCIT Saftica
------
ID#AAABvh5h0Fw
Anonymous    (2026-02-25 11:02:58)
Sárkény nevére vana delegáció</t>
      </text>
    </comment>
    <comment authorId="0" ref="K595">
      <text>
        <t xml:space="preserve">======
ID#AAAB6lBGk9g
Nagy Pal Ors | VELTOL    (2026-05-18 06:54:28)
Fundata</t>
      </text>
    </comment>
    <comment authorId="0" ref="Z66">
      <text>
        <t xml:space="preserve">======
ID#AAABihqUvow
Nagy Pal Ors | VELTOL    (2025-04-28 09:32:00)
Orosz Ibolya - Turia</t>
      </text>
    </comment>
    <comment authorId="0" ref="D265">
      <text>
        <t xml:space="preserve">======
ID#AAABqg5UWDE
Bela Pal Szasz    (2025-09-03 04:31:57)
Baba Viorel, Gherla/CJ</t>
      </text>
    </comment>
    <comment authorId="0" ref="E265">
      <text>
        <t xml:space="preserve">======
ID#AAABqnOgk7U
Bela Pal Szasz    (2025-09-05 04:43:22)
Parohia Reformata Buza, CJ</t>
      </text>
    </comment>
    <comment authorId="0" ref="C199">
      <text>
        <t xml:space="preserve">======
ID#AAABp1_Qv24
Béla Pál Szász | VELTOL    (2025-08-13 12:12:19)
Munteanu, BV</t>
      </text>
    </comment>
    <comment authorId="0" ref="E199">
      <text>
        <t xml:space="preserve">======
ID#AAABmBtVtsA
Vlad Ciubuca | VELTOL    (2025-08-12 06:40:29)
Mardare Ciprian - Sibiu</t>
      </text>
    </comment>
  </commentList>
  <extLst>
    <ext uri="GoogleSheetsCustomDataVersion2">
      <go:sheetsCustomData xmlns:go="http://customooxmlschemas.google.com/" r:id="rId1" roundtripDataSignature="AMtx7mhlFoLfYc8gKxPFby//uj3qtoP8L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======
ID#AAABqsn9xpA
Alpár Papp | VELTOL    (2025-09-08 12:28:17)
Racord Nemes Sandor, M. Niraj</t>
      </text>
    </comment>
    <comment authorId="0" ref="H34">
      <text>
        <t xml:space="preserve">======
ID#AAABoYNS5Ko
Alpár Papp | VELTOL    (2025-07-28 09:13:34)
Babos Csongor, 14 panouri</t>
      </text>
    </comment>
    <comment authorId="0" ref="J34">
      <text>
        <t xml:space="preserve">======
ID#AAABoYNZ_Bk
Nagy Pal Ors | VELTOL    (2025-07-28 13:10:00)
Szalai Dénes</t>
      </text>
    </comment>
    <comment authorId="0" ref="E28">
      <text>
        <t xml:space="preserve">======
ID#AAABnJX0vw4
Nagy Pal Ors | VELTOL    (2025-07-07 16:24:14)
Jako +utca 3 tulora</t>
      </text>
    </comment>
    <comment authorId="0" ref="G28">
      <text>
        <t xml:space="preserve">======
ID#AAABnJX0vww
Nagy Pal Ors | VELTOL    (2025-07-07 16:14:09)
Jako utcat befejeztek</t>
      </text>
    </comment>
    <comment authorId="0" ref="G27">
      <text>
        <t xml:space="preserve">======
ID#AAABnJX0vw0
Nagy Pal Ors | VELTOL    (2025-07-07 16:16:17)
Jako utcat befejeztek</t>
      </text>
    </comment>
    <comment authorId="0" ref="G26">
      <text>
        <t xml:space="preserve">======
ID#AAABnJX0vws
Nagy Pal Ors | VELTOL    (2025-07-07 16:13:57)
Jako utcat befejeztek</t>
      </text>
    </comment>
    <comment authorId="0" ref="B14">
      <text>
        <t xml:space="preserve">======
ID#AAABmtnTfFQ
Nagy Pal Ors | VELTOL    (2025-06-27 07:30:55)
Levente Peter Antal - 19 Panouri (Soma, Zoli, Csabi)</t>
      </text>
    </comment>
    <comment authorId="0" ref="AI15">
      <text>
        <t xml:space="preserve">======
ID#AAABlEYgKsw
Alpár Papp | VELTOL    (2025-06-02 06:34:24)
David Alpar 20 panouri</t>
      </text>
    </comment>
    <comment authorId="0" ref="AI14">
      <text>
        <t xml:space="preserve">======
ID#AAABlEYgKss
Alpár Papp | VELTOL    (2025-06-02 06:34:18)
David Alpar 20 panouri</t>
      </text>
    </comment>
    <comment authorId="0" ref="C13">
      <text>
        <t xml:space="preserve">======
ID#AAABmtnTfFM
Alpár Papp | VELTOL    (2025-06-27 07:27:52)
Racord Selcudean Sancrai</t>
      </text>
    </comment>
    <comment authorId="0" ref="C12">
      <text>
        <t xml:space="preserve">======
ID#AAABmtnTfFI
Alpár Papp | VELTOL    (2025-06-27 07:27:47)
Racord Selcudean Sancrai</t>
      </text>
    </comment>
    <comment authorId="0" ref="Y34">
      <text>
        <t xml:space="preserve">======
ID#AAABjaqIScc
Alpár Papp | VELTOL    (2025-05-19 11:47:06)
Purcaru 8 panouri (Kriszti, Anti Huni)</t>
      </text>
    </comment>
    <comment authorId="0" ref="AB34">
      <text>
        <t xml:space="preserve">======
ID#AAABlt8KdM0
Nagy Pal Ors | VELTOL    (2025-06-16 10:54:35)
Raduly Andras, 16 pano</t>
      </text>
    </comment>
    <comment authorId="0" ref="F8">
      <text>
        <t xml:space="preserve">======
ID#AAABm8v_EyU
Alpár Papp | VELTOL    (2025-07-04 12:06:28)
Racord David Alpar M. Niraj</t>
      </text>
    </comment>
  </commentList>
  <extLst>
    <ext uri="GoogleSheetsCustomDataVersion2">
      <go:sheetsCustomData xmlns:go="http://customooxmlschemas.google.com/" r:id="rId1" roundtripDataSignature="AMtx7mhwAzK7PprSCsykdi7KwdcB4rPw9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67">
      <text>
        <t xml:space="preserve">======
ID#AAABpscWqQs
Andrei Kacso | VELTOL    (2025-08-22 08:06:28)
o sa fiu in CO, dar o sa ma ocup eu</t>
      </text>
    </comment>
    <comment authorId="0" ref="E253">
      <text>
        <t xml:space="preserve">======
ID#AAABjQZj8Rg
Vlad Ciubuca | VELTOL    (2025-05-13 11:46:08)
Samu la Sztoyka / Oli tablouri SEIV</t>
      </text>
    </comment>
    <comment authorId="0" ref="F253">
      <text>
        <t xml:space="preserve">======
ID#AAABjnPT2Ug
Vlad Ciubuca | VELTOL    (2025-05-14 11:02:57)
Tablouri seiv / service Cipau</t>
      </text>
    </comment>
    <comment authorId="0" ref="D473">
      <text>
        <t xml:space="preserve">======
ID#AAABpscWqQ0
Andrei Kacso | VELTOL    (2025-08-22 09:21:56)
Pus Task CRM Depo pt Panouri, in rest finalizat structura</t>
      </text>
    </comment>
    <comment authorId="0" ref="D471">
      <text>
        <t xml:space="preserve">======
ID#AAABpscWqQ4
Andrei Kacso | VELTOL    (2025-08-22 09:22:05)
pregatit in depo, transmit eu la Magor</t>
      </text>
    </comment>
  </commentList>
  <extLst>
    <ext uri="GoogleSheetsCustomDataVersion2">
      <go:sheetsCustomData xmlns:go="http://customooxmlschemas.google.com/" r:id="rId1" roundtripDataSignature="AMtx7mhQvHFVgwgKzFtMrMOk+xOezzDH8g=="/>
    </ext>
  </extLst>
</comments>
</file>

<file path=xl/sharedStrings.xml><?xml version="1.0" encoding="utf-8"?>
<sst xmlns="http://schemas.openxmlformats.org/spreadsheetml/2006/main" count="10102" uniqueCount="3575">
  <si>
    <t xml:space="preserve"> </t>
  </si>
  <si>
    <t>TEAM</t>
  </si>
  <si>
    <t>Joi</t>
  </si>
  <si>
    <t>Vineri</t>
  </si>
  <si>
    <t>08.Ian.2026</t>
  </si>
  <si>
    <t>09.Ian.2026</t>
  </si>
  <si>
    <t>Edy, Siko</t>
  </si>
  <si>
    <t>Nu se lucreaza din cauza condițiilor meteo</t>
  </si>
  <si>
    <t>Mircea, V. Tamas</t>
  </si>
  <si>
    <t xml:space="preserve">A luat din zile libere </t>
  </si>
  <si>
    <t>Loránd Henter</t>
  </si>
  <si>
    <t>SEIV Spital</t>
  </si>
  <si>
    <t>Olivér</t>
  </si>
  <si>
    <t>Depo program</t>
  </si>
  <si>
    <t>Magor, Daroczi</t>
  </si>
  <si>
    <t>Barnika, N. Tamas</t>
  </si>
  <si>
    <t>H. Levi, Barni, Z. Robi - 1 nap, dolgoztak Eszkavátoron</t>
  </si>
  <si>
    <t>Bako Attila, Adorjani</t>
  </si>
  <si>
    <t>Soma, Zoli, Csabi, Gamci, K. Zsolt</t>
  </si>
  <si>
    <t xml:space="preserve">Soma, Varga Zoli A luat din zile libere </t>
  </si>
  <si>
    <t>Kriszti, Anti,  Kis Lorand</t>
  </si>
  <si>
    <t>Janos, Z. Barni, Robi, Csongi, Hajdu Levi, B. Krisztian, Berci</t>
  </si>
  <si>
    <t>H. Szabi, K. Roli, H. Attila, L.Szabi, M. Roli, K. Szabi</t>
  </si>
  <si>
    <t>Illes</t>
  </si>
  <si>
    <t>Serviceuri</t>
  </si>
  <si>
    <t>Luni</t>
  </si>
  <si>
    <t>Marti</t>
  </si>
  <si>
    <t>Miercuri</t>
  </si>
  <si>
    <t>12.Ian.2026</t>
  </si>
  <si>
    <t>13.Ian.2026</t>
  </si>
  <si>
    <t>14.Ian.2026</t>
  </si>
  <si>
    <t>15.Ian.2026</t>
  </si>
  <si>
    <t>16.Ian.2026</t>
  </si>
  <si>
    <t>OUT</t>
  </si>
  <si>
    <t>GCIT Saftica</t>
  </si>
  <si>
    <t>Gherla Renoane firmware</t>
  </si>
  <si>
    <t>Victor Urzica - de terminat</t>
  </si>
  <si>
    <t>Magazin chinezesc + Penny Evora</t>
  </si>
  <si>
    <t>Service</t>
  </si>
  <si>
    <t>VTU Leordeni</t>
  </si>
  <si>
    <t>Soma, Zoli, Z. Sandor, Bercike</t>
  </si>
  <si>
    <t>Consus Electric Livezeni</t>
  </si>
  <si>
    <t>Kriszti, Anti</t>
  </si>
  <si>
    <t>Janos, Z. Barni, Robi, Csongi, Hajdu Levi, B. Krisztian</t>
  </si>
  <si>
    <t>Kis Lorand</t>
  </si>
  <si>
    <t>Tablou DC 100kW</t>
  </si>
  <si>
    <t>Tablouri supraveghere Bellamy</t>
  </si>
  <si>
    <t>Tablou AC 100kW</t>
  </si>
  <si>
    <t>SEIV CTA6000</t>
  </si>
  <si>
    <t>19.Ian.2026</t>
  </si>
  <si>
    <t>20.Ian.2026</t>
  </si>
  <si>
    <t>21.Ian.2026</t>
  </si>
  <si>
    <t>22.Ian.2026</t>
  </si>
  <si>
    <t>23.Ian.2026</t>
  </si>
  <si>
    <t>Székelyudvarhely Renon</t>
  </si>
  <si>
    <t>TRANS VOL BONA (Viorel Farcas) o baterie</t>
  </si>
  <si>
    <t>Renoane Service</t>
  </si>
  <si>
    <t>Mircea volt, Tamás nem</t>
  </si>
  <si>
    <t>Mirdatod Ibanesti verificari</t>
  </si>
  <si>
    <t>SDAI LYRA + Service-uri</t>
  </si>
  <si>
    <t>Mag. Chinezesc Reghin</t>
  </si>
  <si>
    <t>Hojda Ileana (relocare baterie)</t>
  </si>
  <si>
    <t>Nagy László (Z)</t>
  </si>
  <si>
    <t>OUT - K.Roli + Mathe Roli gép Tordáról + topo</t>
  </si>
  <si>
    <t>Depo</t>
  </si>
  <si>
    <t>Service + SEIV</t>
  </si>
  <si>
    <t>26.Ian.2026</t>
  </si>
  <si>
    <t>27.Ian.2026</t>
  </si>
  <si>
    <t>28.Ian.2026</t>
  </si>
  <si>
    <t>29.Ian.2026</t>
  </si>
  <si>
    <t>30.Ian.2026</t>
  </si>
  <si>
    <t>Koronka Velionic + Renonok</t>
  </si>
  <si>
    <t>Dej + Gherla Renon</t>
  </si>
  <si>
    <t>Balauseri</t>
  </si>
  <si>
    <t>Brasov</t>
  </si>
  <si>
    <t>Renon Varsag - service</t>
  </si>
  <si>
    <t>La sediu</t>
  </si>
  <si>
    <t>Katona Zsolt (Z)</t>
  </si>
  <si>
    <t>Henter L, Sita, Zsombi</t>
  </si>
  <si>
    <t>Renonok + Interventii daca e cazul</t>
  </si>
  <si>
    <t>Oblaza</t>
  </si>
  <si>
    <t>Evora/ Torda</t>
  </si>
  <si>
    <t xml:space="preserve">Torda </t>
  </si>
  <si>
    <t>Antal Karoly - generator (Z) - 1 pers</t>
  </si>
  <si>
    <t>Satu Mare Renon + 15 min Deye mono</t>
  </si>
  <si>
    <t>Barnika, Bercike</t>
  </si>
  <si>
    <t>Fekete Arpad service</t>
  </si>
  <si>
    <t>Daniel Breaza</t>
  </si>
  <si>
    <t>Bako Attila, Adorjani,</t>
  </si>
  <si>
    <t>Soma, Zoli,  Anti, B. Krisztian</t>
  </si>
  <si>
    <t>Janos, Z. Barni, Robi, Csongi, Hajdu Levi, Z. Sanyi</t>
  </si>
  <si>
    <t>Bellamy Energ</t>
  </si>
  <si>
    <t>Tablouri DC Bellamy</t>
  </si>
  <si>
    <t>Evora Ierbus</t>
  </si>
  <si>
    <t>02.feb.2026.</t>
  </si>
  <si>
    <t>03.feb.2026.</t>
  </si>
  <si>
    <t>04.feb.2026.</t>
  </si>
  <si>
    <t>05.feb.2026.</t>
  </si>
  <si>
    <t>06.feb.2026.</t>
  </si>
  <si>
    <t>Nagy Eva Henrietta MS (KR)</t>
  </si>
  <si>
    <t>Siko Out</t>
  </si>
  <si>
    <t>Edi + Siko Out</t>
  </si>
  <si>
    <t>Katona + Tablouri DC Bellamy</t>
  </si>
  <si>
    <t>Mirdatod Ibanesti</t>
  </si>
  <si>
    <t>Oszkar akku (Z)</t>
  </si>
  <si>
    <t>Laszlo Jozsef / Zsombi out</t>
  </si>
  <si>
    <t>Barnika, Kriszti, Bercike</t>
  </si>
  <si>
    <t>Katona Stringuri</t>
  </si>
  <si>
    <t>Katona lemez</t>
  </si>
  <si>
    <t>Bako Attila, Adorjani, Anti, H. Levi</t>
  </si>
  <si>
    <t>Lykoss Bucuresti</t>
  </si>
  <si>
    <t>Soma, Zoli, Magor, Daroczi</t>
  </si>
  <si>
    <t>Consus Electric Livezeni / Zoli out</t>
  </si>
  <si>
    <t>Janos, Z. Barni, Robi, Csongi, B. Kriszitan, Z. Sanyi</t>
  </si>
  <si>
    <t>Spital SEIV</t>
  </si>
  <si>
    <t>Bulinfort</t>
  </si>
  <si>
    <t>HORA - Reghin</t>
  </si>
  <si>
    <t>Oblaza - Maramures</t>
  </si>
  <si>
    <t>Cluj Dezintegrare</t>
  </si>
  <si>
    <t>09.feb.2026.</t>
  </si>
  <si>
    <t>10.feb.2026.</t>
  </si>
  <si>
    <t>11.feb.2026.</t>
  </si>
  <si>
    <t>12.feb.2026.</t>
  </si>
  <si>
    <t>13.feb.2026.</t>
  </si>
  <si>
    <t>Szasz Ildiko (Z)</t>
  </si>
  <si>
    <t xml:space="preserve">Feher Margit </t>
  </si>
  <si>
    <t>Costin Alexandru (Z)</t>
  </si>
  <si>
    <t>Bodoni Attila (Z)</t>
  </si>
  <si>
    <t xml:space="preserve">Paclisa Solar Grid </t>
  </si>
  <si>
    <t>Racz (Z)</t>
  </si>
  <si>
    <t>Laszlo Jozsef - genratoros menet Gerébbel</t>
  </si>
  <si>
    <t>Hotel Axa Avram</t>
  </si>
  <si>
    <t>Bulinfront Gheorgheni</t>
  </si>
  <si>
    <t>Racz</t>
  </si>
  <si>
    <t>Tablouri Lykos</t>
  </si>
  <si>
    <t>16.feb.2026.</t>
  </si>
  <si>
    <t>17.feb.2026.</t>
  </si>
  <si>
    <t>18.feb.2026.</t>
  </si>
  <si>
    <t>19.feb.2026.</t>
  </si>
  <si>
    <t>20.feb.2026.</t>
  </si>
  <si>
    <t>Deseuri Cluj cablat</t>
  </si>
  <si>
    <t>Zi libera</t>
  </si>
  <si>
    <t>Racz (Z) stocare</t>
  </si>
  <si>
    <t>Marius Moga</t>
  </si>
  <si>
    <t>Brico Holz</t>
  </si>
  <si>
    <t>Alex</t>
  </si>
  <si>
    <t>Henkel Bucuresti</t>
  </si>
  <si>
    <t>Bucuresti Lykos</t>
  </si>
  <si>
    <t>MV SUD</t>
  </si>
  <si>
    <t>Béla</t>
  </si>
  <si>
    <t>Bandi Jozsef (KR) - 2 ore + Racz</t>
  </si>
  <si>
    <t>Pensiunea Koronka</t>
  </si>
  <si>
    <t>Katona</t>
  </si>
  <si>
    <t xml:space="preserve">Örs </t>
  </si>
  <si>
    <t>KR</t>
  </si>
  <si>
    <t>Alpar</t>
  </si>
  <si>
    <t>Andrei</t>
  </si>
  <si>
    <t>23.feb.2026.</t>
  </si>
  <si>
    <t>24.feb.2026.</t>
  </si>
  <si>
    <t>25.feb.2026.</t>
  </si>
  <si>
    <t>26.feb.2026.</t>
  </si>
  <si>
    <t>27.feb.2026.</t>
  </si>
  <si>
    <t>Verificare Cipău</t>
  </si>
  <si>
    <t>Katona Zsolt</t>
  </si>
  <si>
    <t>Verificare Ierbus + camera Iernuteni+Katona Zsolt</t>
  </si>
  <si>
    <t>Silviu Trișcă</t>
  </si>
  <si>
    <t>Dan Varga - Incarcator EV - 
De schimbat baterie Uhome la Boloni Csaba</t>
  </si>
  <si>
    <t>Pitiș - BV</t>
  </si>
  <si>
    <t>V. Tamas s-a cerut de la ora 14</t>
  </si>
  <si>
    <t>Stație dezintegrare</t>
  </si>
  <si>
    <t>AXA</t>
  </si>
  <si>
    <t>Koronka Panzió</t>
  </si>
  <si>
    <t>Fehervari Tamas</t>
  </si>
  <si>
    <t>Bako Attila, Adorjani Alpár</t>
  </si>
  <si>
    <t>Kosa Lajos (KR)</t>
  </si>
  <si>
    <t>Anti, H. Levi</t>
  </si>
  <si>
    <t>Márkodi Attila</t>
  </si>
  <si>
    <t>SEIV</t>
  </si>
  <si>
    <t>02.mar.2026.</t>
  </si>
  <si>
    <t>03.mar.2026.</t>
  </si>
  <si>
    <t>04.mar.2026.</t>
  </si>
  <si>
    <t>05.mar.2026.</t>
  </si>
  <si>
    <t>06.mar.2026.</t>
  </si>
  <si>
    <t>Verficare Ierbus+Katona Zsolt</t>
  </si>
  <si>
    <t>Kosa Lajos</t>
  </si>
  <si>
    <t>Varodi Vasile (VL)</t>
  </si>
  <si>
    <t>Almonda + Corunca 2 baterii</t>
  </si>
  <si>
    <t>Pensiunea Koronka + Ahlener</t>
  </si>
  <si>
    <t>Felicity Medias (Z)</t>
  </si>
  <si>
    <t>Fehervari Tamas acumulator</t>
  </si>
  <si>
    <t>Fehervari Tamas finalizare</t>
  </si>
  <si>
    <t>Bandi Jozsef (KR) - 2 ore + Fehervari Tamas</t>
  </si>
  <si>
    <t>Pitis Dionisie BV</t>
  </si>
  <si>
    <t>Verificare Stringuri GENEX</t>
  </si>
  <si>
    <t>Consus Electric Livezeni fara Magor</t>
  </si>
  <si>
    <t>Janos, Z. Barni, Robi, Z. Sanyi</t>
  </si>
  <si>
    <t>GCIT Saftica upgrade fotovoltaic</t>
  </si>
  <si>
    <t>Csongi, B. Kriszitan</t>
  </si>
  <si>
    <t>CGC Agria</t>
  </si>
  <si>
    <t>H. Szabi zi de lucru</t>
  </si>
  <si>
    <t>Tablouri DC Nero SB</t>
  </si>
  <si>
    <t>Service cu Illes</t>
  </si>
  <si>
    <t>Parc Cipau efractie</t>
  </si>
  <si>
    <t>09.mar.2026.</t>
  </si>
  <si>
    <t>10.mar.2026.</t>
  </si>
  <si>
    <t>11.mar.2026.</t>
  </si>
  <si>
    <t>12.mar.2026.</t>
  </si>
  <si>
    <t>13.mar.2026.</t>
  </si>
  <si>
    <t>Ahlener Panit</t>
  </si>
  <si>
    <t>5 panouri Evora montaj</t>
  </si>
  <si>
    <t>Nistor Ovidiu</t>
  </si>
  <si>
    <t>Balizs Elek Szabolcs</t>
  </si>
  <si>
    <t>Keresztes Sandor Radnot</t>
  </si>
  <si>
    <t>CEF Panet</t>
  </si>
  <si>
    <t>Satu Mare Stef Tamas rezolvare (impamantare, releu, grid phase wrong) + Szilard releu, Grid phase wrong</t>
  </si>
  <si>
    <t>Micea Saftica / V.Tamas &amp; Zsombi disponibil</t>
  </si>
  <si>
    <t>Mirdatod Reghin/Mirdatod Ibanesti</t>
  </si>
  <si>
    <t>GCIT Saftica, fara Zsombi</t>
  </si>
  <si>
    <t>POMADENT relocare</t>
  </si>
  <si>
    <t>Paizs Tibor 6 panouri + Ahlener</t>
  </si>
  <si>
    <t>Liber</t>
  </si>
  <si>
    <t>Keresztes SAndor Radnot</t>
  </si>
  <si>
    <t xml:space="preserve">Consus Electric Livezeni </t>
  </si>
  <si>
    <t xml:space="preserve">Sg de Mures - sánc </t>
  </si>
  <si>
    <t>Bellamy Petelea</t>
  </si>
  <si>
    <t>Mentenanta BRICO HOLZ</t>
  </si>
  <si>
    <t>H. Szabi, H. Attila, K. Szabi</t>
  </si>
  <si>
    <t>L. Szabi, M. Roli, K. Roli</t>
  </si>
  <si>
    <t>Cablaj AXA</t>
  </si>
  <si>
    <t>Waste Powertech Mures</t>
  </si>
  <si>
    <t>Cipau</t>
  </si>
  <si>
    <t>HNG Solar</t>
  </si>
  <si>
    <t>Sambata</t>
  </si>
  <si>
    <t>16.mar.2026</t>
  </si>
  <si>
    <t>17.mar.2026</t>
  </si>
  <si>
    <t>18.mar.2026</t>
  </si>
  <si>
    <t>19.mar.2026</t>
  </si>
  <si>
    <t>20.mar.2026</t>
  </si>
  <si>
    <t>21.mar.2026</t>
  </si>
  <si>
    <t>Nistor Ovidiu Racord</t>
  </si>
  <si>
    <t>Petru Gheorghe  (Z)</t>
  </si>
  <si>
    <t>Gheorghe Badescu Pucioasa</t>
  </si>
  <si>
    <t>Edy Out, Siko Dezintegrare Cluj</t>
  </si>
  <si>
    <t>Tommydent + Gereb</t>
  </si>
  <si>
    <t>Marius Patea (VL)</t>
  </si>
  <si>
    <t>Liber discutat / Zsombi lucreaza</t>
  </si>
  <si>
    <t>Liber discutat</t>
  </si>
  <si>
    <t>Lykos</t>
  </si>
  <si>
    <t>Barnika, Kriszti</t>
  </si>
  <si>
    <t xml:space="preserve"> Coman Ioan extindere panouri (VL)</t>
  </si>
  <si>
    <t>Ovidiu Popoviciu (VL)</t>
  </si>
  <si>
    <t>TommyDent + Rotar Vasile service</t>
  </si>
  <si>
    <t>SC PERFORMDOOR S.R.L. (VL)</t>
  </si>
  <si>
    <t>Nistor Ovidiu Carport  - Sapat + betonat</t>
  </si>
  <si>
    <t>Nistor Ovidiu Carport</t>
  </si>
  <si>
    <t>Soma, Zoli</t>
  </si>
  <si>
    <t>Breaza Daniel</t>
  </si>
  <si>
    <t>Dezintegrare Cluj</t>
  </si>
  <si>
    <t>Seiv + Intercoop spalat panouri</t>
  </si>
  <si>
    <t>Paclisa BESS 2</t>
  </si>
  <si>
    <t>H. Szabi, H. Attila</t>
  </si>
  <si>
    <t>CGC Agria + Zsombi</t>
  </si>
  <si>
    <t>L. Szabi, M. Roli, K. Roli, K. Szabi</t>
  </si>
  <si>
    <t>Bercike</t>
  </si>
  <si>
    <t>Out</t>
  </si>
  <si>
    <t>Tablou ars Cipau 1</t>
  </si>
  <si>
    <t>Tablou ars Cipau 2</t>
  </si>
  <si>
    <t xml:space="preserve">Service </t>
  </si>
  <si>
    <t>Sarcadi Szilard Service</t>
  </si>
  <si>
    <t>Seiv</t>
  </si>
  <si>
    <t>23.mar.2026</t>
  </si>
  <si>
    <t>24.mar.2026</t>
  </si>
  <si>
    <t>25.mar.2026</t>
  </si>
  <si>
    <t>26.mar.2026</t>
  </si>
  <si>
    <t>27.mar.2026</t>
  </si>
  <si>
    <t>28.mar.2026</t>
  </si>
  <si>
    <t>Sericce</t>
  </si>
  <si>
    <t>Tampanariu (Z)</t>
  </si>
  <si>
    <t>Liviu Beresescu (VL)</t>
  </si>
  <si>
    <t>Marcel Cofariu (VL)</t>
  </si>
  <si>
    <t>V.Tamas cere liber pt orele suplimentare de sapt asta</t>
  </si>
  <si>
    <t>Evora Cipau tablou</t>
  </si>
  <si>
    <t>Jako/</t>
  </si>
  <si>
    <t>Szabo Andras</t>
  </si>
  <si>
    <t>CEF Panet pornire</t>
  </si>
  <si>
    <t>Spital Bistrita stringuri</t>
  </si>
  <si>
    <t>Breaza Casa Panorama corectii</t>
  </si>
  <si>
    <t>Fast Food Magherani</t>
  </si>
  <si>
    <t>POSADA POP</t>
  </si>
  <si>
    <t>Liberi / CO</t>
  </si>
  <si>
    <t>Fazakas Judit (Attila) VL</t>
  </si>
  <si>
    <t xml:space="preserve">Otvos </t>
  </si>
  <si>
    <t>Soma, Zoli, Csongi, B. Kriszitan</t>
  </si>
  <si>
    <t>Janos, Z. Barni, Robi, Z. Sanyi, Bercike</t>
  </si>
  <si>
    <t>Kiss Barna Spalare</t>
  </si>
  <si>
    <t>Levi - SG de Mures-Valentin</t>
  </si>
  <si>
    <t>L. Szabi, M. Roli, K. Roli, K. Szabi, H Attila, H. Szabi</t>
  </si>
  <si>
    <t>Service + Kiss Barna verificare</t>
  </si>
  <si>
    <t>Spital Bistrita Growatt</t>
  </si>
  <si>
    <t>30.mar.2026</t>
  </si>
  <si>
    <t>31.mar.2026</t>
  </si>
  <si>
    <t>01.april.2026</t>
  </si>
  <si>
    <t>02.april.2026</t>
  </si>
  <si>
    <t>03.april.2026</t>
  </si>
  <si>
    <t>04.april.2026</t>
  </si>
  <si>
    <t xml:space="preserve">Edy , Siko </t>
  </si>
  <si>
    <t>Asociatia Parangului (Z) + Dénes Marton PRAM</t>
  </si>
  <si>
    <t>Andras Szabo PRAM + Fazakas Ferencz (Z)</t>
  </si>
  <si>
    <t>Siko waste Cluj / Edy service</t>
  </si>
  <si>
    <t>LIBER Oficial Vinerea Mare Catolici</t>
  </si>
  <si>
    <t>Mircea</t>
  </si>
  <si>
    <t>Fazakas Ferencz (Z)</t>
  </si>
  <si>
    <t>Mircea: ora 8:30 Medicina muncii, Claudia Stroia (VL)</t>
  </si>
  <si>
    <t>Almonda - Livezeni</t>
  </si>
  <si>
    <t>Toth Marton (Z)</t>
  </si>
  <si>
    <t xml:space="preserve"> V. Tamas</t>
  </si>
  <si>
    <t>Sandor Patka</t>
  </si>
  <si>
    <t>Verificari Versuni</t>
  </si>
  <si>
    <t>Claudia Stroia</t>
  </si>
  <si>
    <t>Kriszti, Anti - OUT 3 sapt, Z.Sanyi</t>
  </si>
  <si>
    <t>Leszai Lehel (VL)</t>
  </si>
  <si>
    <t>Iuhos Peter (VL)</t>
  </si>
  <si>
    <t>Mandoki Istvan (VL)</t>
  </si>
  <si>
    <t>Iuhos Peter (VL) + Ciprian Banciu (VL)</t>
  </si>
  <si>
    <t>Paskuj Mihaly - Liliacului 31</t>
  </si>
  <si>
    <t>Janos, Z. Barni, Robi, Bercike, H. Levi</t>
  </si>
  <si>
    <t xml:space="preserve"> Janos ora 8:30 Medicina muncii- Bellamy Petelea</t>
  </si>
  <si>
    <t>M. Roli, K. Roli, K. Szabi, H Attila, H. Szabi</t>
  </si>
  <si>
    <t>Service Inna</t>
  </si>
  <si>
    <t>Waste Cluj</t>
  </si>
  <si>
    <t>06.april.2026</t>
  </si>
  <si>
    <t>07.april.2026</t>
  </si>
  <si>
    <t>08.april.2026</t>
  </si>
  <si>
    <t>09.april.2026</t>
  </si>
  <si>
    <t>10.april.2026</t>
  </si>
  <si>
    <t>11.april.2026</t>
  </si>
  <si>
    <t>LIBER Oficial Pastele Catolici</t>
  </si>
  <si>
    <t>Dragos Bellamy + 2 panouri Adam Elena (VL)</t>
  </si>
  <si>
    <t xml:space="preserve">Fatu Nicolae (VL) </t>
  </si>
  <si>
    <t>Edy Out</t>
  </si>
  <si>
    <t>Gal Reka (Z)</t>
  </si>
  <si>
    <t>Ment. Threepharm</t>
  </si>
  <si>
    <t>Szőcs (Z)</t>
  </si>
  <si>
    <t>Ferency - CJ (Z) + 
Cofetaria martha 1 Velio</t>
  </si>
  <si>
    <t>VTU  Electroservice</t>
  </si>
  <si>
    <t>Kriszti, Z. Sanyi</t>
  </si>
  <si>
    <t>Ungur Zaharie/Almonda Jedd</t>
  </si>
  <si>
    <t>Claudia Stroia (VL)</t>
  </si>
  <si>
    <t xml:space="preserve">Ferency - CJ (Z) </t>
  </si>
  <si>
    <t>Abinim (Z)</t>
  </si>
  <si>
    <t>Saftica + Mircea, fara Magor</t>
  </si>
  <si>
    <t>Tablou AC Electroservice</t>
  </si>
  <si>
    <t>?</t>
  </si>
  <si>
    <t>13.april.2026</t>
  </si>
  <si>
    <t>14.april.2026</t>
  </si>
  <si>
    <t>15.april.2026</t>
  </si>
  <si>
    <t>16.april.2026</t>
  </si>
  <si>
    <t>17.april.2026</t>
  </si>
  <si>
    <t>18.april.2026</t>
  </si>
  <si>
    <t>Balazs Endre 10kW</t>
  </si>
  <si>
    <t>Balazs Endre 10kW 4 ore</t>
  </si>
  <si>
    <t>Mayer Brasov (Z)</t>
  </si>
  <si>
    <t>Vaida Danila (Ileana) remontare sistem</t>
  </si>
  <si>
    <r>
      <rPr>
        <rFont val="Arial"/>
        <color theme="1"/>
      </rPr>
      <t xml:space="preserve">Szakacs </t>
    </r>
    <r>
      <rPr>
        <rFont val="Arial"/>
        <i/>
        <color theme="1"/>
      </rPr>
      <t>Ioan</t>
    </r>
    <r>
      <rPr>
        <rFont val="Arial"/>
        <color theme="1"/>
      </rPr>
      <t xml:space="preserve">  (WASTE POWERTECH )VL</t>
    </r>
  </si>
  <si>
    <t>Mircea Out, Tamas Leszai Turda + Waste Cluj</t>
  </si>
  <si>
    <t>Viorel Farcas - Trans Vol Bona statie incarcare</t>
  </si>
  <si>
    <t>V. Tamas out!!!</t>
  </si>
  <si>
    <t>Kovács Jozsef (Z) +
 Parc ThreePharm</t>
  </si>
  <si>
    <t>Feier Cristian (KR)</t>
  </si>
  <si>
    <t>-</t>
  </si>
  <si>
    <t>Avicola - Focsani</t>
  </si>
  <si>
    <t>Z. Sanyi, Kriszti</t>
  </si>
  <si>
    <t>Binale Jakob 58kW</t>
  </si>
  <si>
    <t>Binale Jakob 58kW Cristi out</t>
  </si>
  <si>
    <t>Feier Cristian (KR) Cristi Out! cu Z. Robi</t>
  </si>
  <si>
    <t>Electroservice VTU</t>
  </si>
  <si>
    <t>Electroservice VTU + Zita Gheorgiu</t>
  </si>
  <si>
    <r>
      <rPr>
        <rFont val="Arial"/>
        <color theme="1"/>
      </rPr>
      <t xml:space="preserve">Szakacs </t>
    </r>
    <r>
      <rPr>
        <rFont val="Arial"/>
        <i/>
        <color theme="1"/>
      </rPr>
      <t>Ioan</t>
    </r>
    <r>
      <rPr>
        <rFont val="Arial"/>
        <color theme="1"/>
      </rPr>
      <t xml:space="preserve">  (WASTE POWERTECH )VL</t>
    </r>
  </si>
  <si>
    <t>Liberi</t>
  </si>
  <si>
    <t xml:space="preserve">Bendris Teodor (VL) </t>
  </si>
  <si>
    <t>Pichetare Nero</t>
  </si>
  <si>
    <t>Csongi, Bakai Krisztian</t>
  </si>
  <si>
    <t>Serban Petru (VL) un Velionic dupa 15:30</t>
  </si>
  <si>
    <t>Janos, Z. Barni, Robi, Bercike, H. Levi, Csongi, B. Krisztian</t>
  </si>
  <si>
    <t>Service - DEJ</t>
  </si>
  <si>
    <t>20.april.2026</t>
  </si>
  <si>
    <t>21.april.2026</t>
  </si>
  <si>
    <t>22.april.2026</t>
  </si>
  <si>
    <t>23.april.2026</t>
  </si>
  <si>
    <t>24.april.2026</t>
  </si>
  <si>
    <t>25.april.2026</t>
  </si>
  <si>
    <t>Interventie Iernuteni</t>
  </si>
  <si>
    <t>TRANS VOL BONA (VL) statie incarcare</t>
  </si>
  <si>
    <t>TothCar - KR</t>
  </si>
  <si>
    <t>TothCar - KR ?</t>
  </si>
  <si>
    <t>Mandoki Istvan extindere</t>
  </si>
  <si>
    <t>Binale Jakob 58kW - fara Henter</t>
  </si>
  <si>
    <t>Serele Dalin</t>
  </si>
  <si>
    <t>Kriszti, Z. Sanyi, Bercike, B. Krisztian</t>
  </si>
  <si>
    <t>Feier Cristian (KR) de finalizat</t>
  </si>
  <si>
    <t>Centru Dializa Targoviste</t>
  </si>
  <si>
    <t>Magyari József (Z)</t>
  </si>
  <si>
    <t>Kovács Carol (Z)</t>
  </si>
  <si>
    <t>Almonda Adrianu Mic (Z)</t>
  </si>
  <si>
    <t>Depo Mures Sanpaul PCE</t>
  </si>
  <si>
    <t>Fekete Francisc Corunca 2 ore</t>
  </si>
  <si>
    <t>Janos, Z. Barni, Robi, Csongi</t>
  </si>
  <si>
    <t xml:space="preserve">Anti </t>
  </si>
  <si>
    <t>Nero Sibiu</t>
  </si>
  <si>
    <t>Fundata in 2 sapt.  intre Mai 4-8 - de discutat</t>
  </si>
  <si>
    <t>H. Levi</t>
  </si>
  <si>
    <t>Transport utilaje (Sg. Mures &gt; Petelea) si ramane la Bellamy</t>
  </si>
  <si>
    <t xml:space="preserve">Depo Mures Sanpaul PCE </t>
  </si>
  <si>
    <t>Nero M. Sibiului</t>
  </si>
  <si>
    <t>H. Szabi, M. Roli, K. Roli, K. Szabi, H. Attila</t>
  </si>
  <si>
    <t>Tablouri AC Nero SB</t>
  </si>
  <si>
    <t>27.april.2026</t>
  </si>
  <si>
    <t>28.april.2026</t>
  </si>
  <si>
    <t>29.april.2026</t>
  </si>
  <si>
    <t>30.april.2026</t>
  </si>
  <si>
    <t>01.mai.2026</t>
  </si>
  <si>
    <t>Melinte Una</t>
  </si>
  <si>
    <t>LIBER OFICIAL</t>
  </si>
  <si>
    <t>PKD GRUP SRL (VL)</t>
  </si>
  <si>
    <t>Rares Mihaila (VL)</t>
  </si>
  <si>
    <t>Verificare Cipau mese</t>
  </si>
  <si>
    <t>Maramaros Oblaza - Henter/Bellamy</t>
  </si>
  <si>
    <t xml:space="preserve">Kriszti, Anti </t>
  </si>
  <si>
    <t>JCR spalare+ verificare</t>
  </si>
  <si>
    <t>Vilici Torja</t>
  </si>
  <si>
    <t>Jako</t>
  </si>
  <si>
    <t>Cipau +Depo Mures Sanpaul PCE</t>
  </si>
  <si>
    <t>H. Szabi, M. Roli, K. Roli, K. Szabi, H. Attila, Z. Sanyi, Bercike, B. Krisztian</t>
  </si>
  <si>
    <t>OFF</t>
  </si>
  <si>
    <t>Auto Solinvest + Energosun</t>
  </si>
  <si>
    <t>04.mai.2026</t>
  </si>
  <si>
    <t>05.mai.2026</t>
  </si>
  <si>
    <t>06.mai.2026</t>
  </si>
  <si>
    <t>07.mai.2026</t>
  </si>
  <si>
    <t>08.mai.2026</t>
  </si>
  <si>
    <t>Bellamy Petelea+Katona Zsolt</t>
  </si>
  <si>
    <t>Fundata</t>
  </si>
  <si>
    <t>Fustos Lucian</t>
  </si>
  <si>
    <t>Mircea, Daroczi</t>
  </si>
  <si>
    <t>GCIT Predeal</t>
  </si>
  <si>
    <t>Zoli ovoda BUUUM</t>
  </si>
  <si>
    <t>Bellamy/ Raduly Andrei</t>
  </si>
  <si>
    <t xml:space="preserve">Depo Mures / Binale M. Nirajului </t>
  </si>
  <si>
    <t>Kriszti, Anti, Z. Sanyi, Bercike</t>
  </si>
  <si>
    <t>Mirdatod Reghin</t>
  </si>
  <si>
    <t>Nistor Gheder Carport + Uta Zoltan Panok</t>
  </si>
  <si>
    <t>Parc Termo Ludus</t>
  </si>
  <si>
    <t>Spalare Sandel</t>
  </si>
  <si>
    <t>Zoli liber / Soma Bellamy</t>
  </si>
  <si>
    <t>Magor, V. Tamas</t>
  </si>
  <si>
    <t>Vuscan 2X velionic</t>
  </si>
  <si>
    <t>Camin Cultural Nazna online + verificare + Isfanoi Trif Laurean (VL)</t>
  </si>
  <si>
    <t>H. Szabi, M. Roli, K. Roli, K. Szabi, H. Attila, Cs. Zsolt, B. Krisztian</t>
  </si>
  <si>
    <t>Bellamy Petelea - K Szabi liber</t>
  </si>
  <si>
    <t>13.05 AVICOLA- 2 baterii punere sub tensiune</t>
  </si>
  <si>
    <t>11.mai.2026</t>
  </si>
  <si>
    <t>12.mai.2026</t>
  </si>
  <si>
    <t>13.mai.2026</t>
  </si>
  <si>
    <t>14.mai.2026</t>
  </si>
  <si>
    <t>15.mai.2026</t>
  </si>
  <si>
    <t>Gurzu Prundaru Simona (VL)</t>
  </si>
  <si>
    <t>Edi - CJ Fustos, Siko - Belamy</t>
  </si>
  <si>
    <t>Surtec - schimbat 100KTL</t>
  </si>
  <si>
    <t>Paclisa</t>
  </si>
  <si>
    <t>Costea Florin</t>
  </si>
  <si>
    <t>Threepharm</t>
  </si>
  <si>
    <t>Henter L, Sita, Oliver</t>
  </si>
  <si>
    <t>Binale M. Nirajului stocare</t>
  </si>
  <si>
    <t>Avicola Focsani</t>
  </si>
  <si>
    <t>Zsombi</t>
  </si>
  <si>
    <t>Depo Mures Sanpaul - Nu se poate lucra din cauza ploii</t>
  </si>
  <si>
    <t>Depo Mures Sanpaul</t>
  </si>
  <si>
    <t>Laszlo Konya</t>
  </si>
  <si>
    <t>JÓZSEF ZSOLT MAGYARI + LÁSZLÓ KONYA</t>
  </si>
  <si>
    <t>Klosz</t>
  </si>
  <si>
    <t>Pichetare Ludus Termo</t>
  </si>
  <si>
    <t>Depo Mures Sanpaul - Zoli liber</t>
  </si>
  <si>
    <t>Z. Barni, Robi, Csongi</t>
  </si>
  <si>
    <t>Bellamy Petelea incarca excavator la Sanpaul si sapat</t>
  </si>
  <si>
    <t>Bellamy Petelea - Bákai liber</t>
  </si>
  <si>
    <t>Verificare Orsova</t>
  </si>
  <si>
    <t>Dalin</t>
  </si>
  <si>
    <t>EMS SOLAR GRID</t>
  </si>
  <si>
    <t>18.mai.2026</t>
  </si>
  <si>
    <t>19.mai.2026</t>
  </si>
  <si>
    <t>20.mai.2026</t>
  </si>
  <si>
    <t>21.mai.2026</t>
  </si>
  <si>
    <t>22.mai.2026</t>
  </si>
  <si>
    <t>Cretu Daniel</t>
  </si>
  <si>
    <t>CSABA PANTICS</t>
  </si>
  <si>
    <t>Bosca Lucian (VL)</t>
  </si>
  <si>
    <t xml:space="preserve">Klosz Balint </t>
  </si>
  <si>
    <t>Lorin Cioroba Dambovita</t>
  </si>
  <si>
    <t>Sita, Zsombi</t>
  </si>
  <si>
    <t>Bellamy invertoare</t>
  </si>
  <si>
    <t>Brico Holz - verif. string</t>
  </si>
  <si>
    <t>Focsani Avicola</t>
  </si>
  <si>
    <t xml:space="preserve"> Tornai - service</t>
  </si>
  <si>
    <t>Kamilla Panzio</t>
  </si>
  <si>
    <t>V Tamás Liber</t>
  </si>
  <si>
    <t>Bellamy/V Tamás Liber</t>
  </si>
  <si>
    <t>Ludus Termo</t>
  </si>
  <si>
    <t>Henter Szabi liber - Bellamy Petelea</t>
  </si>
  <si>
    <t>Tablouri DC Termo</t>
  </si>
  <si>
    <t>Olivér, Henter L</t>
  </si>
  <si>
    <t>Serele Dalin + Henter Loló</t>
  </si>
  <si>
    <t>Control Acces Lyra</t>
  </si>
  <si>
    <t>25.mai.2026</t>
  </si>
  <si>
    <t>26.mai.2026</t>
  </si>
  <si>
    <t>27.mai.2026</t>
  </si>
  <si>
    <t>28.mai.2026</t>
  </si>
  <si>
    <t>29.mai.2026</t>
  </si>
  <si>
    <t>Both Ioan (VL)</t>
  </si>
  <si>
    <t>Szente Tamás</t>
  </si>
  <si>
    <t>Rares Mihaila (VL) smart meter</t>
  </si>
  <si>
    <t>Electrotermo Pascani</t>
  </si>
  <si>
    <t>Meghesan Ioan (VL)</t>
  </si>
  <si>
    <t>Vlad Adriana (Z)</t>
  </si>
  <si>
    <t>Oblaza/ Zsombi liber</t>
  </si>
  <si>
    <t>Tablouri DC Termo - Zsombi liber</t>
  </si>
  <si>
    <t>GCIT Saftica - Zsombi liber</t>
  </si>
  <si>
    <t>Proelcons - Zsombi liber</t>
  </si>
  <si>
    <t>Kriszti, Anti, Z. Sanyi</t>
  </si>
  <si>
    <t>Fazakas Prodcarmi</t>
  </si>
  <si>
    <t>Bodea Andrei (VL) extindere panouri si inlocuire cel defect</t>
  </si>
  <si>
    <t>Laszlo Levente CV (VL)</t>
  </si>
  <si>
    <t xml:space="preserve">Vlad Adriana (Z) </t>
  </si>
  <si>
    <t>Bellamy Petelea - Zoli liber</t>
  </si>
  <si>
    <t>Nistor</t>
  </si>
  <si>
    <t>Z. Barni, Robi, Csongi, Bercike</t>
  </si>
  <si>
    <t>Olariu Alina Automatizare</t>
  </si>
  <si>
    <t>Lyra Pontaj</t>
  </si>
  <si>
    <t>1.iunie.2026</t>
  </si>
  <si>
    <t>2.iunie.2026</t>
  </si>
  <si>
    <t>3.iunie.2026</t>
  </si>
  <si>
    <t>4.iunie.2026</t>
  </si>
  <si>
    <t>5.iunie.2026</t>
  </si>
  <si>
    <t>LIBERO</t>
  </si>
  <si>
    <t>Socotar - Siko liber!!!</t>
  </si>
  <si>
    <t>Ciurba Claudiu (VL)</t>
  </si>
  <si>
    <t>Rares Mihaila +Fazakas Prodcarmi</t>
  </si>
  <si>
    <t>GCIT Saftica BESS</t>
  </si>
  <si>
    <t>Pucioasa ( Oszkar )</t>
  </si>
  <si>
    <t xml:space="preserve">Birlut Critstian (VL) extindere </t>
  </si>
  <si>
    <t>Socotar</t>
  </si>
  <si>
    <t>Mirdatod Reghin/ FTP Proelcons</t>
  </si>
  <si>
    <t>Jancsi, Z. Barni, Robi, Csongi, Bercike</t>
  </si>
  <si>
    <t>Taran Constantin +Genex</t>
  </si>
  <si>
    <t>pucioasa ( Oszkar )</t>
  </si>
  <si>
    <t>Cluj Automatizare</t>
  </si>
  <si>
    <t>Interventie Droker</t>
  </si>
  <si>
    <t>.</t>
  </si>
  <si>
    <t>8UQ2zz\s\\\\\\\\qw\qwxde</t>
  </si>
  <si>
    <t>q</t>
  </si>
  <si>
    <t>8.iunie.2026</t>
  </si>
  <si>
    <t>9.iunie.2026</t>
  </si>
  <si>
    <t>10.iunie.2026</t>
  </si>
  <si>
    <t>11.iunie.2026</t>
  </si>
  <si>
    <t>12.iunie.2026</t>
  </si>
  <si>
    <t>Kovrig (Z)</t>
  </si>
  <si>
    <t>Nicolescu Sg. Mures</t>
  </si>
  <si>
    <t>Nicusan - Fronius+</t>
  </si>
  <si>
    <t>incarcator auto la manoila - Socotar Baterie - Oszkar client corunca</t>
  </si>
  <si>
    <t>Bodoni Gyula</t>
  </si>
  <si>
    <t>Kerekes (Z)</t>
  </si>
  <si>
    <t>Mirdatod Reghin - fara Anti</t>
  </si>
  <si>
    <t>Bako liber - Adorjani Bellamy</t>
  </si>
  <si>
    <t>H. Szabi, M. Roli, K. Roli, K. Szabi, H. Attila, Cs. Zsolt</t>
  </si>
  <si>
    <t>Tablouri AC Nero</t>
  </si>
  <si>
    <t>Nicolescu Sg. Mures + Sandominic</t>
  </si>
  <si>
    <t>Lyra pontaj</t>
  </si>
  <si>
    <t>15.iunie.2026</t>
  </si>
  <si>
    <t>16.iunie.2026</t>
  </si>
  <si>
    <t>17.iunie.2026</t>
  </si>
  <si>
    <t>18.iunie.2026</t>
  </si>
  <si>
    <t>19.iunie.2026</t>
  </si>
  <si>
    <t>Szabo Ghizela (VL)</t>
  </si>
  <si>
    <t>Both Ioan montaj VELIONIC/ Nicusan</t>
  </si>
  <si>
    <t>Raduly Zsombor (Z)</t>
  </si>
  <si>
    <t>Sandor Laszlo</t>
  </si>
  <si>
    <t>Predeal</t>
  </si>
  <si>
    <t>EVORA Reghin</t>
  </si>
  <si>
    <t>Mircea Liber - VTamás - MIrdatod</t>
  </si>
  <si>
    <t>Lorand Szekely ( Info Oszkar )</t>
  </si>
  <si>
    <t>Panamarom</t>
  </si>
  <si>
    <t xml:space="preserve">LIBER + ITP 12 VLH </t>
  </si>
  <si>
    <t>Bako Attila, Adorjani, K. Roli, K. Szabi</t>
  </si>
  <si>
    <t>Brutaria Bachus 200kW</t>
  </si>
  <si>
    <t>Brutaria Bachus 200kW + ITP MS38VLH</t>
  </si>
  <si>
    <t>Both Ioan montaj banda etansare</t>
  </si>
  <si>
    <t>Jancsi Z. Barni Fazakas / Ludus Termo</t>
  </si>
  <si>
    <t>H. Szabi, M. Roli, H. Attila, Cs. Zsolt, B. Krisztian</t>
  </si>
  <si>
    <t>H. Szabi liber - Bellamy Petelea</t>
  </si>
  <si>
    <t>Tablou DC Termo</t>
  </si>
  <si>
    <t>Cluj dezintegrare</t>
  </si>
  <si>
    <t>Olariu automatizare</t>
  </si>
  <si>
    <t>Binale Baterie</t>
  </si>
  <si>
    <t>22.iunie.2026</t>
  </si>
  <si>
    <t>23.iunie.2026</t>
  </si>
  <si>
    <t>24.iunie.2026</t>
  </si>
  <si>
    <t>25.iunie.2026</t>
  </si>
  <si>
    <t>26.iunie.2026</t>
  </si>
  <si>
    <t>Edi liber - Siko Bellamy</t>
  </si>
  <si>
    <t>Lucian Chiriac (VL), BATUT IN CUIE, nu exista alta data</t>
  </si>
  <si>
    <t>SC PETCONS PROJECT SRL</t>
  </si>
  <si>
    <t>Varadi Gyorgy - Reghin ( Luca Vladut / Oszkar )</t>
  </si>
  <si>
    <t xml:space="preserve">Harko Stefan + olajcsere </t>
  </si>
  <si>
    <t>Costea Varga 
Storage + Wallbox</t>
  </si>
  <si>
    <t>Biro Attila (Z)</t>
  </si>
  <si>
    <t>Harko Jeno</t>
  </si>
  <si>
    <t>Henter L, Sita, Daroczi</t>
  </si>
  <si>
    <t>Balkanic</t>
  </si>
  <si>
    <t xml:space="preserve">Totelecan Mariana (VL), doar atunci este domnul prezent </t>
  </si>
  <si>
    <t>Magor, Zsombi</t>
  </si>
  <si>
    <t>Zsombi liber</t>
  </si>
  <si>
    <t>Gusutri 60 kW Tablou DC</t>
  </si>
  <si>
    <t>Waste CLuj</t>
  </si>
  <si>
    <t>Evora Reghin</t>
  </si>
  <si>
    <t>Gusutri 60 kW Tablou insularizare</t>
  </si>
  <si>
    <t>29.iunie.2026</t>
  </si>
  <si>
    <t>30.iunie.2026</t>
  </si>
  <si>
    <t>01.iulie.2026</t>
  </si>
  <si>
    <t>02.iulie.2026</t>
  </si>
  <si>
    <t>03.iulie.2026</t>
  </si>
  <si>
    <t>04.iulie.2026</t>
  </si>
  <si>
    <t>CEF Panet extindere sistem supraveghere</t>
  </si>
  <si>
    <t>Blaj Liana (VL)</t>
  </si>
  <si>
    <t>Croitor Liviu Valentin (VL)</t>
  </si>
  <si>
    <t>Todoran Dutu Ibanesti</t>
  </si>
  <si>
    <t>Evora Vanatori</t>
  </si>
  <si>
    <t>DR. GAL DEUTSCHLAND (Z)</t>
  </si>
  <si>
    <t>DR.GAL DEUTSCHLAND (Z)</t>
  </si>
  <si>
    <t>Gusutri 60 kW(Z)</t>
  </si>
  <si>
    <t>Barbat Ioan (VL)</t>
  </si>
  <si>
    <t>Binale M. Nirajului extindere</t>
  </si>
  <si>
    <t>K. Roli, K. Szabi</t>
  </si>
  <si>
    <t>Gombos sec - Gernyeszeg</t>
  </si>
  <si>
    <t>Magor,  V. Tamas</t>
  </si>
  <si>
    <t xml:space="preserve">Jancsi, Z. Barni, Robi, Csongi, </t>
  </si>
  <si>
    <t>Rusii Munti</t>
  </si>
  <si>
    <t>H. Levi, Bercike,Z. Sanyi</t>
  </si>
  <si>
    <t>Olivér, (Cs. Zsolt - Focsani)</t>
  </si>
  <si>
    <t>Tablou Andrei</t>
  </si>
  <si>
    <t>Tablou NERO</t>
  </si>
  <si>
    <t>Retro Focsani</t>
  </si>
  <si>
    <t>INTERVENTII</t>
  </si>
  <si>
    <t>06.iulie.2026</t>
  </si>
  <si>
    <t>07.iulie.2026</t>
  </si>
  <si>
    <t>08.iulie.2026</t>
  </si>
  <si>
    <t>09.iulie.2026</t>
  </si>
  <si>
    <t>10.iulie.2026</t>
  </si>
  <si>
    <t>NECESARE</t>
  </si>
  <si>
    <t>Todoran Mircea Ibanesti</t>
  </si>
  <si>
    <t>Oszkar interventii - Cipau etc</t>
  </si>
  <si>
    <t>Alev - Reghin Scoala (Z)</t>
  </si>
  <si>
    <t>Cisteian velionic + Service</t>
  </si>
  <si>
    <t>NOVUS ENG</t>
  </si>
  <si>
    <t>HR - Lászlo Pál (Remetea)</t>
  </si>
  <si>
    <t>AMSOC SRL (VL)</t>
  </si>
  <si>
    <t>GCIT Saftica cu Daroczi, fara V. Tamas</t>
  </si>
  <si>
    <t>Dragos Lungu+Marius Patea</t>
  </si>
  <si>
    <t>Focsani interventie</t>
  </si>
  <si>
    <t>CJ - Rozália Szováti (Gherla)</t>
  </si>
  <si>
    <t>Mirdatod</t>
  </si>
  <si>
    <t>SB - Vlad Adriana (Tarnava)</t>
  </si>
  <si>
    <t>Anti, Z. Sanyi</t>
  </si>
  <si>
    <t>Sylvania Sovata - ploaie 100%</t>
  </si>
  <si>
    <t>Sylvania Sovata</t>
  </si>
  <si>
    <t>LIBER</t>
  </si>
  <si>
    <t>Spital Livezeni - Soma Liber</t>
  </si>
  <si>
    <t>Spital Livezeni</t>
  </si>
  <si>
    <t xml:space="preserve">Spital Livezeni </t>
  </si>
  <si>
    <t>Kriszti</t>
  </si>
  <si>
    <t>Jancsi, Z. Barni, Robi</t>
  </si>
  <si>
    <t>Proelcons 25kW</t>
  </si>
  <si>
    <t>Csongi</t>
  </si>
  <si>
    <t>H. Levi, Bercike</t>
  </si>
  <si>
    <t>H. Szabi, M. Roli, H. Attila, Cs. Zsolt, B. Krisztian, K. Roli, K. Szabi</t>
  </si>
  <si>
    <t>Bellamy Petelea - H. Attila CO</t>
  </si>
  <si>
    <t>Bellamy Petelea - H. Attila, K. Roli CO</t>
  </si>
  <si>
    <t>Tablou AC Termo</t>
  </si>
  <si>
    <t>Automatizare Cluj</t>
  </si>
  <si>
    <t>13.iulie.2026</t>
  </si>
  <si>
    <t>14.iulie.2026</t>
  </si>
  <si>
    <t>15.iulie.2026</t>
  </si>
  <si>
    <t>16.iulie.2026</t>
  </si>
  <si>
    <t>17.iulie.2026</t>
  </si>
  <si>
    <t>Siko CO 13 - 26</t>
  </si>
  <si>
    <t>Gusutri</t>
  </si>
  <si>
    <t>Noe Psihocenter</t>
  </si>
  <si>
    <t>H. Szabi, M. Roli, H. Attila, Cs. Zsolt, B. Krisztian,  K. Roli, K. Szabi</t>
  </si>
  <si>
    <t>Tabluou antiisularizare Sylvania</t>
  </si>
  <si>
    <t>CO</t>
  </si>
  <si>
    <t>20.iulie.2026</t>
  </si>
  <si>
    <t>21.iulie.2026</t>
  </si>
  <si>
    <t>22.iulie.2026</t>
  </si>
  <si>
    <t>23.iulie.2026</t>
  </si>
  <si>
    <t>24.iulie.2026</t>
  </si>
  <si>
    <t>27.iulie.2026</t>
  </si>
  <si>
    <t>28.iulie.2026</t>
  </si>
  <si>
    <t>29.iulie.2026</t>
  </si>
  <si>
    <t>30.iulie.2026</t>
  </si>
  <si>
    <t>31.iulie.2026</t>
  </si>
  <si>
    <t>Targoviste-Centru de dializa</t>
  </si>
  <si>
    <t>Magor CO</t>
  </si>
  <si>
    <t>2026 preconizate</t>
  </si>
  <si>
    <t>#</t>
  </si>
  <si>
    <t>Nume</t>
  </si>
  <si>
    <t>Inceput</t>
  </si>
  <si>
    <t>Sfarsit</t>
  </si>
  <si>
    <t>Zile în total</t>
  </si>
  <si>
    <t>Mentiuni</t>
  </si>
  <si>
    <t>Nagy Pál Örs</t>
  </si>
  <si>
    <t>08.04.2026</t>
  </si>
  <si>
    <t>15.04.2026</t>
  </si>
  <si>
    <t>Adorjani Alpar</t>
  </si>
  <si>
    <t>Bakai Krisztian</t>
  </si>
  <si>
    <t>Bako Attilla</t>
  </si>
  <si>
    <t>Balan Csaba</t>
  </si>
  <si>
    <t>Bucur Zsombor - Mihaly</t>
  </si>
  <si>
    <t>Ciubuca Vladut Alexandru</t>
  </si>
  <si>
    <t>Daroczi Attila</t>
  </si>
  <si>
    <t>Farczadi Janos</t>
  </si>
  <si>
    <t>04.08.2026</t>
  </si>
  <si>
    <t>11.08.2026</t>
  </si>
  <si>
    <t>Farkas Robert Bercike</t>
  </si>
  <si>
    <t>Farkas Szabolcs Mircea</t>
  </si>
  <si>
    <t>Graur Mihai Virgil</t>
  </si>
  <si>
    <t>Hajdu Laszlo Levente</t>
  </si>
  <si>
    <t>Henter Attilla Karoly</t>
  </si>
  <si>
    <t>Henter Lorand</t>
  </si>
  <si>
    <t>Henter Szabolcs</t>
  </si>
  <si>
    <t>Horvath Magor</t>
  </si>
  <si>
    <t>Janka Zsigmond Attilla</t>
  </si>
  <si>
    <t>Janosi Zoltan</t>
  </si>
  <si>
    <t>Kacso Andrei</t>
  </si>
  <si>
    <t>24.08.2026</t>
  </si>
  <si>
    <t>04.09.2026</t>
  </si>
  <si>
    <t>Kardos Denes Zsolt</t>
  </si>
  <si>
    <t>Kardos Hunor Gamci</t>
  </si>
  <si>
    <t>Kemenes Soma - Zsombor</t>
  </si>
  <si>
    <t>Kendi Robert Zsigmond</t>
  </si>
  <si>
    <t>Kiss Roland</t>
  </si>
  <si>
    <t>28.09.2026</t>
  </si>
  <si>
    <t>02.10.2026</t>
  </si>
  <si>
    <t>Kodo Janos</t>
  </si>
  <si>
    <t>Kovacs Szabolcs</t>
  </si>
  <si>
    <t>Kovacs Zoltán</t>
  </si>
  <si>
    <t>Laszlo Szabolcs</t>
  </si>
  <si>
    <t>Luca Vasile Vladut</t>
  </si>
  <si>
    <t>Marton Nicoleta Cristina</t>
  </si>
  <si>
    <t>Mathe Rolland</t>
  </si>
  <si>
    <t>Nagy Pal Ors</t>
  </si>
  <si>
    <t>09.07.2026</t>
  </si>
  <si>
    <t>14.07.2026</t>
  </si>
  <si>
    <t>Nagy Tamas</t>
  </si>
  <si>
    <t>Palosi Elod Oliver</t>
  </si>
  <si>
    <t>Papp Istvan Alpar</t>
  </si>
  <si>
    <t>Sarkany Illes Samuel</t>
  </si>
  <si>
    <t>Selyem Edmond</t>
  </si>
  <si>
    <t>Siko Attila</t>
  </si>
  <si>
    <t>Sita Szabolcs</t>
  </si>
  <si>
    <t>Soos Monika</t>
  </si>
  <si>
    <t>24.06.2026</t>
  </si>
  <si>
    <t>03.07.2026</t>
  </si>
  <si>
    <t>Szasz Bela Pal</t>
  </si>
  <si>
    <t>Szasz Oszkar</t>
  </si>
  <si>
    <t>Szente Tamas</t>
  </si>
  <si>
    <t>Toth Barna Norbert</t>
  </si>
  <si>
    <t>08.09.2026</t>
  </si>
  <si>
    <t>16.09.2026</t>
  </si>
  <si>
    <t>Varga Zoltan Attilla</t>
  </si>
  <si>
    <t>Veres Tamas Sandor</t>
  </si>
  <si>
    <t>Zolyomi Antal</t>
  </si>
  <si>
    <t>Zolyomi Antal Gyula Krisztian</t>
  </si>
  <si>
    <t>Zolyomi Barna Levente</t>
  </si>
  <si>
    <t>?aug/septembrie</t>
  </si>
  <si>
    <t>Zolyomi Csongor Csaba</t>
  </si>
  <si>
    <t>13.07.2026</t>
  </si>
  <si>
    <t>17.07.2026</t>
  </si>
  <si>
    <t>Zolyomi Janos Robert</t>
  </si>
  <si>
    <t>Zolyomi Sandor Csaba</t>
  </si>
  <si>
    <t>calc</t>
  </si>
  <si>
    <t>Bonus pentru deplasare/sistem</t>
  </si>
  <si>
    <t>Marți</t>
  </si>
  <si>
    <t>Sâmbătă</t>
  </si>
  <si>
    <t>03.Mar.2025.</t>
  </si>
  <si>
    <t>04.Mar.2025.</t>
  </si>
  <si>
    <t>05.Mar.2025.</t>
  </si>
  <si>
    <t>06.Mar.2025.</t>
  </si>
  <si>
    <t>07.Mar.2025.</t>
  </si>
  <si>
    <t>08.Mar.2025.</t>
  </si>
  <si>
    <t>10.Mar.2025.</t>
  </si>
  <si>
    <t>11.Mar.2025.</t>
  </si>
  <si>
    <t>12.Mar.2025.</t>
  </si>
  <si>
    <t>13.Mar.2025.</t>
  </si>
  <si>
    <t>14.Mar.2025.</t>
  </si>
  <si>
    <t>15.Mar.2025.</t>
  </si>
  <si>
    <t>17.Mar.2025.</t>
  </si>
  <si>
    <t>18.Mar.2025.</t>
  </si>
  <si>
    <t>19.Mar.2025.</t>
  </si>
  <si>
    <t>20.Mar.2025.</t>
  </si>
  <si>
    <t>21.Mar.2025.</t>
  </si>
  <si>
    <t>22.Mar.2025.</t>
  </si>
  <si>
    <t>24.Mar.2025.</t>
  </si>
  <si>
    <t>25.Mar.2025.</t>
  </si>
  <si>
    <t>26.Mar.2025.</t>
  </si>
  <si>
    <t>27.Mar.2025.</t>
  </si>
  <si>
    <t>28.Mar.2025.</t>
  </si>
  <si>
    <t>29.Mar.2025.</t>
  </si>
  <si>
    <t>31.Mar.2025.</t>
  </si>
  <si>
    <t>Edy</t>
  </si>
  <si>
    <t>Siko</t>
  </si>
  <si>
    <t>Magor</t>
  </si>
  <si>
    <t>V. Tamas</t>
  </si>
  <si>
    <t>70 + 120</t>
  </si>
  <si>
    <t>70 + 240</t>
  </si>
  <si>
    <t>Anti</t>
  </si>
  <si>
    <t>2 ore supl.</t>
  </si>
  <si>
    <t>Barnika</t>
  </si>
  <si>
    <t>Jancsi</t>
  </si>
  <si>
    <t>Levi</t>
  </si>
  <si>
    <t>Daroczi</t>
  </si>
  <si>
    <t>Robi</t>
  </si>
  <si>
    <t>Barni</t>
  </si>
  <si>
    <t>Sándor</t>
  </si>
  <si>
    <t xml:space="preserve"> Kovács Szabi</t>
  </si>
  <si>
    <t>Soma</t>
  </si>
  <si>
    <t>2 ore suplim</t>
  </si>
  <si>
    <t>1 ora Sibiu</t>
  </si>
  <si>
    <t>Zoli</t>
  </si>
  <si>
    <t>Csabi</t>
  </si>
  <si>
    <t>Domi</t>
  </si>
  <si>
    <t>Samu</t>
  </si>
  <si>
    <t>Örs</t>
  </si>
  <si>
    <t>01.Apr.2025.</t>
  </si>
  <si>
    <t>02.Apr.2025.</t>
  </si>
  <si>
    <t>03.Apr.2025.</t>
  </si>
  <si>
    <t>04.Apr.2025.</t>
  </si>
  <si>
    <t>05.Apr.2025.</t>
  </si>
  <si>
    <t>07.Apr.2025.</t>
  </si>
  <si>
    <t>08.Apr.2025.</t>
  </si>
  <si>
    <t>09.Apr.2025.</t>
  </si>
  <si>
    <t>10.Apr.2025.</t>
  </si>
  <si>
    <t>11.Apr.2025.</t>
  </si>
  <si>
    <t>12.Apr.2025.</t>
  </si>
  <si>
    <t>14.Apr.2025.</t>
  </si>
  <si>
    <t>15.Apr.2025.</t>
  </si>
  <si>
    <t>16.Apr.2025.</t>
  </si>
  <si>
    <t>17.Apr.2025.</t>
  </si>
  <si>
    <t>18.Apr.2025.</t>
  </si>
  <si>
    <t>19.Apr.2025.</t>
  </si>
  <si>
    <t>21.Apr.2025.</t>
  </si>
  <si>
    <t>22.Apr.2025.</t>
  </si>
  <si>
    <t>23.Apr.2025.</t>
  </si>
  <si>
    <t>24.Apr.2025.</t>
  </si>
  <si>
    <t>25.Apr.2025.</t>
  </si>
  <si>
    <t>26.Apr.2025.</t>
  </si>
  <si>
    <t>28.Apr.2025</t>
  </si>
  <si>
    <t>70 + 400 Ron</t>
  </si>
  <si>
    <t>2 ore</t>
  </si>
  <si>
    <t>Bucur Zsombi</t>
  </si>
  <si>
    <t>Sita Szabi</t>
  </si>
  <si>
    <t>373 Ron</t>
  </si>
  <si>
    <t>N. Tamas</t>
  </si>
  <si>
    <t>Kardos Zsolt</t>
  </si>
  <si>
    <t>Henter Szabi</t>
  </si>
  <si>
    <t>Kovács Szabi</t>
  </si>
  <si>
    <t>Roli</t>
  </si>
  <si>
    <t>70 + 480 Ron</t>
  </si>
  <si>
    <t>K. Huni</t>
  </si>
  <si>
    <t>29.Apr.2025.</t>
  </si>
  <si>
    <t>30.Apr.2025.</t>
  </si>
  <si>
    <t>01.Mai.2025.</t>
  </si>
  <si>
    <t>02.Mai.2025.</t>
  </si>
  <si>
    <t>03.Mai.2025.</t>
  </si>
  <si>
    <t>05.Mai.2025.</t>
  </si>
  <si>
    <t>06.Mai.2025.</t>
  </si>
  <si>
    <t>07.Mai.2025.</t>
  </si>
  <si>
    <t>08.Mai.2025.</t>
  </si>
  <si>
    <t>09.Mai.2025.</t>
  </si>
  <si>
    <t>10.Mai.2025.</t>
  </si>
  <si>
    <t>12.Mai.2025.</t>
  </si>
  <si>
    <t>13.Mai.2025.</t>
  </si>
  <si>
    <t>14.Mai.2025.</t>
  </si>
  <si>
    <t>15.Mai.2025.</t>
  </si>
  <si>
    <t>16.Mai.2025.</t>
  </si>
  <si>
    <t>17.Mai.2025.</t>
  </si>
  <si>
    <t>19.Mai.2025.</t>
  </si>
  <si>
    <t>20.Mai.2025.</t>
  </si>
  <si>
    <t>21.Mai.2025.</t>
  </si>
  <si>
    <t>22.Mai.2025.</t>
  </si>
  <si>
    <t>23.Mai.2025.</t>
  </si>
  <si>
    <t>24.Mai.2025.</t>
  </si>
  <si>
    <t>26.Mai.2025</t>
  </si>
  <si>
    <t>27.Mai.2025</t>
  </si>
  <si>
    <t>28.Mai.2026</t>
  </si>
  <si>
    <t>29.Mai.2026</t>
  </si>
  <si>
    <t>30.Mai.2026</t>
  </si>
  <si>
    <t>140+100</t>
  </si>
  <si>
    <t>140 + 2 ore supl.</t>
  </si>
  <si>
    <t>60+400+400</t>
  </si>
  <si>
    <t>60+300</t>
  </si>
  <si>
    <t>3 ore supl.</t>
  </si>
  <si>
    <t>140+60</t>
  </si>
  <si>
    <t>60+400</t>
  </si>
  <si>
    <t>Robi Zolyomi</t>
  </si>
  <si>
    <t>3 ore suplim.</t>
  </si>
  <si>
    <t>140+480</t>
  </si>
  <si>
    <t>Kiss Lorand</t>
  </si>
  <si>
    <t>02.06.2025</t>
  </si>
  <si>
    <t>03.06.2025</t>
  </si>
  <si>
    <t>04.06.2025</t>
  </si>
  <si>
    <t>05.06.2025</t>
  </si>
  <si>
    <t>06.06.2025</t>
  </si>
  <si>
    <t>10.06.2025</t>
  </si>
  <si>
    <t>11.06.2025</t>
  </si>
  <si>
    <t>12.06.2025</t>
  </si>
  <si>
    <t>13.06.2026</t>
  </si>
  <si>
    <t>14.06.2026</t>
  </si>
  <si>
    <t>16.06.2025</t>
  </si>
  <si>
    <t>17.06.2025</t>
  </si>
  <si>
    <t>18.06.2025</t>
  </si>
  <si>
    <t>19.06.2025</t>
  </si>
  <si>
    <t>20.06.2025</t>
  </si>
  <si>
    <t>21.06.2025</t>
  </si>
  <si>
    <t>23.06.2025</t>
  </si>
  <si>
    <t>24.06.2025</t>
  </si>
  <si>
    <t>25.06.2025</t>
  </si>
  <si>
    <t>26.06.2025</t>
  </si>
  <si>
    <t>27.06.2025</t>
  </si>
  <si>
    <t>140+200</t>
  </si>
  <si>
    <t>60+100</t>
  </si>
  <si>
    <t>Razvan</t>
  </si>
  <si>
    <t>140+720</t>
  </si>
  <si>
    <t>60 + 1066</t>
  </si>
  <si>
    <t>60 + 300</t>
  </si>
  <si>
    <t>61 + 1066</t>
  </si>
  <si>
    <t>62 + 1066</t>
  </si>
  <si>
    <t>Zolyomi Sandor</t>
  </si>
  <si>
    <t>G. MIhai</t>
  </si>
  <si>
    <t>140??????</t>
  </si>
  <si>
    <t>Palotás Attila</t>
  </si>
  <si>
    <t>Henter Attila</t>
  </si>
  <si>
    <t>Mate Roland</t>
  </si>
  <si>
    <t>1.10.</t>
  </si>
  <si>
    <t>2.10.</t>
  </si>
  <si>
    <t>3.10.</t>
  </si>
  <si>
    <t>140 ?</t>
  </si>
  <si>
    <t>László Szabi</t>
  </si>
  <si>
    <t>Bakó Attila</t>
  </si>
  <si>
    <t>Adorjáni Alpár</t>
  </si>
  <si>
    <t>6.10.</t>
  </si>
  <si>
    <t>7.10.</t>
  </si>
  <si>
    <t>8.10.</t>
  </si>
  <si>
    <t>9.10.</t>
  </si>
  <si>
    <t>10.10.</t>
  </si>
  <si>
    <t>11.10.</t>
  </si>
  <si>
    <t>13.10.</t>
  </si>
  <si>
    <t>14.10.</t>
  </si>
  <si>
    <t>15.10.</t>
  </si>
  <si>
    <t>16.10.</t>
  </si>
  <si>
    <t>17.10.</t>
  </si>
  <si>
    <t>18.10.</t>
  </si>
  <si>
    <t>20.10.</t>
  </si>
  <si>
    <t>21.10.</t>
  </si>
  <si>
    <t>22.10.</t>
  </si>
  <si>
    <t>23.10.</t>
  </si>
  <si>
    <t>24.10.</t>
  </si>
  <si>
    <t>27.10.</t>
  </si>
  <si>
    <t>28.10.</t>
  </si>
  <si>
    <t>29.10.</t>
  </si>
  <si>
    <t>30.10.</t>
  </si>
  <si>
    <t>31.10.</t>
  </si>
  <si>
    <t>03.11.</t>
  </si>
  <si>
    <t>05.11.</t>
  </si>
  <si>
    <t>07.11.</t>
  </si>
  <si>
    <t>10.11.</t>
  </si>
  <si>
    <t>11.11.</t>
  </si>
  <si>
    <t>12.11.</t>
  </si>
  <si>
    <t>13.11.</t>
  </si>
  <si>
    <t>14.11.</t>
  </si>
  <si>
    <t>15.11.</t>
  </si>
  <si>
    <t>17.11.</t>
  </si>
  <si>
    <t>18.11.</t>
  </si>
  <si>
    <t>19.11.</t>
  </si>
  <si>
    <t>20.11.</t>
  </si>
  <si>
    <t>21.11.</t>
  </si>
  <si>
    <t>24.11.</t>
  </si>
  <si>
    <t>25.11.</t>
  </si>
  <si>
    <t>26.11.</t>
  </si>
  <si>
    <t>27.11.</t>
  </si>
  <si>
    <t>28.11.</t>
  </si>
  <si>
    <t>OFF CM</t>
  </si>
  <si>
    <t>01.12.</t>
  </si>
  <si>
    <t>12.01.</t>
  </si>
  <si>
    <t>13.01.</t>
  </si>
  <si>
    <t>14.01.</t>
  </si>
  <si>
    <t>15.01.</t>
  </si>
  <si>
    <t>16.01.</t>
  </si>
  <si>
    <t>17.01.</t>
  </si>
  <si>
    <t>Vlad Ciubuca</t>
  </si>
  <si>
    <t>Szasz Ostkár</t>
  </si>
  <si>
    <t>57,5</t>
  </si>
  <si>
    <t>Alpi</t>
  </si>
  <si>
    <t>Bakai Kriszrtian</t>
  </si>
  <si>
    <t>Delegatie DE</t>
  </si>
  <si>
    <t>Csala Zsolt</t>
  </si>
  <si>
    <t>MIrcea</t>
  </si>
  <si>
    <t>ok</t>
  </si>
  <si>
    <t>H.Lorand</t>
  </si>
  <si>
    <t>Sita</t>
  </si>
  <si>
    <t xml:space="preserve">Magor </t>
  </si>
  <si>
    <t>Bako</t>
  </si>
  <si>
    <t>Adorjani</t>
  </si>
  <si>
    <t>Ors</t>
  </si>
  <si>
    <t>Z. Sanyi</t>
  </si>
  <si>
    <t>Bakai</t>
  </si>
  <si>
    <t>Oszkar</t>
  </si>
  <si>
    <t>Bucur</t>
  </si>
  <si>
    <t>TOTAL</t>
  </si>
  <si>
    <t>Achitat</t>
  </si>
  <si>
    <t>Luna</t>
  </si>
  <si>
    <t>Nr. Crt.</t>
  </si>
  <si>
    <t>Contractant</t>
  </si>
  <si>
    <t>Valoarea cu TVA - RON</t>
  </si>
  <si>
    <t>Valoare fara TVA-RON</t>
  </si>
  <si>
    <t>Valoare fara TVA-EURO curs 5.26</t>
  </si>
  <si>
    <t>Capacitate -kW</t>
  </si>
  <si>
    <t>Val. avans-RON</t>
  </si>
  <si>
    <t>Val. Livrare materiale -RON</t>
  </si>
  <si>
    <t>Val. la PIF-RON</t>
  </si>
  <si>
    <t>Termen finalizare ctr.</t>
  </si>
  <si>
    <t>Responsabil</t>
  </si>
  <si>
    <t>Montare nr. pers.</t>
  </si>
  <si>
    <t>Valoare Bonus</t>
  </si>
  <si>
    <t>Racord nr. pers.</t>
  </si>
  <si>
    <t>Estimare Durata Lucrare -Zile</t>
  </si>
  <si>
    <t>Data inceput lucrare</t>
  </si>
  <si>
    <t>Data Finalizarii</t>
  </si>
  <si>
    <t>Cheltuieli Combustibil</t>
  </si>
  <si>
    <t>Total Cheltuieli</t>
  </si>
  <si>
    <t>Profit</t>
  </si>
  <si>
    <t>Informatii suplimentare</t>
  </si>
  <si>
    <t>Centralizator LUNA</t>
  </si>
  <si>
    <t>Noiembrie</t>
  </si>
  <si>
    <t>387/07.11.2024</t>
  </si>
  <si>
    <t>S.C. HNG SOLAR S.R.L.</t>
  </si>
  <si>
    <t>15.02.2025</t>
  </si>
  <si>
    <t>Nagy Ors</t>
  </si>
  <si>
    <t>Ianuarie</t>
  </si>
  <si>
    <t>395/25.11.2024</t>
  </si>
  <si>
    <t>S.C. RESALTA ENERGY SOLAR S.A.</t>
  </si>
  <si>
    <t>30.05.2025</t>
  </si>
  <si>
    <t xml:space="preserve">Racordare Parc </t>
  </si>
  <si>
    <t>Februarie</t>
  </si>
  <si>
    <t>397/18.12.2024</t>
  </si>
  <si>
    <t>S.C. AVALON PROPERTY S.R.L.-HELL</t>
  </si>
  <si>
    <t>28.02.2025</t>
  </si>
  <si>
    <t>Szasz Bela</t>
  </si>
  <si>
    <t>280lei/zi economisit</t>
  </si>
  <si>
    <t>20 (13-7 ?)</t>
  </si>
  <si>
    <t>15.01.2025</t>
  </si>
  <si>
    <t>Martie</t>
  </si>
  <si>
    <t>401/16.01.2025</t>
  </si>
  <si>
    <t>S.C. AHLENER S.R.L.</t>
  </si>
  <si>
    <t>16.02.2025</t>
  </si>
  <si>
    <t>Aprilie</t>
  </si>
  <si>
    <t>402/17.01.2025</t>
  </si>
  <si>
    <t>S.C. EVORA CENTER S.R.L.</t>
  </si>
  <si>
    <t>31.07.2025</t>
  </si>
  <si>
    <t>Mai</t>
  </si>
  <si>
    <t>403/20.01.2025</t>
  </si>
  <si>
    <t>S.C. AUTO SOLINVEST S.R.L.</t>
  </si>
  <si>
    <t>Pal Szabi</t>
  </si>
  <si>
    <t>Proiectare</t>
  </si>
  <si>
    <t>Iunie</t>
  </si>
  <si>
    <t>404/20.01.2025</t>
  </si>
  <si>
    <t>S.C. ENERGOSUN S.R.L.</t>
  </si>
  <si>
    <t>25.02.2025</t>
  </si>
  <si>
    <t>Iulie</t>
  </si>
  <si>
    <t>Vladut</t>
  </si>
  <si>
    <t xml:space="preserve">Ianuarie </t>
  </si>
  <si>
    <t>405/20.01.2025</t>
  </si>
  <si>
    <t>Zolog Mircea</t>
  </si>
  <si>
    <t>20.02.2025</t>
  </si>
  <si>
    <t xml:space="preserve">Szasz Béla </t>
  </si>
  <si>
    <t>August</t>
  </si>
  <si>
    <t>406/27.01.2025</t>
  </si>
  <si>
    <t xml:space="preserve">Beno Lorand </t>
  </si>
  <si>
    <t>Plata in 4 transe egala pana 30.06.2025.</t>
  </si>
  <si>
    <t>Septembrie</t>
  </si>
  <si>
    <t>407/27.01.2025</t>
  </si>
  <si>
    <t>Productie Molde SRL</t>
  </si>
  <si>
    <t>04.03.2025</t>
  </si>
  <si>
    <t>Octombrie</t>
  </si>
  <si>
    <t>408/29.01.2025</t>
  </si>
  <si>
    <t>Molnar Varlam Claudiu</t>
  </si>
  <si>
    <t>11.03.2025</t>
  </si>
  <si>
    <t>409/29.01.2025</t>
  </si>
  <si>
    <t>Konya Zoltan</t>
  </si>
  <si>
    <t>Montat</t>
  </si>
  <si>
    <t>Decembrie</t>
  </si>
  <si>
    <t>410/29.01.2025</t>
  </si>
  <si>
    <t>Farkas Levente</t>
  </si>
  <si>
    <t>30.02.2025</t>
  </si>
  <si>
    <t>411/29.01.2025</t>
  </si>
  <si>
    <t xml:space="preserve">Toth Barna </t>
  </si>
  <si>
    <t>Total 2025</t>
  </si>
  <si>
    <t>412/29.01.2025</t>
  </si>
  <si>
    <t>413/29.01.2025</t>
  </si>
  <si>
    <t>Locativ SA</t>
  </si>
  <si>
    <t>414/29.01.2025</t>
  </si>
  <si>
    <t>MC Trans SRL</t>
  </si>
  <si>
    <t>415/04.02.2025</t>
  </si>
  <si>
    <t>Cotraco Com SRL</t>
  </si>
  <si>
    <t>03.04.2025</t>
  </si>
  <si>
    <t>Finalizat - Lucrări electrice extra</t>
  </si>
  <si>
    <t>416/04.02.2025</t>
  </si>
  <si>
    <t>Ilea Ioan</t>
  </si>
  <si>
    <t>15.03.2025</t>
  </si>
  <si>
    <t xml:space="preserve">                                  </t>
  </si>
  <si>
    <t>417/06.02.2026</t>
  </si>
  <si>
    <t>S.C. NEOL S.R.L.</t>
  </si>
  <si>
    <t>Licitatie</t>
  </si>
  <si>
    <t>921/06.02.2025.</t>
  </si>
  <si>
    <t>Comuna Vânători</t>
  </si>
  <si>
    <t>RON996,751.07</t>
  </si>
  <si>
    <t>418/10.02.2025.</t>
  </si>
  <si>
    <t>Truta Tudor</t>
  </si>
  <si>
    <t>12.03.2025</t>
  </si>
  <si>
    <t>Cu stocare. Velionic 15 kW</t>
  </si>
  <si>
    <t>419/12.02.2025.</t>
  </si>
  <si>
    <t>Vamatrans M.T. SRL</t>
  </si>
  <si>
    <t xml:space="preserve">Mentenanta </t>
  </si>
  <si>
    <t>Papp Alpar</t>
  </si>
  <si>
    <t>420/13.02.2025.</t>
  </si>
  <si>
    <t>Solar Energy Park MS SRL</t>
  </si>
  <si>
    <t>Paratrasnet</t>
  </si>
  <si>
    <t>421/13.02.2025.</t>
  </si>
  <si>
    <t>Solar Park MDL SRL</t>
  </si>
  <si>
    <t>422/14.02.2025.</t>
  </si>
  <si>
    <t>GF Mures Impex SRL</t>
  </si>
  <si>
    <t>20.03.2025</t>
  </si>
  <si>
    <t>Kendi</t>
  </si>
  <si>
    <t>423/17.02.2025</t>
  </si>
  <si>
    <t>Ciorba Ilie</t>
  </si>
  <si>
    <t>Kendi Róbert</t>
  </si>
  <si>
    <t>achitat integral</t>
  </si>
  <si>
    <t>424/17.02.2025</t>
  </si>
  <si>
    <t>Kocsis Andras</t>
  </si>
  <si>
    <t>425/21.02.2025</t>
  </si>
  <si>
    <t>Fero Stil Mures Prodimpex SRL</t>
  </si>
  <si>
    <t>23,76</t>
  </si>
  <si>
    <t>426/21.02.2025.</t>
  </si>
  <si>
    <t>Olariu Alina</t>
  </si>
  <si>
    <t>15,81</t>
  </si>
  <si>
    <t>25.03.2025</t>
  </si>
  <si>
    <t>427/27.02.2025</t>
  </si>
  <si>
    <t>Dan Diaconu</t>
  </si>
  <si>
    <t>01.04.2025</t>
  </si>
  <si>
    <t>Total 2026</t>
  </si>
  <si>
    <t>Tamas</t>
  </si>
  <si>
    <t>428/04.03.2025.</t>
  </si>
  <si>
    <t>PFA Pall Kovacs Izabella</t>
  </si>
  <si>
    <t>31.10.2025.</t>
  </si>
  <si>
    <t>429/06.03.2025.</t>
  </si>
  <si>
    <t>PAROHIA REFORMATA HUEDIN</t>
  </si>
  <si>
    <t>430/06.03.2025.</t>
  </si>
  <si>
    <t>Kovacs Robert</t>
  </si>
  <si>
    <t>431/06.03.2025.</t>
  </si>
  <si>
    <t>Kolcsar Csaba</t>
  </si>
  <si>
    <t>432/06.03.2025.</t>
  </si>
  <si>
    <t>ID Kolcsar Csaba</t>
  </si>
  <si>
    <t>433/06.03.2025.</t>
  </si>
  <si>
    <t>SC Sildav  TRANSMAGAZIN S.R.L</t>
  </si>
  <si>
    <t>434/13.03.2025.</t>
  </si>
  <si>
    <t>ASOCIAŢIA DE PROPRIETARI NR. 561</t>
  </si>
  <si>
    <t>435/13.03.2025.</t>
  </si>
  <si>
    <t>Prod Com Electric SRL</t>
  </si>
  <si>
    <t>25.04.2025.</t>
  </si>
  <si>
    <t>436/18.03.2025.</t>
  </si>
  <si>
    <t>Kendi Robert</t>
  </si>
  <si>
    <t>437/18.03.2025.</t>
  </si>
  <si>
    <t>Petrea Ioan Marcel</t>
  </si>
  <si>
    <t>438/18.03.2025</t>
  </si>
  <si>
    <t>Biro Robert - Sovata</t>
  </si>
  <si>
    <t>439/19.03.2025</t>
  </si>
  <si>
    <t>Zahan Ciprian</t>
  </si>
  <si>
    <t>440/21.03.2025</t>
  </si>
  <si>
    <t>Takacs Rozalia</t>
  </si>
  <si>
    <t>441/24.03.2026</t>
  </si>
  <si>
    <t>Nemes Sandor</t>
  </si>
  <si>
    <t>442/24.03.2027</t>
  </si>
  <si>
    <t>Kadar Eniko</t>
  </si>
  <si>
    <t>443/25.03.2025</t>
  </si>
  <si>
    <t>Ambrus Anna Maria</t>
  </si>
  <si>
    <t>444/25.03.2025</t>
  </si>
  <si>
    <t>Red Discount SRL</t>
  </si>
  <si>
    <t>impamantare 2 locatii - achitata</t>
  </si>
  <si>
    <t>445/26.03.2025.</t>
  </si>
  <si>
    <t>Malutan Andrei Cosmin PFA</t>
  </si>
  <si>
    <t>26.04.2025</t>
  </si>
  <si>
    <t>fara dosar prosumator</t>
  </si>
  <si>
    <t>446/26.03.2025</t>
  </si>
  <si>
    <t>Nemes Petruta PFA</t>
  </si>
  <si>
    <t>447/26.03.2025</t>
  </si>
  <si>
    <t>Moldovan I. Corina PFA</t>
  </si>
  <si>
    <t>cladire nefinalizata, fara dosar prosumator</t>
  </si>
  <si>
    <t>448/27.03.2025</t>
  </si>
  <si>
    <t>Surub Trade SRL</t>
  </si>
  <si>
    <t>Mentenanta</t>
  </si>
  <si>
    <t>368/ 2024</t>
  </si>
  <si>
    <t>Laszlo Jozsef</t>
  </si>
  <si>
    <t>449/31.03.2025</t>
  </si>
  <si>
    <t>Szabo Zsuzsa</t>
  </si>
  <si>
    <t>15.04.2025</t>
  </si>
  <si>
    <t>Fara dosar prosumator</t>
  </si>
  <si>
    <t>450/31.03.2025</t>
  </si>
  <si>
    <t>Cristian Zgambau</t>
  </si>
  <si>
    <t>451/31.03.2025</t>
  </si>
  <si>
    <t>Taurean Alexandru</t>
  </si>
  <si>
    <t>452/01.04.2025</t>
  </si>
  <si>
    <t>Sfetcu Ioana Cristina</t>
  </si>
  <si>
    <t>453/02.04.2025</t>
  </si>
  <si>
    <t>Gligor Kinga Melinda</t>
  </si>
  <si>
    <t xml:space="preserve">achita suma total in avans, montam in mai
</t>
  </si>
  <si>
    <t>454/02.04.2025</t>
  </si>
  <si>
    <t>Magic Berry</t>
  </si>
  <si>
    <t>2x Acumulator RENON achitat 50 %</t>
  </si>
  <si>
    <t>455/03.04.2025</t>
  </si>
  <si>
    <t>Baciu Marius Tiberiu</t>
  </si>
  <si>
    <t>04.05.2025</t>
  </si>
  <si>
    <t>456/08.04.2025</t>
  </si>
  <si>
    <t>Kiss-Vass Alexandru</t>
  </si>
  <si>
    <t>31.04.2025</t>
  </si>
  <si>
    <t>inverter deye 8 kw, posibil spor de putere</t>
  </si>
  <si>
    <t>457/08.04.2025</t>
  </si>
  <si>
    <t>Vass Alexandru</t>
  </si>
  <si>
    <t>458/08.04.2025.</t>
  </si>
  <si>
    <t>Shaer Mohamed</t>
  </si>
  <si>
    <t>459/08.04.2025.</t>
  </si>
  <si>
    <t xml:space="preserve">Nagy Szendike </t>
  </si>
  <si>
    <t>460/08.04.2025</t>
  </si>
  <si>
    <t>Manoila Ana- Maria</t>
  </si>
  <si>
    <t>461/08.04.2025</t>
  </si>
  <si>
    <t>Alev Interiors</t>
  </si>
  <si>
    <t>462/08.04.2025</t>
  </si>
  <si>
    <t>Albexed</t>
  </si>
  <si>
    <t>463/10.04.2025</t>
  </si>
  <si>
    <t>Jakab Pal</t>
  </si>
  <si>
    <t>10.05.2025</t>
  </si>
  <si>
    <t>464/11.04.2025</t>
  </si>
  <si>
    <t>Hamar Mihaly</t>
  </si>
  <si>
    <t>Impamantare - achitat integral</t>
  </si>
  <si>
    <t>465/17.04.2025</t>
  </si>
  <si>
    <t>Baroti Jozsef - Claudiu</t>
  </si>
  <si>
    <t>Sistem de stocare 14.33 kW Dyness</t>
  </si>
  <si>
    <t>466/22.04.2025</t>
  </si>
  <si>
    <t>Osvath Sandor</t>
  </si>
  <si>
    <t>22.05.2025</t>
  </si>
  <si>
    <t>fara dosar prosumator, surplusul il va injecta lui Berkeczi</t>
  </si>
  <si>
    <t>467/22.04.2025</t>
  </si>
  <si>
    <t>Berkeczi Imre</t>
  </si>
  <si>
    <t>vecin cu Osvath Sandor</t>
  </si>
  <si>
    <t>468/22.04.2025</t>
  </si>
  <si>
    <t>Top Favorit Comert Mixt</t>
  </si>
  <si>
    <t>469/22.04.2025</t>
  </si>
  <si>
    <t>Gal Barna</t>
  </si>
  <si>
    <t>470/23.04.2025</t>
  </si>
  <si>
    <t>Moldovan Gheorghe</t>
  </si>
  <si>
    <t>471/23.04.2025</t>
  </si>
  <si>
    <t>achitat avans 40%</t>
  </si>
  <si>
    <t>472/28.04.2025</t>
  </si>
  <si>
    <t>Evora Solar  S.R.L.</t>
  </si>
  <si>
    <t>473/29.04.2025</t>
  </si>
  <si>
    <t>Auto Solinvest SRL</t>
  </si>
  <si>
    <t>474/29.04.2025</t>
  </si>
  <si>
    <t>Energosun SRL</t>
  </si>
  <si>
    <t>475/05.05.2025</t>
  </si>
  <si>
    <t>25.07.2025</t>
  </si>
  <si>
    <t>476/05.05.2025</t>
  </si>
  <si>
    <t>Bartrom Exim SRL</t>
  </si>
  <si>
    <t>477/05.05.2025</t>
  </si>
  <si>
    <t>Marton Jozsef</t>
  </si>
  <si>
    <t>3/26.02.2025.</t>
  </si>
  <si>
    <t>Danszek SRL</t>
  </si>
  <si>
    <t>478/09.05.2025</t>
  </si>
  <si>
    <t>Straia Mircea + Cozma Mircea</t>
  </si>
  <si>
    <t>479/12.05.2025</t>
  </si>
  <si>
    <t>avans achitat</t>
  </si>
  <si>
    <t>480/12.05.2025</t>
  </si>
  <si>
    <t>Szakacs Jozsef</t>
  </si>
  <si>
    <t>még nem csináltuk meg a munkát</t>
  </si>
  <si>
    <t>481/12.05.2025</t>
  </si>
  <si>
    <t xml:space="preserve">Janosi Zoltan </t>
  </si>
  <si>
    <t>SEAP</t>
  </si>
  <si>
    <t>4146/07.05.2025.</t>
  </si>
  <si>
    <t>Comuna Panet</t>
  </si>
  <si>
    <t>48433/12.03.2025</t>
  </si>
  <si>
    <t>SNGN Romgaz SA</t>
  </si>
  <si>
    <t>Ciubuca Vlad</t>
  </si>
  <si>
    <t>001SC/26.03.2025.</t>
  </si>
  <si>
    <t>Resalta Energy SRL (Henkel)</t>
  </si>
  <si>
    <t>002SC/14.04.2025</t>
  </si>
  <si>
    <t>Resalta Energy Solar SA (Orsova)</t>
  </si>
  <si>
    <t>482/15.05.2025</t>
  </si>
  <si>
    <t>Laszlo Robert</t>
  </si>
  <si>
    <t>Victron + Renon</t>
  </si>
  <si>
    <t>483/15.05.2025</t>
  </si>
  <si>
    <t>Fekete Ferenc</t>
  </si>
  <si>
    <t>6,37 kW mono</t>
  </si>
  <si>
    <t>484/15.05.2025</t>
  </si>
  <si>
    <t>7,28 kW trif</t>
  </si>
  <si>
    <t>485/16.05.2025</t>
  </si>
  <si>
    <t>Balint ioan</t>
  </si>
  <si>
    <t>6.16 mono</t>
  </si>
  <si>
    <t>486/15.05.2025</t>
  </si>
  <si>
    <t>Kecseti Emeric</t>
  </si>
  <si>
    <t>7.04 mono</t>
  </si>
  <si>
    <t>487/15.05.2025</t>
  </si>
  <si>
    <t>Kecseti Imre</t>
  </si>
  <si>
    <t>7.92 mono</t>
  </si>
  <si>
    <t>488/15.05.2025</t>
  </si>
  <si>
    <t>Bokor Ferenc</t>
  </si>
  <si>
    <t>489/16.05.2025</t>
  </si>
  <si>
    <t>Antal Attila</t>
  </si>
  <si>
    <t>Deye + Renon</t>
  </si>
  <si>
    <t>490/27.05.2025</t>
  </si>
  <si>
    <t>Gurzu Simona</t>
  </si>
  <si>
    <t>491/27.05.2025</t>
  </si>
  <si>
    <t>Navigator Software</t>
  </si>
  <si>
    <t>492/27.05.2025</t>
  </si>
  <si>
    <t>Matemar Comimpex</t>
  </si>
  <si>
    <t>493/27.05.2025</t>
  </si>
  <si>
    <t>Varvara Emil</t>
  </si>
  <si>
    <t>494/29.05.2025</t>
  </si>
  <si>
    <t>S.C. GISCAD CONSULTING S.R.L.</t>
  </si>
  <si>
    <t>Deye 8 kw mono + RENON/ structura sol</t>
  </si>
  <si>
    <t>495/30.05.2025</t>
  </si>
  <si>
    <t>Macavei Liviu</t>
  </si>
  <si>
    <t>496/30.05.2025</t>
  </si>
  <si>
    <t>CLEAN PREST ACTIV SRL</t>
  </si>
  <si>
    <t>497/03.06.2025</t>
  </si>
  <si>
    <t>NUŢU PAMFIL CLAUDIU</t>
  </si>
  <si>
    <t>extindere cu 1 baterie de 5.12 kWh</t>
  </si>
  <si>
    <t>498/03.06.2025</t>
  </si>
  <si>
    <t>499/03.06.2025</t>
  </si>
  <si>
    <t>Debreceni István</t>
  </si>
  <si>
    <t>500/03.06.2025</t>
  </si>
  <si>
    <t>BULINFRONT SRL</t>
  </si>
  <si>
    <t>501/03.06.2025</t>
  </si>
  <si>
    <t>Chetan Carmen</t>
  </si>
  <si>
    <t>502/03.06.2025</t>
  </si>
  <si>
    <t>Panţi Roland</t>
  </si>
  <si>
    <t>AA 01 la ctr  406/</t>
  </si>
  <si>
    <t>Bela</t>
  </si>
  <si>
    <t>503/13.06.2025</t>
  </si>
  <si>
    <t>Tiberiu Glas</t>
  </si>
  <si>
    <t>Szász Béla</t>
  </si>
  <si>
    <t>504/05.06.2025</t>
  </si>
  <si>
    <t>Czinczok Nándor</t>
  </si>
  <si>
    <t>Oli</t>
  </si>
  <si>
    <t>505/05.06.2025</t>
  </si>
  <si>
    <t>MFR TEAM EST S.R.L.</t>
  </si>
  <si>
    <t>506/11.06.2025</t>
  </si>
  <si>
    <t>Deer SA - Brico Holz</t>
  </si>
  <si>
    <t>507/11.06.2025</t>
  </si>
  <si>
    <t>Solar Grid SRL</t>
  </si>
  <si>
    <t>Proiectare CEF 5 MW</t>
  </si>
  <si>
    <t>508/16.06.2025</t>
  </si>
  <si>
    <t>Ciprian Banciu</t>
  </si>
  <si>
    <t>16.07.2025</t>
  </si>
  <si>
    <t>iunie</t>
  </si>
  <si>
    <t>509/17.06.2025</t>
  </si>
  <si>
    <t>Pop Daniela Cornelia</t>
  </si>
  <si>
    <t>10.08.2025</t>
  </si>
  <si>
    <t>montaj in august</t>
  </si>
  <si>
    <t>510/18.06.2025</t>
  </si>
  <si>
    <t>Pascu Mihaly</t>
  </si>
  <si>
    <t>18.07.2025</t>
  </si>
  <si>
    <t>511/17.06.2025.</t>
  </si>
  <si>
    <t>O&amp;D Energy SRL</t>
  </si>
  <si>
    <t>Lucrari tarif racordare+intarire</t>
  </si>
  <si>
    <t>512/17.06.2025.</t>
  </si>
  <si>
    <t>Vove Energy SRL</t>
  </si>
  <si>
    <t>513/05.06.2025</t>
  </si>
  <si>
    <t>Meatprod Mociar SRL</t>
  </si>
  <si>
    <t>514/18.06.2025</t>
  </si>
  <si>
    <t>Pal Peter</t>
  </si>
  <si>
    <t>Sistem Offgrid cu pompa sumersibila</t>
  </si>
  <si>
    <t>515/20.06.2025</t>
  </si>
  <si>
    <t>CONSTRULUX BIRIS SRL</t>
  </si>
  <si>
    <t>fara prosumator</t>
  </si>
  <si>
    <t>516/23.06.2025</t>
  </si>
  <si>
    <t>Irina Lassel</t>
  </si>
  <si>
    <t>stocare 10 kWh</t>
  </si>
  <si>
    <t>doar stocare</t>
  </si>
  <si>
    <t>517/26.06.2025</t>
  </si>
  <si>
    <t>Szentgyörgyi Iosif-NIcolae</t>
  </si>
  <si>
    <t>518/26.06.2025</t>
  </si>
  <si>
    <t>Adrian Stefanescu</t>
  </si>
  <si>
    <t>519/27.06.2025</t>
  </si>
  <si>
    <t>Moldovan Andrada</t>
  </si>
  <si>
    <t>demontat/montat panouri</t>
  </si>
  <si>
    <t>520/30.06.2025</t>
  </si>
  <si>
    <t>Redfruct SRL</t>
  </si>
  <si>
    <t>521/01.07.2025</t>
  </si>
  <si>
    <t>Ariesan Ioan</t>
  </si>
  <si>
    <t>522/04.07.2025</t>
  </si>
  <si>
    <t>Vajda Danila</t>
  </si>
  <si>
    <t>523/03.07.2025</t>
  </si>
  <si>
    <t>Varodi Cristian</t>
  </si>
  <si>
    <t>stocare 16 kWh</t>
  </si>
  <si>
    <t>524/01.07.2025</t>
  </si>
  <si>
    <t>525/01.07.2025</t>
  </si>
  <si>
    <t>Racordare Fervel Energy 4.9MW</t>
  </si>
  <si>
    <t>Lucrari tarif racordare</t>
  </si>
  <si>
    <t>526/03.07.2025</t>
  </si>
  <si>
    <t>Croitor Liviu Valentin</t>
  </si>
  <si>
    <t>extindere pan</t>
  </si>
  <si>
    <t>Janika</t>
  </si>
  <si>
    <t>528/04.07.2025</t>
  </si>
  <si>
    <t>Bellamy Energ SRL</t>
  </si>
  <si>
    <t>5.9 MW</t>
  </si>
  <si>
    <t>527/07.07.2025</t>
  </si>
  <si>
    <t>Ravasz Barna Attila</t>
  </si>
  <si>
    <t>529/08.07.2025</t>
  </si>
  <si>
    <t>Solmara Energ SRL</t>
  </si>
  <si>
    <t>530/08.07.2025</t>
  </si>
  <si>
    <t>Mate Francisc</t>
  </si>
  <si>
    <t>531/10.07.2025</t>
  </si>
  <si>
    <t>Seiv Instal SRL</t>
  </si>
  <si>
    <t>532/11.07.2025</t>
  </si>
  <si>
    <t>Petrea Adrian</t>
  </si>
  <si>
    <t>stocare 5 kWh</t>
  </si>
  <si>
    <t>533/13.07.2025</t>
  </si>
  <si>
    <t>Vultur  Titus Simion</t>
  </si>
  <si>
    <t>534/16.07.2025</t>
  </si>
  <si>
    <t>VINCZEFFY LÓRÁND</t>
  </si>
  <si>
    <t>535/16.07.2025</t>
  </si>
  <si>
    <t>GÖDRI CSABA</t>
  </si>
  <si>
    <t>536/16.07.2025</t>
  </si>
  <si>
    <t>KÁDÁR GYÖRGY</t>
  </si>
  <si>
    <t>537/16.07.2025</t>
  </si>
  <si>
    <t xml:space="preserve">LUCA CORNELIA </t>
  </si>
  <si>
    <t>Valdut</t>
  </si>
  <si>
    <t>538/17.07.2025</t>
  </si>
  <si>
    <t>Pazsin Peter</t>
  </si>
  <si>
    <t>8.1 kWp + 15 kWh</t>
  </si>
  <si>
    <t>dosar prosumator PF + factura PJ</t>
  </si>
  <si>
    <t>539/21.07.2025</t>
  </si>
  <si>
    <t>Viva Fotosolar SRL</t>
  </si>
  <si>
    <t>540/17.07.2025</t>
  </si>
  <si>
    <t>Contract de racordare</t>
  </si>
  <si>
    <t>541/18.07.2025</t>
  </si>
  <si>
    <t>GALCAR PROD SRL - ANA :*</t>
  </si>
  <si>
    <t>iulie</t>
  </si>
  <si>
    <t>542/21.07.2025</t>
  </si>
  <si>
    <t>Stanca Mihai</t>
  </si>
  <si>
    <t>6.3 kWp + 15 kWh</t>
  </si>
  <si>
    <t>montaj pana la sfarsitul lui Iulie</t>
  </si>
  <si>
    <t>543/21.07.2025</t>
  </si>
  <si>
    <t>Kendi Alexandru</t>
  </si>
  <si>
    <t>544/22.07.2025</t>
  </si>
  <si>
    <t>stabilizator</t>
  </si>
  <si>
    <t>545/24.07.2025</t>
  </si>
  <si>
    <t>ADI DRAG TRANS SRL</t>
  </si>
  <si>
    <t>546/24.07.2025</t>
  </si>
  <si>
    <t>Csibi Levente</t>
  </si>
  <si>
    <t>7.2 kWp + 15 kW</t>
  </si>
  <si>
    <t>montaj pe acoperis cu inclinatie Nordica, sistem inaltat</t>
  </si>
  <si>
    <t>547/24.07.2025</t>
  </si>
  <si>
    <t>Baltat Teodor</t>
  </si>
  <si>
    <t>548/24.07.2025</t>
  </si>
  <si>
    <t>NEMES SÁNDOR</t>
  </si>
  <si>
    <t>549/24.07.2025</t>
  </si>
  <si>
    <t>Rusu Marius Florin</t>
  </si>
  <si>
    <t>550/24.07.2025</t>
  </si>
  <si>
    <t xml:space="preserve">Balogh Otto </t>
  </si>
  <si>
    <t>551/24.07.2025</t>
  </si>
  <si>
    <t>Alev Interiors - Bucur Ioana</t>
  </si>
  <si>
    <t>552/24.07.2025</t>
  </si>
  <si>
    <t>Szeghalmi</t>
  </si>
  <si>
    <t>553/24.07.2025</t>
  </si>
  <si>
    <t>Farkas Janos Albert</t>
  </si>
  <si>
    <t>554/24.07.2025</t>
  </si>
  <si>
    <t>Veres Tamas</t>
  </si>
  <si>
    <t>554 B/24.07.2026</t>
  </si>
  <si>
    <t>Csehi Ludovic - Palotas</t>
  </si>
  <si>
    <t>555/24.07.2025</t>
  </si>
  <si>
    <t>556/24.07.2025</t>
  </si>
  <si>
    <t>Veres Imola</t>
  </si>
  <si>
    <t>5 kWp + 15kW</t>
  </si>
  <si>
    <t>557/25.07.2025</t>
  </si>
  <si>
    <t>Szalai Dénes</t>
  </si>
  <si>
    <t>558/25.07.2025</t>
  </si>
  <si>
    <t>Zarecki Zoltán - János</t>
  </si>
  <si>
    <t>559/25.07.2025</t>
  </si>
  <si>
    <t>Zolyomi Krisztian</t>
  </si>
  <si>
    <t>560/28.07.2025</t>
  </si>
  <si>
    <t>TÖRÖK MIHÁLY</t>
  </si>
  <si>
    <t>561/29.07.2025</t>
  </si>
  <si>
    <t>Popoviciu Ovidiu</t>
  </si>
  <si>
    <t>8.1 kWp</t>
  </si>
  <si>
    <t>562/29.07.2025</t>
  </si>
  <si>
    <t>Cirstea Ciprian</t>
  </si>
  <si>
    <t>invertor + baterie</t>
  </si>
  <si>
    <t>564/29.07.2025</t>
  </si>
  <si>
    <t>Fazakas Judit</t>
  </si>
  <si>
    <t>10.8 kWp + 15 kWh</t>
  </si>
  <si>
    <t>565/29.07.2025</t>
  </si>
  <si>
    <t>Hristofor Mircea-Florin</t>
  </si>
  <si>
    <t>august</t>
  </si>
  <si>
    <t>566/01.08.2025</t>
  </si>
  <si>
    <t>Waste Powertech</t>
  </si>
  <si>
    <t>567/06.08.2025</t>
  </si>
  <si>
    <t>TRANS VOL BONA SRL</t>
  </si>
  <si>
    <t>inv + bat</t>
  </si>
  <si>
    <t>568/07.08.2025</t>
  </si>
  <si>
    <t>Ion Ungureanu</t>
  </si>
  <si>
    <t>instalare inv + bat</t>
  </si>
  <si>
    <t>569/07.08.2025</t>
  </si>
  <si>
    <t>POMADENT</t>
  </si>
  <si>
    <t>570/07.08.2025</t>
  </si>
  <si>
    <t>Zalau - instel</t>
  </si>
  <si>
    <t>571/08.08.2025</t>
  </si>
  <si>
    <t>Phoenix MS S.R.L. Filiala Bistrita</t>
  </si>
  <si>
    <t>572/12.08.2025</t>
  </si>
  <si>
    <t>Fazakas Judit Orsolya</t>
  </si>
  <si>
    <t>baterie</t>
  </si>
  <si>
    <t>573/14.08.2025</t>
  </si>
  <si>
    <t>Bálint Tiberiu-Ioan</t>
  </si>
  <si>
    <t>574/18.08.2025</t>
  </si>
  <si>
    <t>Cristian Ludusan</t>
  </si>
  <si>
    <t>montaj + inv</t>
  </si>
  <si>
    <t>Levi/Vladut</t>
  </si>
  <si>
    <t>575/20.08.2025</t>
  </si>
  <si>
    <t>M O N O BAU SRL</t>
  </si>
  <si>
    <t>50.4 kWp</t>
  </si>
  <si>
    <t>576/20.08.2025</t>
  </si>
  <si>
    <t>Stef-Barth Tamas</t>
  </si>
  <si>
    <t>5.3 kW + Velio</t>
  </si>
  <si>
    <t>577/20.08.2025</t>
  </si>
  <si>
    <t>Hotel Axa</t>
  </si>
  <si>
    <t>578/22.08.2025</t>
  </si>
  <si>
    <t>Nagy Ferencz</t>
  </si>
  <si>
    <t>invertor</t>
  </si>
  <si>
    <t>579/22.08.2025</t>
  </si>
  <si>
    <t>Aksera d.o.o.</t>
  </si>
  <si>
    <t>580/27.08.2025</t>
  </si>
  <si>
    <t>FALUVÉGI SÁNDOR-JÓZSEF</t>
  </si>
  <si>
    <t>581/27.08.2025</t>
  </si>
  <si>
    <t>Consus Electric - Nazna</t>
  </si>
  <si>
    <t>582/27.08.2025</t>
  </si>
  <si>
    <t>Consus Electric - Evergreen</t>
  </si>
  <si>
    <t>583/27.08.2025</t>
  </si>
  <si>
    <t>Marta Cofetaria SRL</t>
  </si>
  <si>
    <t>584/27.08.2025</t>
  </si>
  <si>
    <t>Nemes Katalin</t>
  </si>
  <si>
    <t>585/27.08.2025</t>
  </si>
  <si>
    <t>My Power Team</t>
  </si>
  <si>
    <t xml:space="preserve">Vladut </t>
  </si>
  <si>
    <t>586/02.09.2025</t>
  </si>
  <si>
    <t>587/27.08.2025</t>
  </si>
  <si>
    <t>Noroc Si Fericire</t>
  </si>
  <si>
    <t xml:space="preserve">Septembrie </t>
  </si>
  <si>
    <t>588/02.09.2025</t>
  </si>
  <si>
    <t>Bendris Teodor</t>
  </si>
  <si>
    <t>589/02.09.2025</t>
  </si>
  <si>
    <t>Cosmin Nicolescu</t>
  </si>
  <si>
    <t xml:space="preserve">Levi </t>
  </si>
  <si>
    <t>590/02.09.2025</t>
  </si>
  <si>
    <t>Neo - Ciprian Petrule</t>
  </si>
  <si>
    <t>591/03.09.2025</t>
  </si>
  <si>
    <t>MIRALIUS CONT SRL</t>
  </si>
  <si>
    <t>592/03.09.2025</t>
  </si>
  <si>
    <t>Stanciu Adrian</t>
  </si>
  <si>
    <t>5.4 kWp + 10 kWh</t>
  </si>
  <si>
    <t>593/03.09.2025</t>
  </si>
  <si>
    <t>Kálmán Gábor</t>
  </si>
  <si>
    <t>6.3 kW + 15 Velio</t>
  </si>
  <si>
    <t>594/04.09.2025</t>
  </si>
  <si>
    <t>Szasz Tibor</t>
  </si>
  <si>
    <t>6.3 kW</t>
  </si>
  <si>
    <t>595/09.09.2025</t>
  </si>
  <si>
    <t>Szel-Mob SRL</t>
  </si>
  <si>
    <t>596/09.09.2025</t>
  </si>
  <si>
    <t>Fomco Solar Systems</t>
  </si>
  <si>
    <t>597/12.09.2025</t>
  </si>
  <si>
    <t xml:space="preserve">Szép Attila </t>
  </si>
  <si>
    <t>598/12.09.2025</t>
  </si>
  <si>
    <t>Kerekes Nicolae</t>
  </si>
  <si>
    <t>599/12.09.2025</t>
  </si>
  <si>
    <t>Nagy Csaba</t>
  </si>
  <si>
    <t>600/12.09.2025</t>
  </si>
  <si>
    <t>Buliga Nicu Valentin</t>
  </si>
  <si>
    <t>601/19.09.2025</t>
  </si>
  <si>
    <t>ILEA PETRU CONSTANTIN</t>
  </si>
  <si>
    <t>602/19.09.2025</t>
  </si>
  <si>
    <t>603/19.09.2025</t>
  </si>
  <si>
    <t>GCIT SA</t>
  </si>
  <si>
    <t>604/19.09.2025</t>
  </si>
  <si>
    <t>605/22.09.2025</t>
  </si>
  <si>
    <t>15 kWh</t>
  </si>
  <si>
    <t>instalarea la aceeasi locatie cu Farcas Viorel</t>
  </si>
  <si>
    <t>606/22.09.2025</t>
  </si>
  <si>
    <t>Farcas Viorel</t>
  </si>
  <si>
    <t>invertor 10 kW</t>
  </si>
  <si>
    <t>607/24.09.2025</t>
  </si>
  <si>
    <t>Fodor Tibor</t>
  </si>
  <si>
    <t>baterie huawei</t>
  </si>
  <si>
    <t>608/25.09.2025</t>
  </si>
  <si>
    <t>Lokodi Levente</t>
  </si>
  <si>
    <t>609 /25.09.2025</t>
  </si>
  <si>
    <t>AGROFARM TURIA COOPERATIVA AGRICOLĂ</t>
  </si>
  <si>
    <t>610 /29.09.2025</t>
  </si>
  <si>
    <t>Gyarfas Mihaly</t>
  </si>
  <si>
    <t>611/29.09.2025</t>
  </si>
  <si>
    <t>Deer SA - Solar Grid SRL</t>
  </si>
  <si>
    <t>612/30.09.2025</t>
  </si>
  <si>
    <t>extindere panouri si inlocuire baterie</t>
  </si>
  <si>
    <t>613/30.09.2025</t>
  </si>
  <si>
    <t>Barabasi Vencel</t>
  </si>
  <si>
    <t>Sisitem 7,2 + 15,36</t>
  </si>
  <si>
    <t>achita in transe: 1 tr 50% 2 tr 25% 3 tr 25%</t>
  </si>
  <si>
    <t>410476/22.09.2025</t>
  </si>
  <si>
    <t>PPC Energie SA</t>
  </si>
  <si>
    <t>614/01.10.2025</t>
  </si>
  <si>
    <t>PÁSKUJ MIHÁLY ANDRÁS</t>
  </si>
  <si>
    <t>STRADA PREDEAL 1</t>
  </si>
  <si>
    <t>615/01.10.2025</t>
  </si>
  <si>
    <t>STRADA DEVA 10</t>
  </si>
  <si>
    <t>616/01.10.2025</t>
  </si>
  <si>
    <t>Claudiu Secareanu</t>
  </si>
  <si>
    <t>617/03.10.2025</t>
  </si>
  <si>
    <t>Sarkadi Szilard</t>
  </si>
  <si>
    <t>618/06.10.2025</t>
  </si>
  <si>
    <t>Ungvari Andras Janos</t>
  </si>
  <si>
    <t>baterie 10 kWh Huawei</t>
  </si>
  <si>
    <t>619/06.10.2025</t>
  </si>
  <si>
    <t>Evora Center</t>
  </si>
  <si>
    <t>620/07.10.2025</t>
  </si>
  <si>
    <t>621/09.10.2025</t>
  </si>
  <si>
    <t>Radu Vasile Ioan</t>
  </si>
  <si>
    <t>622/10.10.2025</t>
  </si>
  <si>
    <t>extindere panouri</t>
  </si>
  <si>
    <t>623/10.10.2025</t>
  </si>
  <si>
    <t>Vasile Rotar</t>
  </si>
  <si>
    <t>624/16.10.2025</t>
  </si>
  <si>
    <t>Mozes Marcela</t>
  </si>
  <si>
    <t>invertor 6kw Mono + velionic</t>
  </si>
  <si>
    <t>jud. HR, Eliseni nr 130</t>
  </si>
  <si>
    <t>625/17.10.2025</t>
  </si>
  <si>
    <t>Velionic</t>
  </si>
  <si>
    <t>626/20.10.2025</t>
  </si>
  <si>
    <t>Coltea Teodor</t>
  </si>
  <si>
    <t>Deye 6 kW + Velionic</t>
  </si>
  <si>
    <t>627/21.10.2025</t>
  </si>
  <si>
    <t>5.8 MW + Stocare 5 MW</t>
  </si>
  <si>
    <t>628/22.10.2025</t>
  </si>
  <si>
    <t>Electroservice VTU SRL</t>
  </si>
  <si>
    <t>37.7 kWp la sol</t>
  </si>
  <si>
    <t>629/22.10.2025</t>
  </si>
  <si>
    <t>VULTUR TITUS SIMION</t>
  </si>
  <si>
    <t>630/22.10.2025</t>
  </si>
  <si>
    <t>Bölöni Csaba</t>
  </si>
  <si>
    <t>631/23.10.2025</t>
  </si>
  <si>
    <t>Tantos Diana</t>
  </si>
  <si>
    <t>VICTRON + VELIONIC</t>
  </si>
  <si>
    <t>632/23.10.2025</t>
  </si>
  <si>
    <t>extindere 2.2 kWp</t>
  </si>
  <si>
    <t>633/23.10.2025</t>
  </si>
  <si>
    <t>Szasz Jozsef</t>
  </si>
  <si>
    <t>deye 6kw + Velionic</t>
  </si>
  <si>
    <t>str Plaiului nr 3, Targu Mures</t>
  </si>
  <si>
    <t>634/23.10.2025</t>
  </si>
  <si>
    <t>Vida Gusztáv</t>
  </si>
  <si>
    <t>635/30.10.2025</t>
  </si>
  <si>
    <t>Stoica Adrian</t>
  </si>
  <si>
    <t>9 kWp + 15 kWh</t>
  </si>
  <si>
    <t>636/31.10.2025</t>
  </si>
  <si>
    <t>Tudorache Ioan</t>
  </si>
  <si>
    <t>TGM, str Voinicenilor 103</t>
  </si>
  <si>
    <t>637/04.11.2025</t>
  </si>
  <si>
    <t>Gyarmati Ioan</t>
  </si>
  <si>
    <t>638/05.11.2025</t>
  </si>
  <si>
    <t>Adi Drag TRANS SRL</t>
  </si>
  <si>
    <t>639/05.11.2025</t>
  </si>
  <si>
    <t>Bartalis Robert</t>
  </si>
  <si>
    <t>640/05.11.2025</t>
  </si>
  <si>
    <t>Duplenschi Ioan</t>
  </si>
  <si>
    <t>extindere 7.2 kWp + velionic</t>
  </si>
  <si>
    <t>641/06.11.2025</t>
  </si>
  <si>
    <t>Vușcan Nicolae-Doru</t>
  </si>
  <si>
    <t>invertor 15kWh tri + 2x Velionic</t>
  </si>
  <si>
    <t>Gherla, str Clujului 48</t>
  </si>
  <si>
    <t>642/06.11.2025</t>
  </si>
  <si>
    <t>Friczi Carol</t>
  </si>
  <si>
    <t>643/06.11.2025</t>
  </si>
  <si>
    <t>Gall Emil</t>
  </si>
  <si>
    <t>invertor tri 15kWh +Velionic</t>
  </si>
  <si>
    <t>Brasov, str Ioan Socec 27</t>
  </si>
  <si>
    <t>644/06.11.2025</t>
  </si>
  <si>
    <t xml:space="preserve">VASANA PREMIUM CONCEPT </t>
  </si>
  <si>
    <t>645/06.11.2025</t>
  </si>
  <si>
    <t>646/06.11.2025</t>
  </si>
  <si>
    <t>Bondor Csaba</t>
  </si>
  <si>
    <t>647/06.11.2025</t>
  </si>
  <si>
    <t>Smart Mobile World</t>
  </si>
  <si>
    <t>648/06.11.2025</t>
  </si>
  <si>
    <t>Szakacs Iosif</t>
  </si>
  <si>
    <t>649/07.11.2025</t>
  </si>
  <si>
    <t>Energo Impex SRL</t>
  </si>
  <si>
    <t>650/10.11.2025</t>
  </si>
  <si>
    <t>Monito Instal SRL</t>
  </si>
  <si>
    <t>invertor mono 6 + 2x Velionic</t>
  </si>
  <si>
    <t>651/10.11.2025</t>
  </si>
  <si>
    <t>Raducea Cristina</t>
  </si>
  <si>
    <t>extindere 2.7 kWp + Velionic</t>
  </si>
  <si>
    <t>652/11.11.2025</t>
  </si>
  <si>
    <t>Oblaza SRL</t>
  </si>
  <si>
    <t>acumulator 261 kW + PIF</t>
  </si>
  <si>
    <t>653/12.11.2025</t>
  </si>
  <si>
    <t>Kacso Sandor</t>
  </si>
  <si>
    <t>9 kWp cu velionic</t>
  </si>
  <si>
    <t>62/654/12.11.2025</t>
  </si>
  <si>
    <t>HEXBOLT SRL</t>
  </si>
  <si>
    <t>ctr 62 / 15 kWp cu 2 buc Velionic</t>
  </si>
  <si>
    <t>contract de finantare</t>
  </si>
  <si>
    <t>655/13.11.2025</t>
  </si>
  <si>
    <t>HENAROX INSTAL SRL</t>
  </si>
  <si>
    <t>7.65 kWp</t>
  </si>
  <si>
    <t>656/14.11.2025</t>
  </si>
  <si>
    <t>Toma Lucian</t>
  </si>
  <si>
    <t>657/14.11.2025</t>
  </si>
  <si>
    <t>Nemes Ioan Silviu</t>
  </si>
  <si>
    <t>658/14.11.2025</t>
  </si>
  <si>
    <t>Zsigmond Sara</t>
  </si>
  <si>
    <t>659/19.11.2025</t>
  </si>
  <si>
    <t>extindere</t>
  </si>
  <si>
    <t>660/20.11.2025</t>
  </si>
  <si>
    <t>Ionita Dan Ioan</t>
  </si>
  <si>
    <t>661/20.11.2025</t>
  </si>
  <si>
    <t>Popoviciu Eugen</t>
  </si>
  <si>
    <t>662/20.11.2025</t>
  </si>
  <si>
    <t>EVORA CENTER</t>
  </si>
  <si>
    <t>3xVictron + Velionic</t>
  </si>
  <si>
    <t>663/25.11.2025</t>
  </si>
  <si>
    <t xml:space="preserve">Tölgyesi József </t>
  </si>
  <si>
    <t>664/26.11.2025</t>
  </si>
  <si>
    <t xml:space="preserve">Evora Center SRL </t>
  </si>
  <si>
    <t>665/26.11.2025</t>
  </si>
  <si>
    <t>Sugar Ioan</t>
  </si>
  <si>
    <t>666/27.11.2025</t>
  </si>
  <si>
    <t>Fazakas Levente</t>
  </si>
  <si>
    <t>667/28.11.2025</t>
  </si>
  <si>
    <t>ALMONDA SRL</t>
  </si>
  <si>
    <t>668/28.11.2025</t>
  </si>
  <si>
    <t>Operare si mentenanta pt DEER</t>
  </si>
  <si>
    <t>669/01.12.2025</t>
  </si>
  <si>
    <t>Coman Alexandru</t>
  </si>
  <si>
    <t>7.2 kWp + Velionic</t>
  </si>
  <si>
    <t>Oszkar + Zoli</t>
  </si>
  <si>
    <t>670/02.12.2025</t>
  </si>
  <si>
    <t>Biro Barna</t>
  </si>
  <si>
    <t>6,3 kW + Velionic + impamant.</t>
  </si>
  <si>
    <t>671/02.12.2025</t>
  </si>
  <si>
    <t>FERMA BARAT-REM SRL</t>
  </si>
  <si>
    <t>672/09.12.2025</t>
  </si>
  <si>
    <t>Bucuresti - montare echipa Tomele</t>
  </si>
  <si>
    <t>673/10.12.2025</t>
  </si>
  <si>
    <t>674/11.12.2025</t>
  </si>
  <si>
    <t>Argya Attila</t>
  </si>
  <si>
    <t>7.2 kWp + Velio</t>
  </si>
  <si>
    <t>675/15.12.2025</t>
  </si>
  <si>
    <t>Izsák Arnold</t>
  </si>
  <si>
    <t>8.1 kWp + Velio</t>
  </si>
  <si>
    <t>676/17.12.2025</t>
  </si>
  <si>
    <t>677/17.12.2025</t>
  </si>
  <si>
    <t>Iluminat supraveghere SGM</t>
  </si>
  <si>
    <t>Vlad  Ciubuca</t>
  </si>
  <si>
    <t>678/19.12.2025</t>
  </si>
  <si>
    <t>Badescu Gheorghe</t>
  </si>
  <si>
    <t>679/19.12.2025</t>
  </si>
  <si>
    <t>680/19.12.2025</t>
  </si>
  <si>
    <t>Neo Group Industry SRL</t>
  </si>
  <si>
    <t>681/19.12.2025</t>
  </si>
  <si>
    <t>Productie Kodek SRL</t>
  </si>
  <si>
    <t>682/13.01.2026</t>
  </si>
  <si>
    <t>Contranct de servicii Proiectare Primaria Galesti</t>
  </si>
  <si>
    <t>683/14.01.2026</t>
  </si>
  <si>
    <t>S.C. NOVUS ENG SRL</t>
  </si>
  <si>
    <t>684/15.01.2026</t>
  </si>
  <si>
    <t>SC AEV Difero SRL</t>
  </si>
  <si>
    <t>relocare baterie</t>
  </si>
  <si>
    <t>685/16.01.2026</t>
  </si>
  <si>
    <t>Seisim Serv SRL</t>
  </si>
  <si>
    <t>Contract de mentenanta SDAI</t>
  </si>
  <si>
    <t>686/19.01.2026</t>
  </si>
  <si>
    <t>Bodoni Attila</t>
  </si>
  <si>
    <t>sistem HYBRID 8.1 kw + Velionic</t>
  </si>
  <si>
    <t>687/19.01.2026</t>
  </si>
  <si>
    <t>Nagy László</t>
  </si>
  <si>
    <t>Deye + Velio</t>
  </si>
  <si>
    <t>688/27.01.2026</t>
  </si>
  <si>
    <t>SC TOMMYDENT SRL</t>
  </si>
  <si>
    <t>689/27.01.2026</t>
  </si>
  <si>
    <t>Nagy Eva Henrietta</t>
  </si>
  <si>
    <t>690/28.01.2026</t>
  </si>
  <si>
    <t>Fomco Imobiliare SRL</t>
  </si>
  <si>
    <t>691/29.01.2026</t>
  </si>
  <si>
    <t>Katona Zsolt -  Bolyai</t>
  </si>
  <si>
    <t>692/29.01.2026</t>
  </si>
  <si>
    <t>Katona Zsolt -  Szentgyorgy</t>
  </si>
  <si>
    <t>693/30.01.2026</t>
  </si>
  <si>
    <t>PERFORMDOOR S.R.L.</t>
  </si>
  <si>
    <t>6.75 kWp + 30 kWh</t>
  </si>
  <si>
    <t>694/02.02.2026</t>
  </si>
  <si>
    <t>Pal Zsolt</t>
  </si>
  <si>
    <t>Velionic + montaj</t>
  </si>
  <si>
    <t>695/03.02.2026</t>
  </si>
  <si>
    <t>PENSIUNEA HUBERTUS COM</t>
  </si>
  <si>
    <t>17.1 kWp + 30 kWh</t>
  </si>
  <si>
    <t>696/04.02.2026</t>
  </si>
  <si>
    <t>Feher Marghit</t>
  </si>
  <si>
    <t>697/05.02.2026</t>
  </si>
  <si>
    <t>Costin Alexandru</t>
  </si>
  <si>
    <t>698/05.02.2026</t>
  </si>
  <si>
    <t>Szasz Ildiko Timea</t>
  </si>
  <si>
    <t>7.2 kWp + Deye + Velio</t>
  </si>
  <si>
    <t>699/05.02.2026</t>
  </si>
  <si>
    <t>Racz Attila</t>
  </si>
  <si>
    <t>14 kWp + deye + 20 kWh HV</t>
  </si>
  <si>
    <t>700/05.02.2026</t>
  </si>
  <si>
    <t>Marius Alexandru Moga</t>
  </si>
  <si>
    <t>10.8 + deye + 2 velio</t>
  </si>
  <si>
    <t>701/05.02.2027</t>
  </si>
  <si>
    <t>Cornel Daniel Varga</t>
  </si>
  <si>
    <t>Fronius on grid</t>
  </si>
  <si>
    <t>702/05.02.2027</t>
  </si>
  <si>
    <t>Ergom SRL</t>
  </si>
  <si>
    <t>februarie</t>
  </si>
  <si>
    <t>703/05.02.2026</t>
  </si>
  <si>
    <t>RUSEVI</t>
  </si>
  <si>
    <t>stocare 261 kWh + STS</t>
  </si>
  <si>
    <t>704/06.02.2026</t>
  </si>
  <si>
    <t>Bandi József</t>
  </si>
  <si>
    <t>Suplimetare 4 panouri</t>
  </si>
  <si>
    <t>705/06.02.2026</t>
  </si>
  <si>
    <t>Nemes Katalin Dalma</t>
  </si>
  <si>
    <t>Satie de incarcare 7.4 kWp</t>
  </si>
  <si>
    <t>706/13.02.2026</t>
  </si>
  <si>
    <t>Sistem fotov 6.3cu stocare15</t>
  </si>
  <si>
    <t>707/13.02.2026</t>
  </si>
  <si>
    <t>S.C. ADI DRAG TRANS S.R.L</t>
  </si>
  <si>
    <t>30.15 kWp ON-GRID</t>
  </si>
  <si>
    <t>708/16.02.2026.</t>
  </si>
  <si>
    <t>Daniel Breaza - Talea</t>
  </si>
  <si>
    <t>Moni</t>
  </si>
  <si>
    <t>709/18.02.2026</t>
  </si>
  <si>
    <t>Montana Campeni</t>
  </si>
  <si>
    <t>710/19.02.2026</t>
  </si>
  <si>
    <t>SC ARIEL TURISM SERV S.R.L.</t>
  </si>
  <si>
    <t>Sistem BMS</t>
  </si>
  <si>
    <t>711/23.02.2026</t>
  </si>
  <si>
    <t>Varodi Vasile</t>
  </si>
  <si>
    <t>6.3 kwp + velionic</t>
  </si>
  <si>
    <t>712/23.02.2026</t>
  </si>
  <si>
    <t xml:space="preserve">Popovici Virgil Ernest </t>
  </si>
  <si>
    <t>713/24.02.2026</t>
  </si>
  <si>
    <t>Coman Ioan</t>
  </si>
  <si>
    <t>extindere 7 panouri</t>
  </si>
  <si>
    <t>714/24.02.2026</t>
  </si>
  <si>
    <t>Dionosie Pitis</t>
  </si>
  <si>
    <t>6.3 kWp + Velio</t>
  </si>
  <si>
    <t>715/26.02.2026</t>
  </si>
  <si>
    <t>Iuhos Peter</t>
  </si>
  <si>
    <t>716/27.02.2026</t>
  </si>
  <si>
    <t>2 baterii Deye LV</t>
  </si>
  <si>
    <t>717/28.02.2026</t>
  </si>
  <si>
    <t>Dorinel Constantin Toma</t>
  </si>
  <si>
    <t>Sistemul CAVE care-l platim noi partial</t>
  </si>
  <si>
    <t>718/02.03.2026</t>
  </si>
  <si>
    <t>Kelem Zoltan</t>
  </si>
  <si>
    <t>719/03.03.2026</t>
  </si>
  <si>
    <t>Fulva Energy SRL</t>
  </si>
  <si>
    <t>720/03.03.2026</t>
  </si>
  <si>
    <t>ADD Solar Energy SRL</t>
  </si>
  <si>
    <t>721/09.03.2026</t>
  </si>
  <si>
    <t>statie incarcare 11 kW DELTA</t>
  </si>
  <si>
    <t>722/10.03.2026</t>
  </si>
  <si>
    <t>Automatizare</t>
  </si>
  <si>
    <t>723/10.03.2026</t>
  </si>
  <si>
    <t>Marius Patea</t>
  </si>
  <si>
    <t>724/10.03.2026</t>
  </si>
  <si>
    <t>725/10.03.2026</t>
  </si>
  <si>
    <t>Ahlener</t>
  </si>
  <si>
    <t>726/10.03.2026</t>
  </si>
  <si>
    <t>Ionascu Titu</t>
  </si>
  <si>
    <t>727/10.03.2026</t>
  </si>
  <si>
    <t>Pomadent</t>
  </si>
  <si>
    <t>728/10.03.2026</t>
  </si>
  <si>
    <t>Aty &amp; Ely Auto SRL</t>
  </si>
  <si>
    <t>729/10.03.2026</t>
  </si>
  <si>
    <t xml:space="preserve">Zita Gheorghe </t>
  </si>
  <si>
    <t>730/12.03.2026</t>
  </si>
  <si>
    <t>Tampanariu</t>
  </si>
  <si>
    <t>731/12.03.2026</t>
  </si>
  <si>
    <t>Keresztes Sandor</t>
  </si>
  <si>
    <t>732/12.03.2026</t>
  </si>
  <si>
    <t>S.C. INTERCOOP S.R.L.</t>
  </si>
  <si>
    <t>Mentananta 21.16 kW</t>
  </si>
  <si>
    <t>Mentenanta anuala</t>
  </si>
  <si>
    <t>733/13.03.2026</t>
  </si>
  <si>
    <t>optimizatoare</t>
  </si>
  <si>
    <t>734/16.03.2026</t>
  </si>
  <si>
    <t>Fazakas Orsolya Judit (Attila)</t>
  </si>
  <si>
    <t>735/17.03.2026</t>
  </si>
  <si>
    <t>Geréb István</t>
  </si>
  <si>
    <t>736/19.03.2026</t>
  </si>
  <si>
    <t>Kiss Barna</t>
  </si>
  <si>
    <t>5 kw</t>
  </si>
  <si>
    <t xml:space="preserve">Martie </t>
  </si>
  <si>
    <t>737/19.03.2026</t>
  </si>
  <si>
    <t>Falco Energy SRL</t>
  </si>
  <si>
    <t>BESS 7.5 MW</t>
  </si>
  <si>
    <t>738/1377/19.03.2026</t>
  </si>
  <si>
    <t>Comuna Bunesti</t>
  </si>
  <si>
    <t>Parc fotovoltaic 300 kWp</t>
  </si>
  <si>
    <t>739/19.03.2026</t>
  </si>
  <si>
    <t>Kacso Gergely</t>
  </si>
  <si>
    <t>10 panouri + structura</t>
  </si>
  <si>
    <t>740/19.03.2026</t>
  </si>
  <si>
    <t>Structura + manopera 460kW</t>
  </si>
  <si>
    <t>741/20.03.2026</t>
  </si>
  <si>
    <t>RIVERSIDE MURES SRL Liviu Beresescu</t>
  </si>
  <si>
    <t>742/20.03.2026</t>
  </si>
  <si>
    <t>Cofariu Marcel</t>
  </si>
  <si>
    <t>8 kWp + 15 kWh mono</t>
  </si>
  <si>
    <t>743/24.03.2026</t>
  </si>
  <si>
    <t>11.7 kWp + 15 kWh mono</t>
  </si>
  <si>
    <t>744/24.03.2026</t>
  </si>
  <si>
    <t>Esco Burger - Batizan</t>
  </si>
  <si>
    <t>745/24.03.2026</t>
  </si>
  <si>
    <t>Ötvös Boldizsar</t>
  </si>
  <si>
    <t>746/24.03.2026</t>
  </si>
  <si>
    <t>Cosmin Ungur</t>
  </si>
  <si>
    <t>747/24.03.2026</t>
  </si>
  <si>
    <t>Velionic 15 kWh</t>
  </si>
  <si>
    <t>748/24.03.2026</t>
  </si>
  <si>
    <t>Leszai Lehel</t>
  </si>
  <si>
    <t xml:space="preserve">16.2 kWp + 30 kWh </t>
  </si>
  <si>
    <t>749/24.03.2026</t>
  </si>
  <si>
    <t>Paskuj koronka</t>
  </si>
  <si>
    <t>750/25.03.2026</t>
  </si>
  <si>
    <t>Asiciatia de proprietari 561</t>
  </si>
  <si>
    <t>751/25.03.2026</t>
  </si>
  <si>
    <t>Patka</t>
  </si>
  <si>
    <t>752/26.03.2026</t>
  </si>
  <si>
    <t>Mandoki Istvan</t>
  </si>
  <si>
    <t>753/26.03.2026</t>
  </si>
  <si>
    <t xml:space="preserve">Binale Stratificate SRL </t>
  </si>
  <si>
    <t>754/26.03.2026</t>
  </si>
  <si>
    <t>Kállai Béla Zoltan</t>
  </si>
  <si>
    <t>755/30.03.2026</t>
  </si>
  <si>
    <t>SOLARTECH SIMO S.R.L</t>
  </si>
  <si>
    <t>756/31.03.2026</t>
  </si>
  <si>
    <t>Fazakas Ferencz</t>
  </si>
  <si>
    <t>757/31.03.2026</t>
  </si>
  <si>
    <t>Toth Carol-Ladislau</t>
  </si>
  <si>
    <t>Suma totala contine si diferenta din AA1</t>
  </si>
  <si>
    <t>758/01.04.2026</t>
  </si>
  <si>
    <t>Nicolae Fatu</t>
  </si>
  <si>
    <t>759/01.04.2026</t>
  </si>
  <si>
    <t>WASTE POWERTECH (Szakacs Janos)</t>
  </si>
  <si>
    <t>disc 10% Levente</t>
  </si>
  <si>
    <t>760/02.04.2026</t>
  </si>
  <si>
    <t>BESS 15 MWh</t>
  </si>
  <si>
    <t>761/02.04.2026</t>
  </si>
  <si>
    <t>Tothcar Company Impex SRL</t>
  </si>
  <si>
    <t>762/07.04.2026</t>
  </si>
  <si>
    <t>Szots Istvan Attila</t>
  </si>
  <si>
    <t xml:space="preserve">7.2 kWp </t>
  </si>
  <si>
    <t>763/07.04.2026</t>
  </si>
  <si>
    <t>Toth Marton</t>
  </si>
  <si>
    <t>6.3 kWp + DEye 6 + Velio</t>
  </si>
  <si>
    <t>764/08.04.2026</t>
  </si>
  <si>
    <t>Elmix SRL</t>
  </si>
  <si>
    <t>8.1 kWp + Deye 10 + Velio</t>
  </si>
  <si>
    <t>765/08.04.2026</t>
  </si>
  <si>
    <t>Gal Reka</t>
  </si>
  <si>
    <t>Extindere Deye+ Velio</t>
  </si>
  <si>
    <t>766/08.04.2026</t>
  </si>
  <si>
    <t>Cofetaria Marta</t>
  </si>
  <si>
    <t>1 Velio</t>
  </si>
  <si>
    <t>767/08.04.2026</t>
  </si>
  <si>
    <t>Denes Marton Attila</t>
  </si>
  <si>
    <t>PRAM</t>
  </si>
  <si>
    <t>768/08.04.2026</t>
  </si>
  <si>
    <t>ABINIM SRL</t>
  </si>
  <si>
    <t>769/08.04.2026</t>
  </si>
  <si>
    <t>Mayer Gerhard</t>
  </si>
  <si>
    <t>770/08.04.2026</t>
  </si>
  <si>
    <t>Kovacs Jozsef</t>
  </si>
  <si>
    <t>771/09.04.2026</t>
  </si>
  <si>
    <t>8 panouri</t>
  </si>
  <si>
    <t>772/09.04.2026</t>
  </si>
  <si>
    <t>120 kWp + 100 kWh + 2 x Deye 50</t>
  </si>
  <si>
    <t>773/09.04.2026</t>
  </si>
  <si>
    <t>Vaida Danila</t>
  </si>
  <si>
    <t>remontare sistem</t>
  </si>
  <si>
    <t xml:space="preserve">Zoli </t>
  </si>
  <si>
    <t>774/09.04.2026</t>
  </si>
  <si>
    <t>Balazs Endre - Navigator</t>
  </si>
  <si>
    <t>Zoli + Oszkar</t>
  </si>
  <si>
    <t>775/14.04.2026</t>
  </si>
  <si>
    <t>Kovacs Carol</t>
  </si>
  <si>
    <t>776/15.04.2026</t>
  </si>
  <si>
    <t>Seisim Serv</t>
  </si>
  <si>
    <t>Pontaj</t>
  </si>
  <si>
    <t>777/16.04.2026</t>
  </si>
  <si>
    <t>Magyari József</t>
  </si>
  <si>
    <t>778/16.04.2026</t>
  </si>
  <si>
    <t>TRANS VOL BONA</t>
  </si>
  <si>
    <t>statie incarcare</t>
  </si>
  <si>
    <t>779/20.04.2026</t>
  </si>
  <si>
    <t>Consus Electric (Mirdatod)</t>
  </si>
  <si>
    <t>780/20.04.2026</t>
  </si>
  <si>
    <t>Hanc Stefan</t>
  </si>
  <si>
    <t>DEOCAMDATA PE PAUZA 11618</t>
  </si>
  <si>
    <t>781/20.04.2026</t>
  </si>
  <si>
    <t>B&amp;B Agro Holding SRL</t>
  </si>
  <si>
    <t>BESS - 9 MW</t>
  </si>
  <si>
    <t>782/21.04.2026</t>
  </si>
  <si>
    <t>PKD GRUP SRL</t>
  </si>
  <si>
    <t>3 x VICTRON</t>
  </si>
  <si>
    <t>783/22.04.2026</t>
  </si>
  <si>
    <t>Almonda Adrianu Mic</t>
  </si>
  <si>
    <t>784/23.04.2026</t>
  </si>
  <si>
    <t>Mezosi Mihaela</t>
  </si>
  <si>
    <t>8.1 kWp + 15 kWh + statie incarcare</t>
  </si>
  <si>
    <t>785/24.04.2026</t>
  </si>
  <si>
    <t>SC DROKER SRL</t>
  </si>
  <si>
    <t xml:space="preserve">Mentenanta 0.9MW </t>
  </si>
  <si>
    <t>786/24.04.2026</t>
  </si>
  <si>
    <t>SC ROMOUNTAINS SRL</t>
  </si>
  <si>
    <t>Mentenanta 0.25 MW</t>
  </si>
  <si>
    <t>787/28.04.2026</t>
  </si>
  <si>
    <t>Mihaila Rares Mihai</t>
  </si>
  <si>
    <t>7.2 kWp + 15 kWh</t>
  </si>
  <si>
    <t>788 / 29.04.2026</t>
  </si>
  <si>
    <t>789/30.04.2026</t>
  </si>
  <si>
    <t>Mirea Razvan Cristian</t>
  </si>
  <si>
    <t>15.3 kWp + 30 kWh</t>
  </si>
  <si>
    <t>790/30.04.2026</t>
  </si>
  <si>
    <t>Parc Termo 2022 SRL - Racordare</t>
  </si>
  <si>
    <t>Lucrari Tarif racordare DEER</t>
  </si>
  <si>
    <t>791/04.05.2026</t>
  </si>
  <si>
    <t>Contract racordare Levi</t>
  </si>
  <si>
    <t>792/04.05.2026</t>
  </si>
  <si>
    <t>2x Velionic + montaj</t>
  </si>
  <si>
    <t>793/04.05.2026</t>
  </si>
  <si>
    <t>Isfanoi Trif Laurean</t>
  </si>
  <si>
    <t>velionic</t>
  </si>
  <si>
    <t>794/04.05.2026</t>
  </si>
  <si>
    <t>Uta Zoltan Szabolcs</t>
  </si>
  <si>
    <t>795/06.05.2026</t>
  </si>
  <si>
    <t>Fustos  Lucian</t>
  </si>
  <si>
    <t>796/06.05.2026</t>
  </si>
  <si>
    <t xml:space="preserve">HNG Solar </t>
  </si>
  <si>
    <t>BESS 2 MW</t>
  </si>
  <si>
    <t>797/07.05.2026</t>
  </si>
  <si>
    <t>Prodcarmi</t>
  </si>
  <si>
    <t>798/07.05.2026</t>
  </si>
  <si>
    <t xml:space="preserve">Esco Burger </t>
  </si>
  <si>
    <t>1 Velionic</t>
  </si>
  <si>
    <t>799/08.05.2026</t>
  </si>
  <si>
    <t>Proelcons SRL</t>
  </si>
  <si>
    <t>800/08.05.2026</t>
  </si>
  <si>
    <t>Catalin Ticulescu</t>
  </si>
  <si>
    <t>deye 8 kw + velionic</t>
  </si>
  <si>
    <t xml:space="preserve">a renuntat </t>
  </si>
  <si>
    <t>801/08.05.2026</t>
  </si>
  <si>
    <t xml:space="preserve">Erszényi Zoltán </t>
  </si>
  <si>
    <t>802/11.05.2026</t>
  </si>
  <si>
    <t>R &amp; R BETH SRL</t>
  </si>
  <si>
    <t>803/11.05.2026</t>
  </si>
  <si>
    <t>804/11.05.2026</t>
  </si>
  <si>
    <t>interventie sistem</t>
  </si>
  <si>
    <t>805/14.05.2026</t>
  </si>
  <si>
    <t>806/14.05.2026</t>
  </si>
  <si>
    <t>Vasile Excavari PFA</t>
  </si>
  <si>
    <t>200 ron / ora</t>
  </si>
  <si>
    <t>807/14.05.2026</t>
  </si>
  <si>
    <t>Both Ioan</t>
  </si>
  <si>
    <t>808/18.05.2026</t>
  </si>
  <si>
    <t>Klosz Balint</t>
  </si>
  <si>
    <t>809/19.05.2026</t>
  </si>
  <si>
    <t>Pantics Attila Csaba</t>
  </si>
  <si>
    <t>810/19.05.2026</t>
  </si>
  <si>
    <t>Kamilla panzio</t>
  </si>
  <si>
    <t>811/20.05.2026</t>
  </si>
  <si>
    <t>5.40 kW + Velionic</t>
  </si>
  <si>
    <t>812/20.05.2026</t>
  </si>
  <si>
    <t>SC Petcons Project SRL</t>
  </si>
  <si>
    <t>813/20.05.2026</t>
  </si>
  <si>
    <t>Szente Szabolcs</t>
  </si>
  <si>
    <t>814/20.05.2026</t>
  </si>
  <si>
    <t>Szabo Ghizela</t>
  </si>
  <si>
    <t>8 kWp + Velionic</t>
  </si>
  <si>
    <t>815/20.05.2026</t>
  </si>
  <si>
    <t>Levente Laszlo</t>
  </si>
  <si>
    <t>extindere 4 kWp + Velionic</t>
  </si>
  <si>
    <t>816/20.05.2026</t>
  </si>
  <si>
    <t>Bosca Lucian</t>
  </si>
  <si>
    <t>extindere 3 kWp + Velionic</t>
  </si>
  <si>
    <t>817/20.05.2026</t>
  </si>
  <si>
    <t>DC-E ELECTRIC QUALITY INSTAL</t>
  </si>
  <si>
    <t>20 kWp + Velionic</t>
  </si>
  <si>
    <t>818/21.05.2026</t>
  </si>
  <si>
    <t>Bodea Andrei</t>
  </si>
  <si>
    <t>3 panouri extindere + inlocuire cel defect</t>
  </si>
  <si>
    <t>819/22.05.2026</t>
  </si>
  <si>
    <t>Meghiesan Ioan</t>
  </si>
  <si>
    <t>6.37 kWp</t>
  </si>
  <si>
    <t>820/25.05.2026</t>
  </si>
  <si>
    <t>Claudiu Ciurba</t>
  </si>
  <si>
    <t>10 kWp</t>
  </si>
  <si>
    <t>821/25.05.2026</t>
  </si>
  <si>
    <t>Vlad Adriana</t>
  </si>
  <si>
    <t>822/26.05.2026</t>
  </si>
  <si>
    <t>Birlut Cristian</t>
  </si>
  <si>
    <t>extindere 4 panouri</t>
  </si>
  <si>
    <t>823/26.05.2026</t>
  </si>
  <si>
    <t>Structura + manopera 208kW</t>
  </si>
  <si>
    <t>824/27.05.2026</t>
  </si>
  <si>
    <t>Popovici Ernest</t>
  </si>
  <si>
    <t>Baterie Eenovance</t>
  </si>
  <si>
    <t>825/28.05.2026</t>
  </si>
  <si>
    <t>Sillo Stefan</t>
  </si>
  <si>
    <t>10 kWp + 30 kWh</t>
  </si>
  <si>
    <t>montaj August</t>
  </si>
  <si>
    <t>826/28.05.2026</t>
  </si>
  <si>
    <t>Kedves Ibolya I.I.</t>
  </si>
  <si>
    <t>baterie Hailei 10 KW + montaj</t>
  </si>
  <si>
    <t>827/02.06.2026</t>
  </si>
  <si>
    <t>Comuna Galesti</t>
  </si>
  <si>
    <t>Sistem fotovoltaic 114.66 kW</t>
  </si>
  <si>
    <t>828/03.06.2027</t>
  </si>
  <si>
    <t>Socotar Iancu</t>
  </si>
  <si>
    <t>829/03.06.2026</t>
  </si>
  <si>
    <t>Varadi Gyorgy</t>
  </si>
  <si>
    <t>5 kWp + VELIONIC</t>
  </si>
  <si>
    <t>830/03.06.2026</t>
  </si>
  <si>
    <t>Szekely Lorand</t>
  </si>
  <si>
    <t>trif 10kw Deye + bat 16 Baseng</t>
  </si>
  <si>
    <t>831/04.06.2026</t>
  </si>
  <si>
    <t>4.55 kWp + 5 kWh</t>
  </si>
  <si>
    <t>832/05.06.2026</t>
  </si>
  <si>
    <t xml:space="preserve">Kovrig Magdalena </t>
  </si>
  <si>
    <t>833/09.06.2026</t>
  </si>
  <si>
    <t>Harko Stefan</t>
  </si>
  <si>
    <t>834/10.06.2026</t>
  </si>
  <si>
    <t>835/10.06.2026</t>
  </si>
  <si>
    <t>Kerekes Marta</t>
  </si>
  <si>
    <t>836/11.06.2026</t>
  </si>
  <si>
    <t>Chiriac Lucian</t>
  </si>
  <si>
    <t>8.64 kWp + 16 kWh</t>
  </si>
  <si>
    <t>837/11.06.2026</t>
  </si>
  <si>
    <t>Almonda SRL</t>
  </si>
  <si>
    <t>838/11.06.2026</t>
  </si>
  <si>
    <t>Totelecan Mariana</t>
  </si>
  <si>
    <t>invertor DEYE 10 kW mono + 16 kWh</t>
  </si>
  <si>
    <t>Monika</t>
  </si>
  <si>
    <t>839/11.06.2026</t>
  </si>
  <si>
    <t>Solar Grid</t>
  </si>
  <si>
    <t>Contract mentenanta ANRE</t>
  </si>
  <si>
    <t>840/16.06.2026</t>
  </si>
  <si>
    <t>Raduly Zsombor</t>
  </si>
  <si>
    <t>841/16.06.2026</t>
  </si>
  <si>
    <t>Szende Julia Biro Váradi</t>
  </si>
  <si>
    <t>842/17.06.2026</t>
  </si>
  <si>
    <t>Alev interiors - scoala reghin</t>
  </si>
  <si>
    <t>843/17.06.2026</t>
  </si>
  <si>
    <t>NOE PSIHOCENTER</t>
  </si>
  <si>
    <t>844/17.06.2026</t>
  </si>
  <si>
    <t>Gusutri - Grenke</t>
  </si>
  <si>
    <t>845/22.06.2026</t>
  </si>
  <si>
    <t>Dr. Gal - GERMANY</t>
  </si>
  <si>
    <t>20 kW + 60 kWh</t>
  </si>
  <si>
    <t>846/22.06.2026</t>
  </si>
  <si>
    <t>GARANTI DENTISTRY SRL</t>
  </si>
  <si>
    <t>847/24.06.2026</t>
  </si>
  <si>
    <t>Blaj Liana</t>
  </si>
  <si>
    <t>inv + BASEN GREEN</t>
  </si>
  <si>
    <t>848/25.06.2026</t>
  </si>
  <si>
    <t>AMSOC SRL (Cosma Adrian)</t>
  </si>
  <si>
    <t>12.28 kWp + 16 kWh</t>
  </si>
  <si>
    <t>849/26.06.2026</t>
  </si>
  <si>
    <t>Barbat Ioan</t>
  </si>
  <si>
    <t>7.2 kWp + 16 kWh</t>
  </si>
  <si>
    <t>850/26.06.2026</t>
  </si>
  <si>
    <t>Croitor Valentin Liviu</t>
  </si>
  <si>
    <t>851/30.06.2026</t>
  </si>
  <si>
    <t>Laszlo Sandor</t>
  </si>
  <si>
    <t>instalare inc auto + mentenanta</t>
  </si>
  <si>
    <t>852/02.07.2026</t>
  </si>
  <si>
    <t>PROELCONS SRL</t>
  </si>
  <si>
    <t>31.85 kWp, structura pregatesc ei</t>
  </si>
  <si>
    <t>853/03.07.2026</t>
  </si>
  <si>
    <t>Csatlos Attila</t>
  </si>
  <si>
    <t>6.37 kw + stocare</t>
  </si>
  <si>
    <t>Moni/Vladut/Tamas</t>
  </si>
  <si>
    <t>854/06.07.2026.</t>
  </si>
  <si>
    <t>Comuna Band</t>
  </si>
  <si>
    <t xml:space="preserve">Sistem fotovoltaic </t>
  </si>
  <si>
    <t xml:space="preserve">Luni </t>
  </si>
  <si>
    <t>16.Iun.2025</t>
  </si>
  <si>
    <t>28.Iun.2025.</t>
  </si>
  <si>
    <t>02.Iul.2025</t>
  </si>
  <si>
    <t>04.Iul.2025</t>
  </si>
  <si>
    <t>05.Iul 2025</t>
  </si>
  <si>
    <t>07.Iul.2025</t>
  </si>
  <si>
    <t>28. Iul 2025</t>
  </si>
  <si>
    <t>13.Ian.2025.</t>
  </si>
  <si>
    <t>14.Ian.2025.</t>
  </si>
  <si>
    <t>15.Ian.2025.</t>
  </si>
  <si>
    <t>16.Ian.2025.</t>
  </si>
  <si>
    <t>17.Ian.2025.</t>
  </si>
  <si>
    <t>18.Ian.2025.</t>
  </si>
  <si>
    <t>Racord</t>
  </si>
  <si>
    <t>Mircea-Edy</t>
  </si>
  <si>
    <t>Montrepcom + Locativ</t>
  </si>
  <si>
    <t>Montrepcom</t>
  </si>
  <si>
    <t>Dl. Szasz Bela</t>
  </si>
  <si>
    <t>Sandel Corunca</t>
  </si>
  <si>
    <t>Loránd H.</t>
  </si>
  <si>
    <t>Pensiunea Viena</t>
  </si>
  <si>
    <t>Chis + Platimet</t>
  </si>
  <si>
    <t>Iernuțeni</t>
  </si>
  <si>
    <t>Seiv Spital + Server Birou</t>
  </si>
  <si>
    <t>Montaj</t>
  </si>
  <si>
    <t>Jakó</t>
  </si>
  <si>
    <t>Hell</t>
  </si>
  <si>
    <t>HNG</t>
  </si>
  <si>
    <t>Jancsi, Z. Barni, Levi, Sándor, Csongi, Robi</t>
  </si>
  <si>
    <t>Soma, Zoli, Csabi</t>
  </si>
  <si>
    <t>Spital Bistrița</t>
  </si>
  <si>
    <t>Jako/HNG</t>
  </si>
  <si>
    <t>Daróczi, Sikó</t>
  </si>
  <si>
    <t>LIBER - UNIFICARE</t>
  </si>
  <si>
    <t>20.Ian.2025.</t>
  </si>
  <si>
    <t>21.Ian.2025.</t>
  </si>
  <si>
    <t>22.Ian.2025.</t>
  </si>
  <si>
    <t>23.Ian.2025.</t>
  </si>
  <si>
    <t>24.Ian.2025.</t>
  </si>
  <si>
    <t>25.Ian.2025.</t>
  </si>
  <si>
    <t>Mircea,Edy,Tamas</t>
  </si>
  <si>
    <t>Sandel+Interventii+Locativ</t>
  </si>
  <si>
    <t>Panit 10kW - Ahlener SRL</t>
  </si>
  <si>
    <t>Zoli Grusior</t>
  </si>
  <si>
    <t>Farkas Janos Bodfar</t>
  </si>
  <si>
    <t>Comviv Incarcatoare</t>
  </si>
  <si>
    <t>Spital+MBC1 encoder</t>
  </si>
  <si>
    <t>NTS</t>
  </si>
  <si>
    <t>Spital</t>
  </si>
  <si>
    <t>Velici TM</t>
  </si>
  <si>
    <t>Zoli Gruisor</t>
  </si>
  <si>
    <t>27.Ian.2025.</t>
  </si>
  <si>
    <t>28.Ian.2025.</t>
  </si>
  <si>
    <t>29.Ian.2025.</t>
  </si>
  <si>
    <t>30.Ian.2025.</t>
  </si>
  <si>
    <t>31.Ian.2025.</t>
  </si>
  <si>
    <t>01.Feb.2025.</t>
  </si>
  <si>
    <t>LUCRARI PROPUSE</t>
  </si>
  <si>
    <t>Edy, Mircea, V. Tamas</t>
  </si>
  <si>
    <t>Impamantare + Int + Locativ</t>
  </si>
  <si>
    <t>Farkas Janos</t>
  </si>
  <si>
    <t>Saftica + Bucuresti</t>
  </si>
  <si>
    <t>Turia Acumulatori</t>
  </si>
  <si>
    <t>Molnar Belvedere</t>
  </si>
  <si>
    <t>Olivér, Samu</t>
  </si>
  <si>
    <t>Spital Seiv</t>
  </si>
  <si>
    <t>Verificari acoperis Evora</t>
  </si>
  <si>
    <t>Verificari acoperis Penny</t>
  </si>
  <si>
    <t>Depozit</t>
  </si>
  <si>
    <t>03.Feb.2025.</t>
  </si>
  <si>
    <t>04.Feb.2025</t>
  </si>
  <si>
    <t>05.Feb.2025.</t>
  </si>
  <si>
    <t>06.Feb.2025.</t>
  </si>
  <si>
    <t>07.Feb.2025.</t>
  </si>
  <si>
    <t xml:space="preserve">Molnar + Beno Lorand </t>
  </si>
  <si>
    <t>Beno Lorand Sere</t>
  </si>
  <si>
    <t>Zolog Mircea Ludus</t>
  </si>
  <si>
    <t>Osvath Mihaly</t>
  </si>
  <si>
    <t>NEOL SRL</t>
  </si>
  <si>
    <t>HELL</t>
  </si>
  <si>
    <t>Corunca</t>
  </si>
  <si>
    <t>M o n t a j</t>
  </si>
  <si>
    <t>MC Trans Consus</t>
  </si>
  <si>
    <t>Royal Automobile</t>
  </si>
  <si>
    <t>Jancsi, Z. Barni, Levi, Sándor, Csongi, Robi, Domi</t>
  </si>
  <si>
    <t>Brico Holz Craciunelu</t>
  </si>
  <si>
    <t>10.Feb.2025.</t>
  </si>
  <si>
    <t>11.Feb.2025</t>
  </si>
  <si>
    <t>12.Feb.2025.</t>
  </si>
  <si>
    <t>13.Feb.2025.</t>
  </si>
  <si>
    <t>14.Feb.2025.</t>
  </si>
  <si>
    <t>15.Feb.2025.</t>
  </si>
  <si>
    <t>Farkas Levi (Bela)</t>
  </si>
  <si>
    <t>Ilea Ioan (Robi)</t>
  </si>
  <si>
    <t>Sava Secret</t>
  </si>
  <si>
    <t>Gazsi</t>
  </si>
  <si>
    <t>Pantea</t>
  </si>
  <si>
    <t>Service + Cipau</t>
  </si>
  <si>
    <t>Petrea Oana</t>
  </si>
  <si>
    <t>Wonderland</t>
  </si>
  <si>
    <t>Novak Sandor</t>
  </si>
  <si>
    <t>Bodoni Oana</t>
  </si>
  <si>
    <t>Panet / Papiu Ilarian</t>
  </si>
  <si>
    <t>17.Feb.2025.</t>
  </si>
  <si>
    <t>18.Feb.2025</t>
  </si>
  <si>
    <t>19.Feb.2025.</t>
  </si>
  <si>
    <t>20.Feb.2025.</t>
  </si>
  <si>
    <t>21.Feb.2025.</t>
  </si>
  <si>
    <t>22.Feb.2025.</t>
  </si>
  <si>
    <t>Daraban CV24</t>
  </si>
  <si>
    <t>Kozi Ödön</t>
  </si>
  <si>
    <t>Suceava Florea</t>
  </si>
  <si>
    <t>Marginean</t>
  </si>
  <si>
    <t>Dénes Réka</t>
  </si>
  <si>
    <t>Service + Echipare Auto</t>
  </si>
  <si>
    <t>Simonfi Kinga CV24</t>
  </si>
  <si>
    <t>Bodoni</t>
  </si>
  <si>
    <t>MC Trans</t>
  </si>
  <si>
    <t>Stil Fero Impex</t>
  </si>
  <si>
    <t>GF Mures (Gradi Wonder)</t>
  </si>
  <si>
    <t>Hell Racord</t>
  </si>
  <si>
    <t>Evora</t>
  </si>
  <si>
    <t>Kovacs Levente CV24</t>
  </si>
  <si>
    <t>Kocsis</t>
  </si>
  <si>
    <t>Bodor Szilard</t>
  </si>
  <si>
    <t>Pap Margit</t>
  </si>
  <si>
    <t>Geza Ilona Sallai</t>
  </si>
  <si>
    <t>Roiban CV24</t>
  </si>
  <si>
    <t>Kis Andras CV25</t>
  </si>
  <si>
    <t xml:space="preserve">Kocsis </t>
  </si>
  <si>
    <t>Jancsi, Levi, Csongi, Domi, Daróczi</t>
  </si>
  <si>
    <t>Vânători</t>
  </si>
  <si>
    <t>Robi, Barni, Sándor,</t>
  </si>
  <si>
    <t>Imreh Loránd CV24</t>
  </si>
  <si>
    <t>Kis Florian</t>
  </si>
  <si>
    <t>Mate Hunor</t>
  </si>
  <si>
    <t>Mate Hunor / Depo</t>
  </si>
  <si>
    <t>Antal Karoly</t>
  </si>
  <si>
    <t>24.Feb.2025.</t>
  </si>
  <si>
    <t>25.Feb.2025</t>
  </si>
  <si>
    <t>26.Feb.2025.</t>
  </si>
  <si>
    <t>27.Feb.2025.</t>
  </si>
  <si>
    <t>28.Feb.2025.</t>
  </si>
  <si>
    <t>01.Mar.2025.</t>
  </si>
  <si>
    <t>Kozi Odi akku + foldeles</t>
  </si>
  <si>
    <t>Velionic - Pantea, 
Daraban, Gazsi</t>
  </si>
  <si>
    <t>Gyenge Károly</t>
  </si>
  <si>
    <t>Zilahi Ludas</t>
  </si>
  <si>
    <t>Csibi Orsolya</t>
  </si>
  <si>
    <t>Magyari Tünde</t>
  </si>
  <si>
    <t>Keresszegi Barna</t>
  </si>
  <si>
    <t>Pop Sergiu</t>
  </si>
  <si>
    <t>Ilea, Sava, Farkas Janos</t>
  </si>
  <si>
    <t>Szántó Zoltán</t>
  </si>
  <si>
    <t>Versuni Orastie</t>
  </si>
  <si>
    <t>NTS + Kovács L</t>
  </si>
  <si>
    <t>Daczo racord</t>
  </si>
  <si>
    <t>Teste A3 Ierbuș</t>
  </si>
  <si>
    <t>Pylontech Depo</t>
  </si>
  <si>
    <t>Daczo</t>
  </si>
  <si>
    <t>Duma Cluj</t>
  </si>
  <si>
    <t>Kátai</t>
  </si>
  <si>
    <t xml:space="preserve">Tihamér </t>
  </si>
  <si>
    <t>Zabolotny Cluj</t>
  </si>
  <si>
    <t>Tihamer Imreh</t>
  </si>
  <si>
    <t>Jancsi, Levi, Csongi</t>
  </si>
  <si>
    <t>Robi, Barni, Sándor, Henter Szabi, Kovács Szabi</t>
  </si>
  <si>
    <t>Soma, Zoli, Daroczi</t>
  </si>
  <si>
    <t>Nagy Nimrod</t>
  </si>
  <si>
    <t>Hanna Simona</t>
  </si>
  <si>
    <t>Sibianu M.</t>
  </si>
  <si>
    <t>Szabo Zsombi</t>
  </si>
  <si>
    <t>Sebeșan Radu</t>
  </si>
  <si>
    <t>Raza Ovidiu</t>
  </si>
  <si>
    <t>Cioloca Ioan</t>
  </si>
  <si>
    <t>Pacurar Cluj</t>
  </si>
  <si>
    <t>Reman Bistrita</t>
  </si>
  <si>
    <t>Kiss Florian</t>
  </si>
  <si>
    <t>Nicolescu + Grama</t>
  </si>
  <si>
    <t>Simon Attila</t>
  </si>
  <si>
    <t>Iszlai F.A.</t>
  </si>
  <si>
    <t>Roiban</t>
  </si>
  <si>
    <t>Sallai</t>
  </si>
  <si>
    <t>Iszlai Albert</t>
  </si>
  <si>
    <t>Bartha Botond</t>
  </si>
  <si>
    <t>Kiss Márta</t>
  </si>
  <si>
    <t>Kiss Márta / HNG</t>
  </si>
  <si>
    <t>Kendi Szovata</t>
  </si>
  <si>
    <t>Tamas Agnes</t>
  </si>
  <si>
    <t>Râza Ovidiu</t>
  </si>
  <si>
    <t>PDA Vidrasau</t>
  </si>
  <si>
    <t>PDA Vidrasau/Solovastru</t>
  </si>
  <si>
    <t>Biro Tamas</t>
  </si>
  <si>
    <t>Biro Levente</t>
  </si>
  <si>
    <t>Jancsi, Levi, Csongi, Daroczi</t>
  </si>
  <si>
    <t>Robi, Barni, Sándor, Kovács Szabi</t>
  </si>
  <si>
    <t>Sebesan Radu</t>
  </si>
  <si>
    <t>Sover</t>
  </si>
  <si>
    <t>Dan Diaconu Sibiu</t>
  </si>
  <si>
    <t>Samoila Raul (Z)</t>
  </si>
  <si>
    <t>Bodor Szilárd (Z)</t>
  </si>
  <si>
    <t>Novak Bela</t>
  </si>
  <si>
    <t>Kis Andras (Z)</t>
  </si>
  <si>
    <t>Kulcsar Korond</t>
  </si>
  <si>
    <t>Cotfas Tudor</t>
  </si>
  <si>
    <t>Auto Total Pascani (Z)</t>
  </si>
  <si>
    <t>Imreh Lorand (Z)</t>
  </si>
  <si>
    <t>Katai Viorica</t>
  </si>
  <si>
    <t>Jako Sg. Mures</t>
  </si>
  <si>
    <t>Saftica</t>
  </si>
  <si>
    <t>Evora Cipau si |Reghin</t>
  </si>
  <si>
    <t>Marginean Laura Blaj 1</t>
  </si>
  <si>
    <t>Marcu Simion Blaj2</t>
  </si>
  <si>
    <t>M</t>
  </si>
  <si>
    <t>Olariu</t>
  </si>
  <si>
    <t>Nagy Andrea</t>
  </si>
  <si>
    <t>Samoila Raul</t>
  </si>
  <si>
    <t>Kadar Csaba</t>
  </si>
  <si>
    <t>PDA Ideciu</t>
  </si>
  <si>
    <t>Kolcsar 8kW (Z)</t>
  </si>
  <si>
    <t>Kolcsar 6kW (Z)</t>
  </si>
  <si>
    <t>PCE Pasareni Scoala</t>
  </si>
  <si>
    <t>Jabenitean Ioan Claudiu (Z)</t>
  </si>
  <si>
    <t>Robi, Csongi, Daroczi</t>
  </si>
  <si>
    <t>Hajdu Levi, Barni, Sándor, Kovacs Szabi, Jancsi</t>
  </si>
  <si>
    <t>Jako Sg. Mures/PDA</t>
  </si>
  <si>
    <t>Kolcsar 8 kW</t>
  </si>
  <si>
    <t>Duma Razvan CJ + Samoila de finalizat (Z)</t>
  </si>
  <si>
    <t>Kolcsar 6kW</t>
  </si>
  <si>
    <t>Biro Robert Sovata (KR)</t>
  </si>
  <si>
    <t>Moréh Zsolt</t>
  </si>
  <si>
    <t>Cotfas / Kolcsar 6 kW</t>
  </si>
  <si>
    <t>Sandor Tihamer (Z)</t>
  </si>
  <si>
    <t>Nagy Nimrod + Service</t>
  </si>
  <si>
    <t>Tamas Agnes neni</t>
  </si>
  <si>
    <t>Sover Szabolcs</t>
  </si>
  <si>
    <t>Zabolotni CJ (Z)</t>
  </si>
  <si>
    <t>Harsan Nicolae (Z)</t>
  </si>
  <si>
    <t>Somesan Marian (Z)</t>
  </si>
  <si>
    <t>Simona Hanna</t>
  </si>
  <si>
    <t>Lucrari propuse</t>
  </si>
  <si>
    <t>Ierbus + Nagy Andrea A.</t>
  </si>
  <si>
    <t>Revizii sisteme / Tarnaveni</t>
  </si>
  <si>
    <t>Oli Liber / Samu Service</t>
  </si>
  <si>
    <t>Szanto Attila (Z)</t>
  </si>
  <si>
    <t>Balazs Andrei (Z)</t>
  </si>
  <si>
    <t>Parohia Huedin (Z)</t>
  </si>
  <si>
    <t>Bloc Parangului (Z)</t>
  </si>
  <si>
    <t>Anulat Szappanyos</t>
  </si>
  <si>
    <t>Szappanyos Zoltán (Z)</t>
  </si>
  <si>
    <t>Takacs Istvan (Z) / Jozsa Laszlo-Arpad (Z)</t>
  </si>
  <si>
    <t xml:space="preserve">
Pop Anca (VL) CJ + Zahan</t>
  </si>
  <si>
    <t>Robi, Csongi, Sandor</t>
  </si>
  <si>
    <t>Vanatori</t>
  </si>
  <si>
    <t>Evora Sg. Mures</t>
  </si>
  <si>
    <t>Jancsi, Hajdu Levi, Barni, Henter Szabi, Kovacs Szabi, Daroczi</t>
  </si>
  <si>
    <t>Vanatori Trailer+Miniex</t>
  </si>
  <si>
    <t>Iacoban Andreea (VL)</t>
  </si>
  <si>
    <t>Ferenc Levente Biro (Z)</t>
  </si>
  <si>
    <t>Straia Cristi MCT</t>
  </si>
  <si>
    <t>Csernatoni L (VL)</t>
  </si>
  <si>
    <t xml:space="preserve"> Sibianu (Z)</t>
  </si>
  <si>
    <t>Szeredai F, Csiszár Levi,</t>
  </si>
  <si>
    <t>Csiszár Ilonka</t>
  </si>
  <si>
    <t>Marian Marin (VL) CV</t>
  </si>
  <si>
    <t>Roman Valentin (VL) BV</t>
  </si>
  <si>
    <t>Scortea Daniel (VL) BV</t>
  </si>
  <si>
    <t>Popa Maria (VL) BV</t>
  </si>
  <si>
    <t>Duplenschi Ioan (VL)</t>
  </si>
  <si>
    <t>NTS/HNG</t>
  </si>
  <si>
    <t>Service SEIV/EVORA/Hilton</t>
  </si>
  <si>
    <t>Mare Nicolae (VL), favorizat</t>
  </si>
  <si>
    <t>Paduret Loredan Marian (Z)</t>
  </si>
  <si>
    <t>Józsa László (Z)</t>
  </si>
  <si>
    <t>Kádár Enikő</t>
  </si>
  <si>
    <t>Matei Corina (VL)</t>
  </si>
  <si>
    <t>Molnar Margit (Z)</t>
  </si>
  <si>
    <t>Salagean Stefan Salagean (Z)</t>
  </si>
  <si>
    <t>Vida Cornel SB (VL)</t>
  </si>
  <si>
    <t>Sildav SRL (Z)</t>
  </si>
  <si>
    <t xml:space="preserve">Szeredai F, Csiszár Levi SJ
</t>
  </si>
  <si>
    <t>Csiszár Ilonka SJ</t>
  </si>
  <si>
    <t>Robi, Csongi</t>
  </si>
  <si>
    <t>Evora SGM</t>
  </si>
  <si>
    <t>Hajdu Levi, Barni, Sándor, Henter Szabi, Kovacs Szabi, Jancsi</t>
  </si>
  <si>
    <t>02.Ap.2025.</t>
  </si>
  <si>
    <t>Bereczky Sándor (KR)</t>
  </si>
  <si>
    <t>Botos Erzsebet</t>
  </si>
  <si>
    <t>Bende Domokos</t>
  </si>
  <si>
    <t>Zgambau 1 + 2 (Z)</t>
  </si>
  <si>
    <t>Istovan Horatiu (VL) CJ</t>
  </si>
  <si>
    <t>McTrans + Sibianu (Z)</t>
  </si>
  <si>
    <t>Biro Tamas + Sibianu</t>
  </si>
  <si>
    <t>Kadar Csaba (KR)</t>
  </si>
  <si>
    <t>MC Trans / Parc Vanatori</t>
  </si>
  <si>
    <t>Parc Vanatori</t>
  </si>
  <si>
    <t>Ambisco/Service</t>
  </si>
  <si>
    <t>SEIV/Romantik</t>
  </si>
  <si>
    <t>Ambrus Anna Maria (KR)</t>
  </si>
  <si>
    <t>Varro Ernest</t>
  </si>
  <si>
    <t>Balazs Andrei</t>
  </si>
  <si>
    <t>Nemes Sandor (Z)</t>
  </si>
  <si>
    <t>Weber Ioan (VL) Medias</t>
  </si>
  <si>
    <t>Iabenitan</t>
  </si>
  <si>
    <t xml:space="preserve">- </t>
  </si>
  <si>
    <t>Sandor Moldovan</t>
  </si>
  <si>
    <t>Zgambau 1 +Zgambau 2 (Z)</t>
  </si>
  <si>
    <t>Ghibutiu Ioan Daniel (VL)  + Morar Daniel Marius</t>
  </si>
  <si>
    <t>Nagy Stefan + Takacs (KR)</t>
  </si>
  <si>
    <t xml:space="preserve">
Evora SGM
</t>
  </si>
  <si>
    <t xml:space="preserve">
Evora SGM
</t>
  </si>
  <si>
    <t>Hajdu Levi, Barni, Sándor, Kovacs Szabi, Henter Szabi</t>
  </si>
  <si>
    <t>Jancsi, Domi</t>
  </si>
  <si>
    <t>7.Apr.2025.</t>
  </si>
  <si>
    <t>8.Apr.2025.</t>
  </si>
  <si>
    <t>9.Apr.2025.</t>
  </si>
  <si>
    <t>Lucrari propuse / PV</t>
  </si>
  <si>
    <t>Lucrari propuse / RACORD</t>
  </si>
  <si>
    <t>Cozma Mircea MCT</t>
  </si>
  <si>
    <t>Pop Anca</t>
  </si>
  <si>
    <t>Ghibutiu Sancrai</t>
  </si>
  <si>
    <t xml:space="preserve">Mitra Attila(Z) </t>
  </si>
  <si>
    <t>Sibianu + Cerghizan (VL)</t>
  </si>
  <si>
    <t>Cerghizan (VL) + MCT</t>
  </si>
  <si>
    <t>FEKETE RADU (Z)</t>
  </si>
  <si>
    <t>Tiplea Cluj Victron + Istovan</t>
  </si>
  <si>
    <t>Orban Attila (Z)</t>
  </si>
  <si>
    <t>Sildav SRL</t>
  </si>
  <si>
    <t>Takacs Istvan (Z)</t>
  </si>
  <si>
    <t xml:space="preserve">Sildav SRL </t>
  </si>
  <si>
    <t xml:space="preserve"> Petelei (Z)</t>
  </si>
  <si>
    <t>Pop Alin (KR)</t>
  </si>
  <si>
    <t xml:space="preserve">
földelés x 1 -  Szováta Biro Róbert (KR)
</t>
  </si>
  <si>
    <t>Kiss Stefan Tibor</t>
  </si>
  <si>
    <t>Alex Mita + revizie Lyra</t>
  </si>
  <si>
    <t>Kiss-Vass + Vass Sandor</t>
  </si>
  <si>
    <t>Nemes Petruta</t>
  </si>
  <si>
    <t>Barabas Levente (KR)</t>
  </si>
  <si>
    <t>Bogomeri Olga (Z)</t>
  </si>
  <si>
    <t>Vida Cornel Sibiu</t>
  </si>
  <si>
    <t>Porime Claudiu</t>
  </si>
  <si>
    <t>Cerghizan Dan (VL)</t>
  </si>
  <si>
    <t>Porime Ciprian (VL) /  Petru Emanoil</t>
  </si>
  <si>
    <t>Egyed Laszlo Zoltan (Z)</t>
  </si>
  <si>
    <t>Csiki Magdalena (Z)</t>
  </si>
  <si>
    <t>Demian Petru (Z)</t>
  </si>
  <si>
    <t>Petelei (Z)</t>
  </si>
  <si>
    <t>Varga David (Z)/ Benő Loránd</t>
  </si>
  <si>
    <t>Voniga Lorand (VL)</t>
  </si>
  <si>
    <t xml:space="preserve">Hajdu Levi, Barni, Sándor, Kovacs Szabi </t>
  </si>
  <si>
    <t>Y de pus la Tiplea CJ - Barnex</t>
  </si>
  <si>
    <t>15.Apr.2025</t>
  </si>
  <si>
    <t>Todoran Mircea Mirda</t>
  </si>
  <si>
    <t>Pop Anca mutat Velionic/ Tiplea pornit</t>
  </si>
  <si>
    <t>libero</t>
  </si>
  <si>
    <t>Stroia Radu Cluj +Istovan</t>
  </si>
  <si>
    <t>MC Trans + Cerghizan</t>
  </si>
  <si>
    <t>Szappanyos Ur</t>
  </si>
  <si>
    <t>MC Trans + Neol + Service</t>
  </si>
  <si>
    <t>Salagean - Balda, Mures</t>
  </si>
  <si>
    <t>Baciu Marius Sarmas + Hamar impamantare - Iernut</t>
  </si>
  <si>
    <t>Petru Demian</t>
  </si>
  <si>
    <t>Sfetcu Ioana Cristina (Z)</t>
  </si>
  <si>
    <t>Serban Petru Samoila</t>
  </si>
  <si>
    <t>Petru Ioan Marcel</t>
  </si>
  <si>
    <t>MALUTAN ANDREI COSMIN</t>
  </si>
  <si>
    <t>Dali Szilard MS (KR)</t>
  </si>
  <si>
    <t>Incze Raymond Attila MS (KR)</t>
  </si>
  <si>
    <t>Fekete Árpád MS (KR)</t>
  </si>
  <si>
    <t>Egyed Laszlo Zoltan</t>
  </si>
  <si>
    <t xml:space="preserve">Stroia Radu Cluj </t>
  </si>
  <si>
    <t>Papp Istvan (Z)</t>
  </si>
  <si>
    <t>Balogh Istvan MS (KR)</t>
  </si>
  <si>
    <t>Fulop Miklos (Z)</t>
  </si>
  <si>
    <t>Baciu Marius Sarmas</t>
  </si>
  <si>
    <t>Dali Szilard MS (KR)/
Voniga Lorand</t>
  </si>
  <si>
    <t>Tiplea Cluj Victron</t>
  </si>
  <si>
    <t>Petrea (Z)</t>
  </si>
  <si>
    <t>22.Apr.2025</t>
  </si>
  <si>
    <t>Ungur Cosmin - Levi</t>
  </si>
  <si>
    <t>Antal Róbert Vilmos (KR)</t>
  </si>
  <si>
    <t>St. Nagy Gherla + Farcas</t>
  </si>
  <si>
    <t>Crisan Lucian Eugen</t>
  </si>
  <si>
    <t>Matei Corina</t>
  </si>
  <si>
    <t>Magic Berry (KR) + Service</t>
  </si>
  <si>
    <t>Orosz Ibolya (Z)</t>
  </si>
  <si>
    <t>CIMPEAN ANCA-LEONTINA (Z)</t>
  </si>
  <si>
    <t>GF Mures relocare</t>
  </si>
  <si>
    <t>Rotar Diana SB (VL)</t>
  </si>
  <si>
    <t>Nagy Szendi (A)</t>
  </si>
  <si>
    <t>Taran Constantin (Alex)</t>
  </si>
  <si>
    <t>CM</t>
  </si>
  <si>
    <t>Paul Hodman (Z)</t>
  </si>
  <si>
    <t>Csillag ABC (Z)</t>
  </si>
  <si>
    <t>Szabo Jozsef (Z)</t>
  </si>
  <si>
    <t>Demeter Maria</t>
  </si>
  <si>
    <t>Taran Constantin(Alex)</t>
  </si>
  <si>
    <t>Jancsi, Robi, Csongi</t>
  </si>
  <si>
    <t>28.Apr.2025.</t>
  </si>
  <si>
    <t>Moldovan Gheorghe (Z)</t>
  </si>
  <si>
    <t>Service sisteme</t>
  </si>
  <si>
    <t>Székely Jozsef  (Z)</t>
  </si>
  <si>
    <t>Manoila (Z)</t>
  </si>
  <si>
    <t>Szilagy Judit (Z)</t>
  </si>
  <si>
    <t>Top Favorit (Z)</t>
  </si>
  <si>
    <t xml:space="preserve"> Putri Service</t>
  </si>
  <si>
    <t>Balogh Istvan (KR)</t>
  </si>
  <si>
    <t>INNA T-veni</t>
  </si>
  <si>
    <t>Seiv 9 PM</t>
  </si>
  <si>
    <t>Stoica Lajos (Z)</t>
  </si>
  <si>
    <t>Alev Interiors (Z)</t>
  </si>
  <si>
    <t>Jakab Pal (VL)</t>
  </si>
  <si>
    <t>Moldovan Gh + Stoica Lajos (Z)</t>
  </si>
  <si>
    <t>Szappanyos / Gal Barna (Z)</t>
  </si>
  <si>
    <t>5.Mai. 2025.</t>
  </si>
  <si>
    <t>6.Mai. 2025.</t>
  </si>
  <si>
    <t>7.Mai. 2025.</t>
  </si>
  <si>
    <t>8.Mai. 2025.</t>
  </si>
  <si>
    <t>9.Mai. 2025.</t>
  </si>
  <si>
    <t>10.Mai. 2025.</t>
  </si>
  <si>
    <t>GAL BARNA</t>
  </si>
  <si>
    <t>Hamar Mihaly (KR)</t>
  </si>
  <si>
    <t>Nagy Levente (Z)</t>
  </si>
  <si>
    <t>Szoverfi Attila (A)</t>
  </si>
  <si>
    <t>Papp István (Z)</t>
  </si>
  <si>
    <t>Chis (CJ)</t>
  </si>
  <si>
    <t>Droc Mihaela-Felicia (Z)</t>
  </si>
  <si>
    <t>Vetesi Margareta (Z)</t>
  </si>
  <si>
    <t>Sava Cosmin (Alex)</t>
  </si>
  <si>
    <t>Gligor (KR)</t>
  </si>
  <si>
    <t>Szendike / Top Favorit</t>
  </si>
  <si>
    <t>Brico Holtz</t>
  </si>
  <si>
    <t>Ferencz Attila (Z)</t>
  </si>
  <si>
    <t>FULOP MIKLOS (Z)</t>
  </si>
  <si>
    <t>Service Evora</t>
  </si>
  <si>
    <t>Baroti Jozsef (KR) + Minor Karoly</t>
  </si>
  <si>
    <t>Baroti Jozsef (KR) + Cipau</t>
  </si>
  <si>
    <t>MC Trans + Minor K.</t>
  </si>
  <si>
    <t>Ruja Ioan Adrian (VL)</t>
  </si>
  <si>
    <t>Delegatie Brasov (VL)</t>
  </si>
  <si>
    <t>liber</t>
  </si>
  <si>
    <t xml:space="preserve">Alev interiors </t>
  </si>
  <si>
    <t>Vetesi Margareta  (Z)</t>
  </si>
  <si>
    <t>Sava Cosmin (Alex) + Alev</t>
  </si>
  <si>
    <t>Gligor (KR) + Ierbus</t>
  </si>
  <si>
    <t>Hamar Mihaly (KR) + Hell service</t>
  </si>
  <si>
    <t>SGM Evora</t>
  </si>
  <si>
    <t>12.Mai. 2025.</t>
  </si>
  <si>
    <t>13.Mai. 2025.</t>
  </si>
  <si>
    <t>14.Mai. 2025.</t>
  </si>
  <si>
    <t>15.Mai. 2025.</t>
  </si>
  <si>
    <t>16.Mai. 2025.</t>
  </si>
  <si>
    <t>17.Mai. 2025.</t>
  </si>
  <si>
    <t>Oaida Sofia Sibiu (VL)</t>
  </si>
  <si>
    <t>Szabo Réka (Z)</t>
  </si>
  <si>
    <t>HAIDUC IACOB IOAN (Z) + SFETCU</t>
  </si>
  <si>
    <t>MIESS WALTHER (Z)</t>
  </si>
  <si>
    <t>Laszlo Robi aksi!!</t>
  </si>
  <si>
    <t>Luca Dinu Marcel (VL)</t>
  </si>
  <si>
    <t xml:space="preserve"> Alev Reghin + Simon Attila</t>
  </si>
  <si>
    <t>Kovacs tunde (Z) / Orosz</t>
  </si>
  <si>
    <t>Nache Steluta (Z)</t>
  </si>
  <si>
    <t>Nicolescu +
Sava Cosmin (Alex)</t>
  </si>
  <si>
    <t>Roiban + Ferenci</t>
  </si>
  <si>
    <t>Osvath Sandor, Ime Berkeczi</t>
  </si>
  <si>
    <t>Imre Berkeci</t>
  </si>
  <si>
    <t>Marton Jozsef (KR) + Biro Robi földelés</t>
  </si>
  <si>
    <t>Sita - libero Raduly Andras</t>
  </si>
  <si>
    <t xml:space="preserve">Ruja + Sztojka </t>
  </si>
  <si>
    <t>Service MBC 1/Tablouri</t>
  </si>
  <si>
    <t>Service/Tablouri</t>
  </si>
  <si>
    <t>Varga David (Z)</t>
  </si>
  <si>
    <t>Adam Andreea Elena (VL)</t>
  </si>
  <si>
    <t>DAN FLORICA-DANUTA (VL)</t>
  </si>
  <si>
    <t>Morar Daniel Marius</t>
  </si>
  <si>
    <t>Kelemen Albert (KR)</t>
  </si>
  <si>
    <t>Torja Kovacs Tunde X2</t>
  </si>
  <si>
    <t>HAIDUC IACOB IOAN (Z)</t>
  </si>
  <si>
    <t>Marton Jozsef (KR)</t>
  </si>
  <si>
    <t>Raduly Andras</t>
  </si>
  <si>
    <t>19.Mai. 2025.</t>
  </si>
  <si>
    <t>20.Mai. 2025.</t>
  </si>
  <si>
    <t>21.Mai. 2025.</t>
  </si>
  <si>
    <t>22.Mai. 2025.</t>
  </si>
  <si>
    <t>23.Mai. 2025.</t>
  </si>
  <si>
    <t>24.Mai. 2025.</t>
  </si>
  <si>
    <t>SFETCU + Purcaru Stefan (Z)</t>
  </si>
  <si>
    <t>Gilyen Csaba (Z)</t>
  </si>
  <si>
    <t>Miklos Attila Szabolcs (Z)</t>
  </si>
  <si>
    <t>Voniga Lorand Mihaly</t>
  </si>
  <si>
    <t>RED Discount (KR)</t>
  </si>
  <si>
    <t>Delegatie SM</t>
  </si>
  <si>
    <t>Miesz invertor+2 napelem</t>
  </si>
  <si>
    <t>Józsa László</t>
  </si>
  <si>
    <t>Cosmin Pop (Z)</t>
  </si>
  <si>
    <t>Tanczos Zoltan (VL)</t>
  </si>
  <si>
    <t>NTS / SEIV</t>
  </si>
  <si>
    <t>SERVICE / TABLOURI</t>
  </si>
  <si>
    <t>Tornai Katalin (KR)</t>
  </si>
  <si>
    <t>Antal Attila (KR)</t>
  </si>
  <si>
    <t>Bandi József (KR)</t>
  </si>
  <si>
    <t>Krizsan Levente (VL)</t>
  </si>
  <si>
    <t>Varro Zsolt (KR)</t>
  </si>
  <si>
    <t xml:space="preserve">Alev Interiors </t>
  </si>
  <si>
    <t>Sztojka Lajos reparat</t>
  </si>
  <si>
    <t>Tiplea CJ de pus Y</t>
  </si>
  <si>
    <t>26.Mai. 2025.</t>
  </si>
  <si>
    <t>27.Mai. 2025.</t>
  </si>
  <si>
    <t>28.Mai. 2025.</t>
  </si>
  <si>
    <t>29.Mai. 2025.</t>
  </si>
  <si>
    <t>30.Mai. 2025.</t>
  </si>
  <si>
    <t>31.Mai. 2025.</t>
  </si>
  <si>
    <t>Edy, Siko, Lorand</t>
  </si>
  <si>
    <t>Denisa Belean (VL)</t>
  </si>
  <si>
    <t>Budai Elisabeta (VL)</t>
  </si>
  <si>
    <t>Purcaru Stefan</t>
  </si>
  <si>
    <t>Biro Imre (Z)</t>
  </si>
  <si>
    <t>Siklodi Arpad (Z)</t>
  </si>
  <si>
    <t>Varro Zsolt !!! (KR)</t>
  </si>
  <si>
    <t>Molnar Margareta (Z)</t>
  </si>
  <si>
    <t>SIMON FLORIN (VL)</t>
  </si>
  <si>
    <t>Molnar Margareta (Z) + Takacs</t>
  </si>
  <si>
    <t>Sava Cosmin(Alex)</t>
  </si>
  <si>
    <t>Kiss Stefan (VL)</t>
  </si>
  <si>
    <t xml:space="preserve">Delegatie Gherla </t>
  </si>
  <si>
    <t>Delegatie Gherla</t>
  </si>
  <si>
    <t>Libero</t>
  </si>
  <si>
    <t>Olariu Alina / TABLOURI</t>
  </si>
  <si>
    <t>Varga Tunde (VL)</t>
  </si>
  <si>
    <t>Kecseti Carei (Z)</t>
  </si>
  <si>
    <t>Zsigmond Ambrus (Z)</t>
  </si>
  <si>
    <t>Blaj Adrian (VL)</t>
  </si>
  <si>
    <t>Kriszti, Gamci, Sándor</t>
  </si>
  <si>
    <t>Siklodi Arpad (Z) KRISZTI LIBER !!</t>
  </si>
  <si>
    <t>Beno Lorand 10 panouri</t>
  </si>
  <si>
    <t>02.Iunie. 2025.</t>
  </si>
  <si>
    <t>03.Iunie. 2025.</t>
  </si>
  <si>
    <t>04.Iunie. 2025.</t>
  </si>
  <si>
    <t>05.Iunie. 2025.</t>
  </si>
  <si>
    <t>06.Iunie. 2025.</t>
  </si>
  <si>
    <t>07.Iunie. 2025.</t>
  </si>
  <si>
    <t>Romantik Balauseri</t>
  </si>
  <si>
    <t>Fekete Ferenc Disznajo</t>
  </si>
  <si>
    <t>Huedin Balint (Z)</t>
  </si>
  <si>
    <t>CLEAN PREST ACTIV</t>
  </si>
  <si>
    <t>Edy liber</t>
  </si>
  <si>
    <t>Szasz Arnold (KR)</t>
  </si>
  <si>
    <t>Sibianu+Sava + Ierbus Parc</t>
  </si>
  <si>
    <t>Haiduc Alin Andrei (Z) - Nutu Claudiu</t>
  </si>
  <si>
    <t>Tiboldi Denes (KR)</t>
  </si>
  <si>
    <t>Nemet Edith (KR)</t>
  </si>
  <si>
    <t>Hell / Evora Cipau</t>
  </si>
  <si>
    <t>Hell + Gurzu Simona</t>
  </si>
  <si>
    <t>Kovacs Tunde Torja</t>
  </si>
  <si>
    <t>Tablouri</t>
  </si>
  <si>
    <t>Nagy Ibolya (Z)</t>
  </si>
  <si>
    <t>Racord Bokor (Z) Huedin</t>
  </si>
  <si>
    <t>Kutasi Janos</t>
  </si>
  <si>
    <t>Tamas Gyorgy</t>
  </si>
  <si>
    <t>Bokor (Z) Huedin</t>
  </si>
  <si>
    <t>Fekete Ferenc Koronka</t>
  </si>
  <si>
    <t>ROMGAZ</t>
  </si>
  <si>
    <t xml:space="preserve"> Fekete + Zsigmond Disznajo</t>
  </si>
  <si>
    <t>Haiduc Alin Andrei (Z)</t>
  </si>
  <si>
    <t>EVORA Sg. Mures</t>
  </si>
  <si>
    <t>09.Iunie. 2025.</t>
  </si>
  <si>
    <t>10.Iunie. 2025</t>
  </si>
  <si>
    <t>11.Iunie. 2025.</t>
  </si>
  <si>
    <t>12.Iunie. 2025.</t>
  </si>
  <si>
    <t>13.Iunie. 2025.</t>
  </si>
  <si>
    <t>14.Iunie. 2025.</t>
  </si>
  <si>
    <t>Torok Daniel (Z)</t>
  </si>
  <si>
    <t>Straia</t>
  </si>
  <si>
    <t>Moldovan Arnold (Z)</t>
  </si>
  <si>
    <t>Navigator Corunca</t>
  </si>
  <si>
    <t>MATEMAR COMIMPEX</t>
  </si>
  <si>
    <t>Tokes Jozsef Bela (Z)</t>
  </si>
  <si>
    <t>Szentgyorgyi Ioan (VL)</t>
  </si>
  <si>
    <t>Varga Attila (Z)</t>
  </si>
  <si>
    <t>Spital Bistrita</t>
  </si>
  <si>
    <t>Service + Tablouri</t>
  </si>
  <si>
    <t>Czinczok Nándor (KR)</t>
  </si>
  <si>
    <t>Macavei Liviu (VL)</t>
  </si>
  <si>
    <t>Zsombori Tünde (Z)</t>
  </si>
  <si>
    <t>Carmen Ioana Chetan (Z)</t>
  </si>
  <si>
    <t>Macavei Liviu (VL)  + 4 panouri de montat TURDA</t>
  </si>
  <si>
    <t>Siklodi Arpad!!</t>
  </si>
  <si>
    <t>16.Iunie. 2025.</t>
  </si>
  <si>
    <t>17.Iunie. 2025</t>
  </si>
  <si>
    <t>18 .Iunie. 2025.</t>
  </si>
  <si>
    <t>19.Iunie. 2025.</t>
  </si>
  <si>
    <t>20.Iunie. 2025.</t>
  </si>
  <si>
    <t>21.Iunie. 2025.</t>
  </si>
  <si>
    <t>Luca Ionut</t>
  </si>
  <si>
    <t>Filip George (VL)</t>
  </si>
  <si>
    <t>Adrian Stefanescu (Z)</t>
  </si>
  <si>
    <t>Bartos Istvan (VL)</t>
  </si>
  <si>
    <t>Delegatie BH</t>
  </si>
  <si>
    <t>Iszlai/HNG/Cipau</t>
  </si>
  <si>
    <t>SEIV Victroane</t>
  </si>
  <si>
    <t>SERVICE</t>
  </si>
  <si>
    <t>TABLOURI / SERVICE</t>
  </si>
  <si>
    <t>Panţi Roland (Z)</t>
  </si>
  <si>
    <t>Bodo Zoltan  (Z)</t>
  </si>
  <si>
    <t>Antal Peter Levente (VL)</t>
  </si>
  <si>
    <t>Lesan Daniela (VL)</t>
  </si>
  <si>
    <t>Debreceni István (Z)</t>
  </si>
  <si>
    <t>Panţi Roland (Z)/Antal Peter Levente</t>
  </si>
  <si>
    <t>Aruncutean Victor</t>
  </si>
  <si>
    <t>Gința</t>
  </si>
  <si>
    <t>Ceusan</t>
  </si>
  <si>
    <t>Mardare Bogdan (VL)</t>
  </si>
  <si>
    <t>Jancsi, Robi, Csongi,Hajdu Levi, Barni, Sándor</t>
  </si>
  <si>
    <t>Sg. de Mures</t>
  </si>
  <si>
    <t>H.Szabi, K. Szabi, Roli,Roland</t>
  </si>
  <si>
    <t>Panit</t>
  </si>
  <si>
    <t>23.Iunie. 2025.</t>
  </si>
  <si>
    <t>24.Iunie. 2025</t>
  </si>
  <si>
    <t>25 .Iunie. 2025.</t>
  </si>
  <si>
    <t>26.Iunie. 2025.</t>
  </si>
  <si>
    <t>27.Iunie. 2025.</t>
  </si>
  <si>
    <t>28.Iunie. 2025.</t>
  </si>
  <si>
    <t>Bumbu Marius</t>
  </si>
  <si>
    <t>Vita-Zsigmond Arnold (Z)</t>
  </si>
  <si>
    <t>CONSTRULUX-Biris (VL)</t>
  </si>
  <si>
    <t>Varvara (Z)</t>
  </si>
  <si>
    <t>Zimmermann (Z)</t>
  </si>
  <si>
    <t>Ceusan (VL)</t>
  </si>
  <si>
    <t>ROMGAZ MURES</t>
  </si>
  <si>
    <t>Timisoara Huawei</t>
  </si>
  <si>
    <t>Mircea concediu</t>
  </si>
  <si>
    <t>Szentgyörgyi Iosif (KR)</t>
  </si>
  <si>
    <t>Edy concediu</t>
  </si>
  <si>
    <t>Banciu Ciprian (VL)</t>
  </si>
  <si>
    <t>Szekere Irina (VL)</t>
  </si>
  <si>
    <t>Pascu Mihaly (VL)</t>
  </si>
  <si>
    <t>Szanto Francisc (VL)</t>
  </si>
  <si>
    <t>Bancsi Ibolyka (VL)</t>
  </si>
  <si>
    <t>Selcudean Ovidiu (VL)</t>
  </si>
  <si>
    <t>TEAM Attila (ex Fomco)</t>
  </si>
  <si>
    <t>Banciu Ciprian + Macavei Liviu extindere 4 pan (VL)</t>
  </si>
  <si>
    <t>Szekere Irina (VL) + Szanto Francisc (VL)</t>
  </si>
  <si>
    <t>Barbuta Nicolae (VL) + Selcudean Ovidiu (VL)</t>
  </si>
  <si>
    <t>Buzila Traian (VL) Bancsi Ibolyka (VL)</t>
  </si>
  <si>
    <t>Gego Lorand (VL)</t>
  </si>
  <si>
    <t>Kriszti, Anti, Gamci, Bercike, Sándor</t>
  </si>
  <si>
    <t>HENKEL</t>
  </si>
  <si>
    <t>Hiristea</t>
  </si>
  <si>
    <t xml:space="preserve">   </t>
  </si>
  <si>
    <t>30.Iunie. 2025.</t>
  </si>
  <si>
    <t>1.Iulie. 2025</t>
  </si>
  <si>
    <t>2 .Iulie. 2025.</t>
  </si>
  <si>
    <t>3 .Iulie. 2025.</t>
  </si>
  <si>
    <t>4 .Iulie. 2025.</t>
  </si>
  <si>
    <t>5 .Iulie. 2025.</t>
  </si>
  <si>
    <t>Orban Iosif (VL)</t>
  </si>
  <si>
    <t>Bodo Zoltan (VL)</t>
  </si>
  <si>
    <t>Szanto Csongor (Z)</t>
  </si>
  <si>
    <t>Coldea Elena (Z)</t>
  </si>
  <si>
    <t>Dit Daniel Marius (Z)</t>
  </si>
  <si>
    <t>DELEGATIE SM</t>
  </si>
  <si>
    <t>Buzila Traian (VL)</t>
  </si>
  <si>
    <t>Szilagyi Clara (Z) - 3 pers</t>
  </si>
  <si>
    <t>Lesan Daniela BN</t>
  </si>
  <si>
    <t>Romgaz</t>
  </si>
  <si>
    <t>Timisoara</t>
  </si>
  <si>
    <t>Hojda Ileana (VL)</t>
  </si>
  <si>
    <t>Farcas Nicolae (Z)</t>
  </si>
  <si>
    <t>Oprea Aurelia (VL)</t>
  </si>
  <si>
    <t>Feleki 1 (Z)</t>
  </si>
  <si>
    <t>Feleki 2 (Z)</t>
  </si>
  <si>
    <t>Hurgoi Mariana CU RACORD!</t>
  </si>
  <si>
    <t>Szanto Csongor (Z)
Dit Daniel Marius (Z)</t>
  </si>
  <si>
    <t>Pal Laszlo + RACORD</t>
  </si>
  <si>
    <t>Szilagyi Clara (Z)</t>
  </si>
  <si>
    <t xml:space="preserve"> Stanila Emil (VL) BN</t>
  </si>
  <si>
    <t>out</t>
  </si>
  <si>
    <t>Orban Iosif (VL), Moldovan Andrada (VL) demontat panouri</t>
  </si>
  <si>
    <t>Feleki 1  (Z)
Feleki 2  (Z)</t>
  </si>
  <si>
    <t>07.Iulie. 2025.</t>
  </si>
  <si>
    <t>08.Iulie. 2025.</t>
  </si>
  <si>
    <t>09.Iulie. 2025.</t>
  </si>
  <si>
    <t>10.Iulie. 2025.</t>
  </si>
  <si>
    <t>11.Iulie. 2025.</t>
  </si>
  <si>
    <t>12.Iulie. 2025.</t>
  </si>
  <si>
    <t>TURIA (Data manager + Cerbo)</t>
  </si>
  <si>
    <t>Ravasz Barni (Z)</t>
  </si>
  <si>
    <t>Irina Lassel (VL)</t>
  </si>
  <si>
    <t>Prigon Maria (VL) BN</t>
  </si>
  <si>
    <t>Alprod Ionut (finalizare)</t>
  </si>
  <si>
    <t>Hiristea Racord (Z)</t>
  </si>
  <si>
    <t xml:space="preserve">Lesan Daniela (VL) BN </t>
  </si>
  <si>
    <t>Borbely</t>
  </si>
  <si>
    <t>Romgaz Medias</t>
  </si>
  <si>
    <t>Velionicuri</t>
  </si>
  <si>
    <t>Romgaz Ploiesti</t>
  </si>
  <si>
    <t>trebuie facuta o recablare de String la Tiplea CJ</t>
  </si>
  <si>
    <t>SEIV Victron</t>
  </si>
  <si>
    <t>Penny vanatorilor/Deda/Genex</t>
  </si>
  <si>
    <t>Croitor + 1 om panouri</t>
  </si>
  <si>
    <t>trebuie facuta o recablare de String la Szappanyos Zoltan - M.Niraj</t>
  </si>
  <si>
    <t>Nendrean Gheorghe (VL)</t>
  </si>
  <si>
    <t>Aruncutean jud. BN</t>
  </si>
  <si>
    <t>Barbuta Nicolae (VL)</t>
  </si>
  <si>
    <t>Ceusan Valentina (VL)</t>
  </si>
  <si>
    <t xml:space="preserve">  Ariesan Ioan (VL) BN</t>
  </si>
  <si>
    <t>Nendrean Gheorghe (VL) + Croitor Valentin (VL)</t>
  </si>
  <si>
    <t>Molnos Margarit (Z) + 
Feleki</t>
  </si>
  <si>
    <t>Mate Francisc+ Borbely</t>
  </si>
  <si>
    <t>Prigon Maria (VL) BN + Ariesan Ioan (VL) BN</t>
  </si>
  <si>
    <t>Ovidiu revnic (Z) + Racord</t>
  </si>
  <si>
    <t>Orsova Santier Naval</t>
  </si>
  <si>
    <t>Vaida Ileana demontat sistem</t>
  </si>
  <si>
    <t>Csergo Zoltán (KR)</t>
  </si>
  <si>
    <t>14.Iulie. 2025.</t>
  </si>
  <si>
    <t>15.Iulie. 2025.</t>
  </si>
  <si>
    <t>16.Iulie. 2025.</t>
  </si>
  <si>
    <t>17.Iulie. 2025.</t>
  </si>
  <si>
    <t>18.Iulie. 2025.</t>
  </si>
  <si>
    <t>19.Iulie. 2025.</t>
  </si>
  <si>
    <t>Edy, Illes</t>
  </si>
  <si>
    <t>Tanczos Gyula (VL) + Krizsan Levente (VL) Velionic</t>
  </si>
  <si>
    <t>Varodi Cristian (VL) + Petrea Oana Maria (VL) + Orban Iosif</t>
  </si>
  <si>
    <t>Gal Domokos (Z)</t>
  </si>
  <si>
    <t>Koncz (Z)</t>
  </si>
  <si>
    <t>Vinceffy Consus</t>
  </si>
  <si>
    <t>Mircea, K. Lorand</t>
  </si>
  <si>
    <t>Titus Vultur</t>
  </si>
  <si>
    <t>Salamon Tamas (VL)</t>
  </si>
  <si>
    <t>Galfi Attila (Z)</t>
  </si>
  <si>
    <t>Molnar Varlam Rezolvare</t>
  </si>
  <si>
    <t>Pompa submersibila Santana</t>
  </si>
  <si>
    <t>Tablouri Sg. Mures</t>
  </si>
  <si>
    <t>Service CV</t>
  </si>
  <si>
    <t>Appa Eugen (Z) + Borbely Panet</t>
  </si>
  <si>
    <t>Birlut Alexandru (VL) AB + Birlut Cristian (VL) AB</t>
  </si>
  <si>
    <t xml:space="preserve">Prigon Maria (VL) BN + Ariesan Ioan (VL) BN </t>
  </si>
  <si>
    <t>Koncz (Z) 30 panouri</t>
  </si>
  <si>
    <t>Gödri (Z) + Moldovan Andrada (VL) montat panouri la loc</t>
  </si>
  <si>
    <t>Appa Eugen (Z)</t>
  </si>
  <si>
    <t>Birlut Alexandru (VL) AB</t>
  </si>
  <si>
    <t>Birlut Cristian (VL) AB</t>
  </si>
  <si>
    <t>Vajda Danila demontat sistem</t>
  </si>
  <si>
    <t>Gödri (Z)</t>
  </si>
  <si>
    <t>NTS - Schimb panouri</t>
  </si>
  <si>
    <t>Kriszti, Gamci, Tamas, Zsolt, Sandor</t>
  </si>
  <si>
    <t>Versuni - Orastie + Orsova</t>
  </si>
  <si>
    <t>Santier Naval Orsova</t>
  </si>
  <si>
    <t>Clienti BV delegatie pentru piesa sparatie impamantare</t>
  </si>
  <si>
    <t>Jancsi, Robi, Csongi,Hajdu Levi, Barni, Sándor, Anti</t>
  </si>
  <si>
    <t>21.Iulie. 2025.</t>
  </si>
  <si>
    <t>22.Iulie. 2025.</t>
  </si>
  <si>
    <t>23.Iulie. 2025.</t>
  </si>
  <si>
    <t>24.Iulie. 2025.</t>
  </si>
  <si>
    <t>25.Iulie. 2025.</t>
  </si>
  <si>
    <t>26.Iulie. 2025.</t>
  </si>
  <si>
    <t>Kis Lorand Sikó</t>
  </si>
  <si>
    <t>Sebesi Szabolcs</t>
  </si>
  <si>
    <t>Szilveszter Julia (Z)</t>
  </si>
  <si>
    <t>Edy 24.07-01.08 Out</t>
  </si>
  <si>
    <t>Molnos Margit (Z)</t>
  </si>
  <si>
    <t>Dobrinas Doina Cerinica (VL) BV</t>
  </si>
  <si>
    <t>Sorin Ungureanu (VL) BV</t>
  </si>
  <si>
    <t>Kendi Alexandru (KR)</t>
  </si>
  <si>
    <t>Oliver - Cluj/Samu - Service</t>
  </si>
  <si>
    <t>SEIV de dimi</t>
  </si>
  <si>
    <t>Taran Constantin/Genex</t>
  </si>
  <si>
    <t>Oliver OUT</t>
  </si>
  <si>
    <t xml:space="preserve">Bodor Imre </t>
  </si>
  <si>
    <t>TEAM Csaba (ex Megora)</t>
  </si>
  <si>
    <t>Szakács József MS (KR) + Babos Csongor (Z)</t>
  </si>
  <si>
    <t>Cornelia Luca</t>
  </si>
  <si>
    <t xml:space="preserve">Daroczi </t>
  </si>
  <si>
    <t>Miresan Ana Maria (VL) BN</t>
  </si>
  <si>
    <t>Bodor Imre (Z)</t>
  </si>
  <si>
    <t>Alev 8.15-8.30 +
Anisoara Moldovan</t>
  </si>
  <si>
    <t>Magor OUT</t>
  </si>
  <si>
    <t>Sg. Mures</t>
  </si>
  <si>
    <t>Parohia Ref. Fantanele</t>
  </si>
  <si>
    <t>Tiplea de rezolvat stringul</t>
  </si>
  <si>
    <t>Panet</t>
  </si>
  <si>
    <t>28.Iulie. 2025.</t>
  </si>
  <si>
    <t>29.Iulie. 2025.</t>
  </si>
  <si>
    <t>30.Iulie. 2025.</t>
  </si>
  <si>
    <t>31.Iulie. 2025.</t>
  </si>
  <si>
    <t>01.August. 2025.</t>
  </si>
  <si>
    <t>02.August. 2025.</t>
  </si>
  <si>
    <t>V. Tamas + Daroczi</t>
  </si>
  <si>
    <t>DELEGATIE BH SECARA (KR)</t>
  </si>
  <si>
    <t>DELEGATIE SM Cristea Nicolae (Z)/ Mircea OUT</t>
  </si>
  <si>
    <t>Stabilizator Banciu Ciprian(VL) + Tiplea montaj siguranta</t>
  </si>
  <si>
    <t>Szakacs József (KR)</t>
  </si>
  <si>
    <t>CSibi Levente (KR)</t>
  </si>
  <si>
    <t>Jako + Iszlai + Stabilizator</t>
  </si>
  <si>
    <t>Brasov impamantari</t>
  </si>
  <si>
    <t>Stanca Mihai (VL)</t>
  </si>
  <si>
    <t>Szalai Denes</t>
  </si>
  <si>
    <t>depo</t>
  </si>
  <si>
    <t>Droker</t>
  </si>
  <si>
    <t>Kádár György (Z)</t>
  </si>
  <si>
    <t>Szeghalmi Laszlo (Z) +</t>
  </si>
  <si>
    <t>Moise Adrian (VL), a plouat</t>
  </si>
  <si>
    <t xml:space="preserve">Stanca Mihai (VL) </t>
  </si>
  <si>
    <t>- minden napra 1 rendszer</t>
  </si>
  <si>
    <t>Kis Lorand, Siko</t>
  </si>
  <si>
    <t>Szeghalmi Laszlo (Z)</t>
  </si>
  <si>
    <t>Bumbi  Racord + Prigon</t>
  </si>
  <si>
    <t>Balogh Otto</t>
  </si>
  <si>
    <t>Carina Bianca Ginta (VL)</t>
  </si>
  <si>
    <t>Redfruct</t>
  </si>
  <si>
    <t>Saniter Naval Orsova</t>
  </si>
  <si>
    <t>04.August. 2025.</t>
  </si>
  <si>
    <t>05.August. 2025.</t>
  </si>
  <si>
    <t>06.August. 2025.</t>
  </si>
  <si>
    <t>07.August. 2025.</t>
  </si>
  <si>
    <t>08.August. 2025.</t>
  </si>
  <si>
    <t>09.August. 2025.</t>
  </si>
  <si>
    <t>De terminat restul - Balogh Otto</t>
  </si>
  <si>
    <t>Pop Daniela Cornelia (VL) BN</t>
  </si>
  <si>
    <t>Fazakas Judit (VL)</t>
  </si>
  <si>
    <t>Fogarasi Viorica (VL) BV</t>
  </si>
  <si>
    <t>Red Fruct Huawei</t>
  </si>
  <si>
    <t>Craciun Iulian Sebes</t>
  </si>
  <si>
    <t>Genex + Transvod</t>
  </si>
  <si>
    <t>Transvod + Molnar Margareta</t>
  </si>
  <si>
    <t>Moldovan Anisoara</t>
  </si>
  <si>
    <t>Serbanat Vasile (VL)</t>
  </si>
  <si>
    <t>TM - MAP0</t>
  </si>
  <si>
    <t>Babos Csongor</t>
  </si>
  <si>
    <t>Nechita Carmen</t>
  </si>
  <si>
    <t>Mardare Slimnic (VL) Slimnic</t>
  </si>
  <si>
    <t>Dan Paul Dragomir</t>
  </si>
  <si>
    <t xml:space="preserve"> Fazakas Judit (VL)</t>
  </si>
  <si>
    <t>Moldovan Anisoara + Szekely Andras</t>
  </si>
  <si>
    <t>TEAM Szaszi</t>
  </si>
  <si>
    <t>Ana Panzio / Adi Drag Trans</t>
  </si>
  <si>
    <t>Adi Drag Trans</t>
  </si>
  <si>
    <t>Adi Drag Trans/ Naci bacsi</t>
  </si>
  <si>
    <t>Bulinfront Gyergyo</t>
  </si>
  <si>
    <t>11.August. 2025.</t>
  </si>
  <si>
    <t>12.August. 2025.</t>
  </si>
  <si>
    <t>13.August. 2025.</t>
  </si>
  <si>
    <t>14.August. 2025.</t>
  </si>
  <si>
    <t>15.August. 2025.</t>
  </si>
  <si>
    <t>16.August. 2025.</t>
  </si>
  <si>
    <t>Dezsi Niculina (VL)</t>
  </si>
  <si>
    <t>Sukosd Sandor Parohii (VL)</t>
  </si>
  <si>
    <t>Parau Bistrita PHOENIX</t>
  </si>
  <si>
    <t>Service Turda (Renon) + Bihor</t>
  </si>
  <si>
    <t>POMADENT (Z)</t>
  </si>
  <si>
    <t>Tablouri + Service</t>
  </si>
  <si>
    <t>Tablouri + Adi Drag Trans</t>
  </si>
  <si>
    <t>Tablouri + Service Adi Drag Trans</t>
  </si>
  <si>
    <t>Hotel AXA</t>
  </si>
  <si>
    <t>Ani Ioan Emanuel (VL)</t>
  </si>
  <si>
    <t>Munteanu Cosmin</t>
  </si>
  <si>
    <t>Fustos Alexandru (VL) si aplicatie Miresan, e vecin</t>
  </si>
  <si>
    <t>Lőrincz Hajnal-Csilla</t>
  </si>
  <si>
    <t>Moise Adrian (VL)</t>
  </si>
  <si>
    <t xml:space="preserve">Fustos Alexandru (VL) </t>
  </si>
  <si>
    <t>Lőrincz Hajnal-Csilla + 
Chetan Campia turzii</t>
  </si>
  <si>
    <t>Juhos Zsolt (KR)</t>
  </si>
  <si>
    <t>Pete Endre-Benedek</t>
  </si>
  <si>
    <t xml:space="preserve">Teodor Baltat </t>
  </si>
  <si>
    <t>18.August. 2025.</t>
  </si>
  <si>
    <t>19.August. 2025.</t>
  </si>
  <si>
    <t>20.August. 2025.</t>
  </si>
  <si>
    <t>21.August. 2025.</t>
  </si>
  <si>
    <t>22.August. 2025.</t>
  </si>
  <si>
    <t>23.August. 2025.</t>
  </si>
  <si>
    <t>Lapohos Attila Parohie (VL) + Miresan</t>
  </si>
  <si>
    <t>Cirstea Ciprian (VL)</t>
  </si>
  <si>
    <t>Faluvegi Sandor</t>
  </si>
  <si>
    <t xml:space="preserve">Popoviciu Ovidiu (VL) </t>
  </si>
  <si>
    <t>TRANS VOL BONA (VL)</t>
  </si>
  <si>
    <t>Ungureanu Ion</t>
  </si>
  <si>
    <t>Marius Florin Rusu</t>
  </si>
  <si>
    <t>Hotel AXA2</t>
  </si>
  <si>
    <t>Nemes Sandor Racord Tamas</t>
  </si>
  <si>
    <t>Orsova</t>
  </si>
  <si>
    <t>Balint Tibor</t>
  </si>
  <si>
    <t>Juhos Zsolt</t>
  </si>
  <si>
    <t>Pazsint Peter (VL)</t>
  </si>
  <si>
    <t>Borcsa (Z)</t>
  </si>
  <si>
    <t>Torok Mihaly racord (Z)</t>
  </si>
  <si>
    <t>Sallai Marton</t>
  </si>
  <si>
    <t>Kötő Edvin-Ottó +
KÖTŐ HÁRDI ATTILA</t>
  </si>
  <si>
    <t xml:space="preserve"> COSMA LAURENTIU + Farcas Dej</t>
  </si>
  <si>
    <t>ZOLTAN-JANOS ZARECKI</t>
  </si>
  <si>
    <t>Szabo Lehel Parohie (VL) BN</t>
  </si>
  <si>
    <t>Molnar L. Levente</t>
  </si>
  <si>
    <t>Nazna</t>
  </si>
  <si>
    <t>Csizmas Szilard (Z)</t>
  </si>
  <si>
    <t>Lapohos Attila Parohie (VL)</t>
  </si>
  <si>
    <t>Torok Mihaly</t>
  </si>
  <si>
    <t>Popoviciu Ovidiu (VL) + Barnika</t>
  </si>
  <si>
    <t>LUCRĂRILE SE TREC DUPĂ CE SUNT INTEGRAL COMPLETATE ÎN MINICRM!!!</t>
  </si>
  <si>
    <t>25.August. 2025.</t>
  </si>
  <si>
    <t>26.August. 2025.</t>
  </si>
  <si>
    <t>27.August. 2025.</t>
  </si>
  <si>
    <t>28.August. 2025.</t>
  </si>
  <si>
    <t>29.August. 2025.</t>
  </si>
  <si>
    <t>30.August. 2025.</t>
  </si>
  <si>
    <t>Eles Francisc Parohie (VL)</t>
  </si>
  <si>
    <t>Szekely Andras (Z) Racord</t>
  </si>
  <si>
    <t>Kelemen Alpár (Z)</t>
  </si>
  <si>
    <t>COSMA LAURENTIU (Z) Racord</t>
  </si>
  <si>
    <t>Stef Tamas SM (KR)</t>
  </si>
  <si>
    <t>AXA  Demontat</t>
  </si>
  <si>
    <t>Service:
 Nicolescu+Straia+Muzeu</t>
  </si>
  <si>
    <t>Turia - Endre+Levi (KR)</t>
  </si>
  <si>
    <t>Olivér, Samu, Barnika, Lori</t>
  </si>
  <si>
    <t>Apahida</t>
  </si>
  <si>
    <t>Tablouri / Service</t>
  </si>
  <si>
    <t>Pete Endre-Benedek Racord (Z)</t>
  </si>
  <si>
    <t>Teodor Baltat racord (Z)</t>
  </si>
  <si>
    <t>Nagy Ferencz (VL) + 
Fazakas Judit (VL) un VELIONIC</t>
  </si>
  <si>
    <t>Scoala Nazna (Z)</t>
  </si>
  <si>
    <t>Molnar L. Levente racord (Z)</t>
  </si>
  <si>
    <t>NAZNA  Scoala</t>
  </si>
  <si>
    <t>Centru de dializă Zalău</t>
  </si>
  <si>
    <t xml:space="preserve">Cristea NicolAE </t>
  </si>
  <si>
    <t>Lapohos Attila Parohie (VL) + 1 string Nagy Ferencz</t>
  </si>
  <si>
    <t>Consus Libertatii 50 kw</t>
  </si>
  <si>
    <t xml:space="preserve">
Paclisa
</t>
  </si>
  <si>
    <t>01.Sept.2025</t>
  </si>
  <si>
    <t>02.Sept.2025</t>
  </si>
  <si>
    <t>03.Sept.2025</t>
  </si>
  <si>
    <t>04.Sept.2025</t>
  </si>
  <si>
    <t>05.Sept.2025</t>
  </si>
  <si>
    <t>06.Sept.2035</t>
  </si>
  <si>
    <t>Ludusan Cristian (VL)</t>
  </si>
  <si>
    <t>Tomoni Cornel (VL)</t>
  </si>
  <si>
    <t>Solyom Klara (VL)</t>
  </si>
  <si>
    <t>Kovacs Istvan Parohia R. 
Buza  (VL)</t>
  </si>
  <si>
    <t>KÖTŐ HÁRDI ATTILA Racord (Z)</t>
  </si>
  <si>
    <t>Csizmas Szilard (Z) - Racord</t>
  </si>
  <si>
    <t>MIRALIUS CONT Iustin Cotoi (VL)</t>
  </si>
  <si>
    <t>Parohia Ref Fantanele (KR)</t>
  </si>
  <si>
    <t>tabl + serv + Apahida</t>
  </si>
  <si>
    <t xml:space="preserve">tabl + serv </t>
  </si>
  <si>
    <t>tabl + serv + Dora - Oli</t>
  </si>
  <si>
    <t>Kötő Edvin-Ottó Racord (Z)</t>
  </si>
  <si>
    <t>My Power Team - Timisoara</t>
  </si>
  <si>
    <t>Baba Viorel (Z)
Daroczi OUT</t>
  </si>
  <si>
    <t>Daroczi + Magor OUT</t>
  </si>
  <si>
    <t xml:space="preserve">M O N O BAU (SC. GEN. GALAUTAS) </t>
  </si>
  <si>
    <t>nimic</t>
  </si>
  <si>
    <t>TEAM Bako</t>
  </si>
  <si>
    <t>Baba Viorel (Z)</t>
  </si>
  <si>
    <t>Zoli, Csabi</t>
  </si>
  <si>
    <t>Solyom Klara (VL) + 2 pano AppaEugen</t>
  </si>
  <si>
    <t>08.Sept.2025</t>
  </si>
  <si>
    <t>09.Sept.2025</t>
  </si>
  <si>
    <t>10.Sept.2025</t>
  </si>
  <si>
    <t>11.Sept.2025</t>
  </si>
  <si>
    <t>12.Sept.2025</t>
  </si>
  <si>
    <t>13.Sept.2035</t>
  </si>
  <si>
    <t>EDY OUT - Siko SGMS</t>
  </si>
  <si>
    <t>Holbach + Tablouri</t>
  </si>
  <si>
    <t>Vitalis Toni (VL)</t>
  </si>
  <si>
    <t>Bokor István - Marta cofetarie</t>
  </si>
  <si>
    <t>Katai Emoke (KR)</t>
  </si>
  <si>
    <t>Kálmán Gábor (KR) Koronka</t>
  </si>
  <si>
    <t>Bendris Teodor (VL)</t>
  </si>
  <si>
    <t>Szasz Tibor (KR)</t>
  </si>
  <si>
    <t>Noroc si fericire</t>
  </si>
  <si>
    <t>Dobrinas Velionic + Service</t>
  </si>
  <si>
    <t>Pop Ioan Marcel Parohia Casva Pauloaia (VL)</t>
  </si>
  <si>
    <t>Kovacs Ildiko (Z)</t>
  </si>
  <si>
    <t>ZOLTAN-JANOS ZARECKI (Z)</t>
  </si>
  <si>
    <t>Tablouri DC Paclisa</t>
  </si>
  <si>
    <t>Evergreen 80 kWp</t>
  </si>
  <si>
    <t>H.Szabi, H. Attila K. Szabi, K.Roli, M.Roland</t>
  </si>
  <si>
    <t xml:space="preserve">CEF Tuda EST </t>
  </si>
  <si>
    <t>15.Sept.2025</t>
  </si>
  <si>
    <t>16.Sept.2025</t>
  </si>
  <si>
    <t>17.Sept.2025</t>
  </si>
  <si>
    <t>18.Sept.2025</t>
  </si>
  <si>
    <t>19.Sept.2025</t>
  </si>
  <si>
    <t>20.Sept.2025</t>
  </si>
  <si>
    <t>Levicko Torja Akkuk</t>
  </si>
  <si>
    <t>FEKETE GABOR (Z)</t>
  </si>
  <si>
    <t>Climescu Kovaszna</t>
  </si>
  <si>
    <t>Papp Timea Maria (Z)</t>
  </si>
  <si>
    <t>CO (Sita este!)</t>
  </si>
  <si>
    <t>Forro Laszlo (Z)</t>
  </si>
  <si>
    <t>Lepedus Ioan (Z)</t>
  </si>
  <si>
    <t>Szasz Tibor CV24</t>
  </si>
  <si>
    <t>Szép Attila (Z)</t>
  </si>
  <si>
    <t>Kerekes Miklos (Z)</t>
  </si>
  <si>
    <t>Team Csaba</t>
  </si>
  <si>
    <t xml:space="preserve"> Papp Timea Maria (Z)</t>
  </si>
  <si>
    <t xml:space="preserve">Stanciu Adrian (VL) </t>
  </si>
  <si>
    <t xml:space="preserve">Szasz Tibor CV24 </t>
  </si>
  <si>
    <t xml:space="preserve">
Paclisa
</t>
  </si>
  <si>
    <t>H.Szabi, H. Attila K. Szabi, L.Szabi, K.Roli, M.Roland</t>
  </si>
  <si>
    <t>Team Csaba extern</t>
  </si>
  <si>
    <t>22.Sept.2025</t>
  </si>
  <si>
    <t>23.Sept.2025</t>
  </si>
  <si>
    <t>24.Sept.2025</t>
  </si>
  <si>
    <t>25.Sept.2025</t>
  </si>
  <si>
    <t>26.Sept.2025</t>
  </si>
  <si>
    <t>27.Sept.2025</t>
  </si>
  <si>
    <t>Buliga  Nicu Valentin (Z)</t>
  </si>
  <si>
    <t>Viorel Farcas (VL) TRANS VOL BONA</t>
  </si>
  <si>
    <t>Cristian-MyPowerTeam</t>
  </si>
  <si>
    <t>Nagy Csaba( Z )</t>
  </si>
  <si>
    <t>Ilea Petru Constantin (Z)</t>
  </si>
  <si>
    <t>Szasz Jozsef (Z)</t>
  </si>
  <si>
    <t>Gergely Janos (Z)</t>
  </si>
  <si>
    <t xml:space="preserve">Gergely Janos (Z) + Meszesi </t>
  </si>
  <si>
    <t>29.Sept.2025</t>
  </si>
  <si>
    <t>30.Sept.2025</t>
  </si>
  <si>
    <t>01.Oct.2025.</t>
  </si>
  <si>
    <t>02.Oct.2025.</t>
  </si>
  <si>
    <t>03.Oct.2025.</t>
  </si>
  <si>
    <t>04.Oct.2025.</t>
  </si>
  <si>
    <t>Moldovan Sandor (VL) racord</t>
  </si>
  <si>
    <t>Szekely István (Z)</t>
  </si>
  <si>
    <t>Secareanu (Z)</t>
  </si>
  <si>
    <t>Bistrita</t>
  </si>
  <si>
    <t>Iroda Internet</t>
  </si>
  <si>
    <t xml:space="preserve">Lucrare amânată </t>
  </si>
  <si>
    <t>Paizs Tibor</t>
  </si>
  <si>
    <t>Paskuj Andras (Z)</t>
  </si>
  <si>
    <t>Fodor Kriszta Beata (Z) +
  Lokodi Levente</t>
  </si>
  <si>
    <t>Kriszti, Gamci, Sanyi</t>
  </si>
  <si>
    <t>Kriszti Purcaru Ciugud - Paclisa</t>
  </si>
  <si>
    <t xml:space="preserve">Sg. Mures </t>
  </si>
  <si>
    <t>Sg. Mures / Hora</t>
  </si>
  <si>
    <t>06.Oct.2025</t>
  </si>
  <si>
    <t>07.Oct.2025</t>
  </si>
  <si>
    <t>08.Oct.2025</t>
  </si>
  <si>
    <t>09.Oct.2025</t>
  </si>
  <si>
    <t>10.Oct.2025</t>
  </si>
  <si>
    <t>11.Oct.2025</t>
  </si>
  <si>
    <t>Ursa Nicolae - VRANCEA</t>
  </si>
  <si>
    <t>Petrovici  (Z)</t>
  </si>
  <si>
    <t>Zolog Mircea (VL) - extinder + inlocuire baterie/ Ildiko Kovacs de montat 1 doza derivatie</t>
  </si>
  <si>
    <t xml:space="preserve"> TRANS VOL BONA - VELIONIC</t>
  </si>
  <si>
    <t>Noroc si Fericire</t>
  </si>
  <si>
    <t>Tablouri - CEF Turda</t>
  </si>
  <si>
    <t>ADI DRAG TRANS AKKU</t>
  </si>
  <si>
    <t>Olivér, Samu, Lori</t>
  </si>
  <si>
    <t>Croitor Liviu - de indentificat stringurile - SERVICE</t>
  </si>
  <si>
    <t>Barabasi Vencel (KR)</t>
  </si>
  <si>
    <t>Paskuj Andras (Z) - Predeal</t>
  </si>
  <si>
    <t xml:space="preserve"> Sarkadi Szilard SM (KR) + Ciorba G.Service</t>
  </si>
  <si>
    <t>Manastirea Pauloaia - 
Pop Ioan Marcel</t>
  </si>
  <si>
    <t>Paskuj Andras Deva 1
LA 8 SA FIM ACOLO</t>
  </si>
  <si>
    <t>Zolog Mircea (VL) - extinder + inlocuire baterie+ țepi anti păsări Paizs Tibor</t>
  </si>
  <si>
    <t xml:space="preserve"> Sarkadi Szilard SM (KR)</t>
  </si>
  <si>
    <t>Hora</t>
  </si>
  <si>
    <t>Sg. Mures/Hora</t>
  </si>
  <si>
    <t>13.Oct.2025</t>
  </si>
  <si>
    <t>14.Oct.2025</t>
  </si>
  <si>
    <t>15.Oct.2025</t>
  </si>
  <si>
    <t>16.Oct.2025</t>
  </si>
  <si>
    <t>17.Oct.2025</t>
  </si>
  <si>
    <t>18.Oct.2025</t>
  </si>
  <si>
    <t>Tablouri DC Threepharm</t>
  </si>
  <si>
    <t>Timandi Vasile (Z)</t>
  </si>
  <si>
    <t xml:space="preserve">Olivér, Samu </t>
  </si>
  <si>
    <r>
      <rPr>
        <rFont val="Arial"/>
        <color theme="1"/>
      </rPr>
      <t>Fodor Tibor - baterie Huawei 7 kW + modul putere + smartguard tri (VL)</t>
    </r>
    <r>
      <rPr>
        <rFont val="Arial"/>
        <color rgb="FFFFFF00"/>
      </rPr>
      <t xml:space="preserve"> </t>
    </r>
  </si>
  <si>
    <t>Nica Marius Stelica (VL) Codlea</t>
  </si>
  <si>
    <t>Isfanoi-Trif Laurean-Ancut (VL) HD</t>
  </si>
  <si>
    <t>UNGPRO (VL) luna 10 kWh</t>
  </si>
  <si>
    <t xml:space="preserve">Velionic - Imre Berkeczi </t>
  </si>
  <si>
    <t>Fekete Ferenc? interventie + Construlux</t>
  </si>
  <si>
    <t>LÁSZLÓ GABRIELLA + Laszlo Pal de instalat 1 PANOU</t>
  </si>
  <si>
    <t>Radu Vasile Ioan (VL) +
 Rotar Vasile 6 panouri</t>
  </si>
  <si>
    <t>Jancsi,Hajdu Levi, Barni</t>
  </si>
  <si>
    <t>Robi, Csongi, B. Krisztian</t>
  </si>
  <si>
    <t>20.Oct.2025</t>
  </si>
  <si>
    <t>21.Oct.2025</t>
  </si>
  <si>
    <t>22.Oct.2025</t>
  </si>
  <si>
    <t>23.Oct.2025</t>
  </si>
  <si>
    <t>24.Oct.2025</t>
  </si>
  <si>
    <t>25.Oct.2025</t>
  </si>
  <si>
    <t>Cisteian Claudiu (Z) 
VICTRON + HUAWEI</t>
  </si>
  <si>
    <t>Fodor Tibor - Deye</t>
  </si>
  <si>
    <t>Zalau DializaCenter (Z)</t>
  </si>
  <si>
    <t>Fodor Kriszta Beata (Z)</t>
  </si>
  <si>
    <t>Cluj Deseuri</t>
  </si>
  <si>
    <t>Radu Vasile Ioan (VL)</t>
  </si>
  <si>
    <t xml:space="preserve"> Rotar Vasile Ernei (Z) racord</t>
  </si>
  <si>
    <t>Trella V Vera (KR)</t>
  </si>
  <si>
    <t>Szasz József (Kocka)</t>
  </si>
  <si>
    <t>Paskuj Predeal 1</t>
  </si>
  <si>
    <t>Domokos Gal Charger (Z)</t>
  </si>
  <si>
    <t>Evora acoperisuri</t>
  </si>
  <si>
    <t>NZeb + Evora acoperisuri</t>
  </si>
  <si>
    <t>Penny acoperis</t>
  </si>
  <si>
    <t>Gergely Emese (Z) 10 panouri+ Szekely Ferenc 10 panouri (Z)</t>
  </si>
  <si>
    <t>Cisteian Claudiu (Z)</t>
  </si>
  <si>
    <t>Bölöni Csaba (Z)</t>
  </si>
  <si>
    <t>ThreepHarm Sediu</t>
  </si>
  <si>
    <t>Paclisa / Kriszti Ciugud</t>
  </si>
  <si>
    <t xml:space="preserve">CEF Turda EST </t>
  </si>
  <si>
    <t>27.Oct.2025</t>
  </si>
  <si>
    <t>28.Oct.2025</t>
  </si>
  <si>
    <t>29.Oct.2025</t>
  </si>
  <si>
    <t>30.Oct.2025</t>
  </si>
  <si>
    <t>31.Oct.2025</t>
  </si>
  <si>
    <t>01.Nov.2025</t>
  </si>
  <si>
    <t>Hora Reghin</t>
  </si>
  <si>
    <t>INVERTOARE GALAUTAS!!!</t>
  </si>
  <si>
    <t>ROBI</t>
  </si>
  <si>
    <t>Sg. Mures/Ambisco</t>
  </si>
  <si>
    <t>Tablouri Panet+Cluj</t>
  </si>
  <si>
    <t>Cluj</t>
  </si>
  <si>
    <t>Cluj + INNA</t>
  </si>
  <si>
    <t>Automatizare Olariu</t>
  </si>
  <si>
    <t>Marcela Mozes</t>
  </si>
  <si>
    <t>Halmagy (Z)</t>
  </si>
  <si>
    <t>Guszti (Z)</t>
  </si>
  <si>
    <t>JCR Ploiesti Mentenanta</t>
  </si>
  <si>
    <t>Evora Mentenanta</t>
  </si>
  <si>
    <t>Fodor Kriszta + ThreepHarm Sediu</t>
  </si>
  <si>
    <t>Baciu Marius extindere 5 panouri (VL) + Lapohos Attila BN (KR)</t>
  </si>
  <si>
    <t>03.Nov.2025</t>
  </si>
  <si>
    <t>04.Nov.2025</t>
  </si>
  <si>
    <t>05.Nov.2025</t>
  </si>
  <si>
    <t>06.Nov.2025</t>
  </si>
  <si>
    <t>07.Nov.2025</t>
  </si>
  <si>
    <t>08.Nov.2025</t>
  </si>
  <si>
    <t>Turia</t>
  </si>
  <si>
    <t>Paclisa racord popoviciu</t>
  </si>
  <si>
    <t>Ambisco</t>
  </si>
  <si>
    <t>Tablo Sg. de Mures</t>
  </si>
  <si>
    <t>Jako/Hora</t>
  </si>
  <si>
    <t>SM - IMPORTANT!!!!</t>
  </si>
  <si>
    <t>Szasz Tibor Velio - dupa masa</t>
  </si>
  <si>
    <t>Laszlo Gabriella Racord (Z)</t>
  </si>
  <si>
    <t>Coltea Teodor (VL)</t>
  </si>
  <si>
    <t>Stoica Adrian (VL)</t>
  </si>
  <si>
    <t>Gyarmati (Z)</t>
  </si>
  <si>
    <t>GIB Charger + Duplenschi</t>
  </si>
  <si>
    <t>Mentenanta Brico Resalta</t>
  </si>
  <si>
    <t>Mentenanta Ibanesti Mirda</t>
  </si>
  <si>
    <t>Mentenanta Reghin Mirda</t>
  </si>
  <si>
    <t>Prod Com Borsec 6kW doar Barnex</t>
  </si>
  <si>
    <t>SURTEC Doja</t>
  </si>
  <si>
    <t>Prod Com Borsec 6kW fara Csapi</t>
  </si>
  <si>
    <t>Duplenschi Reghin</t>
  </si>
  <si>
    <t>Hora/Ambisco</t>
  </si>
  <si>
    <t>H.Szabi, H. Attila K. Szabi, L.Szabi, M.Roland</t>
  </si>
  <si>
    <t>S</t>
  </si>
  <si>
    <t>Samu SERVICE</t>
  </si>
  <si>
    <t>Craciun Ioan  - Sebes</t>
  </si>
  <si>
    <t>Petrovici Gherla!!!!</t>
  </si>
  <si>
    <t>10.Nov.2025</t>
  </si>
  <si>
    <t>11.Nov.2025</t>
  </si>
  <si>
    <t>12.Nov.2025</t>
  </si>
  <si>
    <t>13.Nov.2025</t>
  </si>
  <si>
    <t>14.Nov.2025</t>
  </si>
  <si>
    <t>15.Nov.2025</t>
  </si>
  <si>
    <t>Szakacs (KR)</t>
  </si>
  <si>
    <t>Stanciu Nicolae Adrian</t>
  </si>
  <si>
    <t>Friczi (Z)</t>
  </si>
  <si>
    <t>Tantos Diana (VL)</t>
  </si>
  <si>
    <t>Parohia Vaida Danila</t>
  </si>
  <si>
    <t>Cluj+SEIV</t>
  </si>
  <si>
    <t>Tudorache Ioan (KCK)</t>
  </si>
  <si>
    <t>Bartalis (Z)</t>
  </si>
  <si>
    <t>Vasana (Z)</t>
  </si>
  <si>
    <t>Gergely Emese Racord (Z)</t>
  </si>
  <si>
    <t>Szekely Ferenc Racord (Z)</t>
  </si>
  <si>
    <t>Mentenanta Surtec Dozsa</t>
  </si>
  <si>
    <t>Predeal  1 - Paskuj Bakoeknak</t>
  </si>
  <si>
    <t>Kacso Sandor (VL)</t>
  </si>
  <si>
    <t>Parc Ierbus Reghin</t>
  </si>
  <si>
    <t>17.Nov.2025</t>
  </si>
  <si>
    <t>18.Nov.2025</t>
  </si>
  <si>
    <t>19.Nov.2025</t>
  </si>
  <si>
    <t>20.Nov.2025</t>
  </si>
  <si>
    <t>21.Nov.2025</t>
  </si>
  <si>
    <t>22.Nov.2025</t>
  </si>
  <si>
    <t>Racord + Velio 
 Takacs Rozalia (Z) + Service</t>
  </si>
  <si>
    <t>Henarox Instal</t>
  </si>
  <si>
    <t>ThreePharm Tablou</t>
  </si>
  <si>
    <t>ThreePharm Sediu</t>
  </si>
  <si>
    <t>Tornai Katalin - inv csere</t>
  </si>
  <si>
    <t>Farkas Ianos Racord</t>
  </si>
  <si>
    <t>SAFTICA</t>
  </si>
  <si>
    <t>Raducea Cristina (VL)</t>
  </si>
  <si>
    <t>Szilagy Anamaria (Z)</t>
  </si>
  <si>
    <t>Baricz Andras (Z)</t>
  </si>
  <si>
    <t>Bondor Csaba (Z)</t>
  </si>
  <si>
    <t>Gombos Security</t>
  </si>
  <si>
    <t>Toma Lucian (Z)</t>
  </si>
  <si>
    <t>Lapohos Attila</t>
  </si>
  <si>
    <t>Santha Huba (KR)</t>
  </si>
  <si>
    <t>Henarox Instal + Service + 1 Om</t>
  </si>
  <si>
    <t xml:space="preserve">Consus Hala EGS </t>
  </si>
  <si>
    <t>24.Nov.2025</t>
  </si>
  <si>
    <t>25.Nov.2025</t>
  </si>
  <si>
    <t>26.Nov.2025</t>
  </si>
  <si>
    <t>27.Nov.2025</t>
  </si>
  <si>
    <t>28.Nov.2025</t>
  </si>
  <si>
    <t>29.Nov.2025</t>
  </si>
  <si>
    <t>Henrao</t>
  </si>
  <si>
    <t>Evora Center (VL) Casvean Claudiu Borzia</t>
  </si>
  <si>
    <t xml:space="preserve">Edy OUT! </t>
  </si>
  <si>
    <t>Edy OUT!</t>
  </si>
  <si>
    <t>8:30 olajcsere + Bumbu + Toma Lucian (Z)</t>
  </si>
  <si>
    <t>Evora Center (VL) Casvean Claudiu Borzia doar Tamas</t>
  </si>
  <si>
    <t>Sugar Ioan Sarmasel Gara</t>
  </si>
  <si>
    <t>Tamas OUT! Mircea =&gt; Imre Berkeczi</t>
  </si>
  <si>
    <t>Ionita Dan Ioan (Z)</t>
  </si>
  <si>
    <t>Simo Andrea-Ünige (KR)</t>
  </si>
  <si>
    <t>Tutti Wellness</t>
  </si>
  <si>
    <t>Turbocam</t>
  </si>
  <si>
    <t>Service Kocsis Andris (Z) + 
Incarcator Ampevo Nemes Katalin</t>
  </si>
  <si>
    <t>Barnika, Tamas OUT!</t>
  </si>
  <si>
    <t>Simo Andrea-Ünige (KR) + Tutti Wellness</t>
  </si>
  <si>
    <t>Imre Berkéczi (V)</t>
  </si>
  <si>
    <t>Consus Hala EGS</t>
  </si>
  <si>
    <t>H.Szabi, K. Szabi, Illes</t>
  </si>
  <si>
    <t>Consus Hala EGS (fara K.Szabi)</t>
  </si>
  <si>
    <t>H. Attila, L.Szabi, M.Roland</t>
  </si>
  <si>
    <t>Depo Veltol</t>
  </si>
  <si>
    <t>1.Dec.2025</t>
  </si>
  <si>
    <t>02.Dec.2025</t>
  </si>
  <si>
    <t>03.Dec.2025</t>
  </si>
  <si>
    <t>04.Dec.2025</t>
  </si>
  <si>
    <t>05.Dec.2025</t>
  </si>
  <si>
    <t>06.Dec.2025</t>
  </si>
  <si>
    <t>LA MULTI</t>
  </si>
  <si>
    <t>Matemar - Velionic si un invertor de 10 DEYE + Vuscan terminat sistemul</t>
  </si>
  <si>
    <t>Zsigmond Maria (Z)</t>
  </si>
  <si>
    <t>Mircea, V. Tamas, K. Zsolt</t>
  </si>
  <si>
    <t>Tornai?</t>
  </si>
  <si>
    <t>Vușcan Nicolae-Doru (KCK)</t>
  </si>
  <si>
    <t>Tölgyesi József (Z)</t>
  </si>
  <si>
    <t>JAKO Sg. Mures</t>
  </si>
  <si>
    <t>ANI</t>
  </si>
  <si>
    <t>Electroservice VTU SRL (Z)</t>
  </si>
  <si>
    <t>Consus Electric</t>
  </si>
  <si>
    <t>Ambisco Petelea</t>
  </si>
  <si>
    <t>ROMANIA!</t>
  </si>
  <si>
    <t>Consus Electric - fara Illes</t>
  </si>
  <si>
    <t>H. Attila, L.Szabi</t>
  </si>
  <si>
    <t>Gamci, Sandor</t>
  </si>
  <si>
    <t>8.Dec.2025</t>
  </si>
  <si>
    <t>9.Dec.2025</t>
  </si>
  <si>
    <t>10.Dec.2025</t>
  </si>
  <si>
    <t>11.Dec.2025</t>
  </si>
  <si>
    <t>12.Dec.2025</t>
  </si>
  <si>
    <t>13.Dec.2025</t>
  </si>
  <si>
    <t>Molnar Peter (Z) - ALMODA</t>
  </si>
  <si>
    <t>Laszlo Robi Aksi átszerelés - 2óra max + HENAROX (VL) impamantare + Cozma Mircea rezistenta</t>
  </si>
  <si>
    <t>Edy Liber</t>
  </si>
  <si>
    <t xml:space="preserve">Coman Alexandru (VL) </t>
  </si>
  <si>
    <t>Roman Olimpiu DEER</t>
  </si>
  <si>
    <t>Fazakas Levente (Z)</t>
  </si>
  <si>
    <t>Kis Andras Akkucsere + Service</t>
  </si>
  <si>
    <t>Tiberiu Glas Proiect</t>
  </si>
  <si>
    <t>Biro Barna (Z)</t>
  </si>
  <si>
    <t>CEF Turda</t>
  </si>
  <si>
    <t>Biro Barna (Z) - fara Bako</t>
  </si>
  <si>
    <t>FERMA BARAT-REM (Z)</t>
  </si>
  <si>
    <t>Coman Alexandru (VL)  cu Bakai</t>
  </si>
  <si>
    <t xml:space="preserve">HEXBOLT (VL) </t>
  </si>
  <si>
    <t>Z. Sanyi 12 - out</t>
  </si>
  <si>
    <t>Consus Electric (Csongi in loc la Gamci)</t>
  </si>
  <si>
    <t>Csongi 3</t>
  </si>
  <si>
    <t>Kriszti, Anti, Z. Robi</t>
  </si>
  <si>
    <t>Paclisa Alba</t>
  </si>
  <si>
    <t>Paclisa Alba - fara Cristi</t>
  </si>
  <si>
    <t>Z. Barni 6 - out</t>
  </si>
  <si>
    <t>Hajdu Levi, Csongi, B. Krisztian, Berci, Z. Barni</t>
  </si>
  <si>
    <t>Fomco Imobiliare (Barni, Levi Csongi, Berci)</t>
  </si>
  <si>
    <t>Anti 2 - out combo Kriszti</t>
  </si>
  <si>
    <t>Janos, H.Szabi, K. Szabi</t>
  </si>
  <si>
    <t>Consus Electric (H. Attila in loc la H. Szabi)</t>
  </si>
  <si>
    <t>H. Levi 5 - out</t>
  </si>
  <si>
    <t>H. Attila, L.Szabi, M. Roli</t>
  </si>
  <si>
    <t>Gamci 6 - out</t>
  </si>
  <si>
    <t>Illes, Kis Lorand</t>
  </si>
  <si>
    <t xml:space="preserve">Stef-Barth Tamás SM (SM) +
 Vida Gusztáv (SM) </t>
  </si>
  <si>
    <t>Alpar 1</t>
  </si>
  <si>
    <t xml:space="preserve">Janos 12 </t>
  </si>
  <si>
    <t>Robi 6 - out</t>
  </si>
  <si>
    <t>15.Dec.2025</t>
  </si>
  <si>
    <t>16.Dec.2025</t>
  </si>
  <si>
    <t>17.Dec.2025</t>
  </si>
  <si>
    <t>18.Dec.2025</t>
  </si>
  <si>
    <t>19.Dec.2025</t>
  </si>
  <si>
    <t>20.Dec.2025</t>
  </si>
  <si>
    <t>Attila Koronka (Z)</t>
  </si>
  <si>
    <t>Tornai Kataloin (KR) + aksi bekötés MS</t>
  </si>
  <si>
    <t>Casvean Claudiu casa V.Pop EVORA CENTER (VL)</t>
  </si>
  <si>
    <t>Casvean Claudiu casa V.Pop EVORA CENTER (VL)  + HEXBOLT (VL) configurare invertor</t>
  </si>
  <si>
    <t>Impamantare HENAROX (VL) + Casvean Claudiu casa V.Pop EVORA CENTER (VL)</t>
  </si>
  <si>
    <t>Daniel Varga (Z)</t>
  </si>
  <si>
    <t>Victor Urzica Montrepcom</t>
  </si>
  <si>
    <t xml:space="preserve">Jako - Nr. </t>
  </si>
  <si>
    <t>Turia Generator</t>
  </si>
  <si>
    <t xml:space="preserve">
Camere Auto Solinvest</t>
  </si>
  <si>
    <t>Olivér + Samu</t>
  </si>
  <si>
    <t>Tudorache MS ( Oszkar )</t>
  </si>
  <si>
    <t>HEXBOLT (VL)</t>
  </si>
  <si>
    <t>Buzdugan Maria CV (VL)</t>
  </si>
  <si>
    <t>Santha Huba (KR) + paroh ref. Fantanele</t>
  </si>
  <si>
    <t>Izsak Arnold Racord (Z)</t>
  </si>
  <si>
    <t>Attila Koronka (Z)  + VTU Electroservice de la 12:00 !!!!</t>
  </si>
  <si>
    <t>HEXBOLT (VL) Sa termine</t>
  </si>
  <si>
    <t>Izsak Arnold (Z)</t>
  </si>
  <si>
    <t>Soma, Zoli, Csabi, Csongi, Bakai K.</t>
  </si>
  <si>
    <t>Consus Electric - fara Csongi - cu Henter Szabi</t>
  </si>
  <si>
    <t>Kriszti, Anti, Z. Robi, Z. Barni, H. Levi, Gamci</t>
  </si>
  <si>
    <t>Janos, H. Attila, L.Szabi</t>
  </si>
  <si>
    <t>M.Roli, Bercike, K. Zsolt</t>
  </si>
  <si>
    <t>Csabika Kerítés</t>
  </si>
  <si>
    <t>Edi</t>
  </si>
  <si>
    <t>Sárkány</t>
  </si>
  <si>
    <t>Henter L</t>
  </si>
  <si>
    <t>Zsombex?</t>
  </si>
  <si>
    <t>Kis Lori?</t>
  </si>
  <si>
    <t>22.Dec.2025</t>
  </si>
  <si>
    <t>23.Dec.2025</t>
  </si>
  <si>
    <t>24.Dec.2025</t>
  </si>
  <si>
    <t>25.Dec.2025</t>
  </si>
  <si>
    <t>26.Dec.2025</t>
  </si>
  <si>
    <t>27.Dec.2025</t>
  </si>
  <si>
    <t>Vlad</t>
  </si>
  <si>
    <t>Katona stringuri</t>
  </si>
  <si>
    <t>Bako Attila, Adorjani, Z. Barni</t>
  </si>
  <si>
    <t>Hajdu Levi, Csongi, B. Krisztian, Berci</t>
  </si>
  <si>
    <t>BELLAMY</t>
  </si>
  <si>
    <t>Perioada</t>
  </si>
  <si>
    <t xml:space="preserve">Szász Béla </t>
  </si>
  <si>
    <t>23.01.2024.</t>
  </si>
  <si>
    <t>Kardos Dénes</t>
  </si>
  <si>
    <t>31.01.2025.</t>
  </si>
  <si>
    <t>Sarkany Samuel</t>
  </si>
  <si>
    <t>22-25,28.2025</t>
  </si>
  <si>
    <t>Palosi Oliver</t>
  </si>
  <si>
    <t>23-25.2025</t>
  </si>
  <si>
    <t>30.04-06.05.2025</t>
  </si>
  <si>
    <t xml:space="preserve">10 - 15 .07.2025 </t>
  </si>
  <si>
    <t>7-25.07.2025.</t>
  </si>
  <si>
    <t>Concediu de paternitate</t>
  </si>
  <si>
    <t>8-14.08.2025</t>
  </si>
  <si>
    <t>01.08.2025.</t>
  </si>
  <si>
    <t>29.08.2025.</t>
  </si>
  <si>
    <t>05.09.2025</t>
  </si>
  <si>
    <t>16-17.10.2025.</t>
  </si>
  <si>
    <t>21.10.2025.</t>
  </si>
  <si>
    <t>18-19.12.2025.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</si>
</sst>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[$RON]#,##0.00"/>
    <numFmt numFmtId="166" formatCode="[$€]#,##0.00"/>
  </numFmts>
  <fonts count="4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sz val="12.0"/>
      <color rgb="FFFFFFFF"/>
      <name val="Aptos Narrow"/>
    </font>
    <font>
      <b/>
      <sz val="12.0"/>
      <color rgb="FFFFFFFF"/>
      <name val="Arial"/>
    </font>
    <font/>
    <font>
      <sz val="12.0"/>
      <color rgb="FFFFFFFF"/>
      <name val="Arial"/>
    </font>
    <font>
      <sz val="11.0"/>
      <color theme="1"/>
      <name val="Arial"/>
    </font>
    <font>
      <sz val="11.0"/>
      <color theme="1"/>
      <name val="Aptos Narrow"/>
    </font>
    <font>
      <color rgb="FF000000"/>
      <name val="Arial"/>
    </font>
    <font>
      <sz val="11.0"/>
      <color theme="0"/>
      <name val="Arial"/>
    </font>
    <font>
      <sz val="11.0"/>
      <color rgb="FF000000"/>
      <name val="Arial"/>
    </font>
    <font>
      <b/>
      <sz val="12.0"/>
      <color theme="0"/>
      <name val="Aptos Narrow"/>
    </font>
    <font>
      <b/>
      <color theme="1"/>
      <name val="Arial"/>
    </font>
    <font>
      <sz val="12.0"/>
      <color theme="0"/>
      <name val="Aptos Narrow"/>
    </font>
    <font>
      <b/>
      <sz val="11.0"/>
      <color theme="1"/>
      <name val="Arial"/>
    </font>
    <font>
      <sz val="12.0"/>
      <color rgb="FFFFFFFF"/>
      <name val="Aptos Narrow"/>
    </font>
    <font>
      <sz val="11.0"/>
      <color rgb="FF1F1F1F"/>
      <name val="&quot;Google Sans&quot;"/>
    </font>
    <font>
      <color theme="0"/>
      <name val="Arial"/>
    </font>
    <font>
      <b/>
      <sz val="11.0"/>
      <color theme="0"/>
      <name val="Arial"/>
    </font>
    <font>
      <b/>
      <sz val="11.0"/>
      <color rgb="FFFFFFFF"/>
      <name val="Arial"/>
    </font>
    <font>
      <b/>
      <color theme="1"/>
      <name val="Aptos Narrow"/>
      <scheme val="minor"/>
    </font>
    <font>
      <sz val="11.0"/>
      <color rgb="FF0061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  <font>
      <color rgb="FF000000"/>
      <name val="Calibri"/>
    </font>
    <font>
      <color rgb="FF000000"/>
      <name val="Aptos Narrow"/>
      <scheme val="minor"/>
    </font>
    <font>
      <sz val="9.0"/>
      <color theme="1"/>
      <name val="Arial"/>
    </font>
    <font>
      <b/>
      <sz val="6.0"/>
      <color rgb="FFFFFFFF"/>
      <name val="Arial"/>
    </font>
    <font>
      <b/>
      <sz val="9.0"/>
      <color rgb="FFFFFFFF"/>
      <name val="Arial"/>
    </font>
    <font>
      <b/>
      <sz val="6.0"/>
      <color theme="0"/>
      <name val="Aptos Narrow"/>
    </font>
    <font>
      <b/>
      <sz val="9.0"/>
      <color theme="0"/>
      <name val="Aptos Narrow"/>
    </font>
    <font>
      <sz val="14.0"/>
      <color theme="1"/>
      <name val="Calibri"/>
    </font>
    <font>
      <sz val="10.0"/>
      <color theme="1"/>
      <name val="Arial"/>
    </font>
    <font>
      <sz val="12.0"/>
      <color theme="1"/>
      <name val="Calibri"/>
    </font>
    <font>
      <b/>
      <sz val="11.0"/>
      <color theme="1"/>
      <name val="&quot;Times New Roman&quot;"/>
    </font>
    <font>
      <sz val="12.0"/>
      <color rgb="FF000000"/>
      <name val="Calibri"/>
    </font>
    <font>
      <sz val="8.0"/>
      <color theme="1"/>
      <name val="Arial"/>
    </font>
    <font>
      <sz val="13.0"/>
      <color theme="1"/>
      <name val="Arial"/>
    </font>
    <font>
      <b/>
      <sz val="6.0"/>
      <color rgb="FFFFFFFF"/>
      <name val="Aptos Narrow"/>
    </font>
  </fonts>
  <fills count="38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D0D0D0"/>
        <bgColor rgb="FFD0D0D0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7F6000"/>
        <bgColor rgb="FF7F6000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006100"/>
        <bgColor rgb="FF006100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3D85C6"/>
        <bgColor rgb="FF3D85C6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4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1" fillId="2" fontId="3" numFmtId="0" xfId="0" applyBorder="1" applyFill="1" applyFont="1"/>
    <xf borderId="2" fillId="2" fontId="4" numFmtId="0" xfId="0" applyAlignment="1" applyBorder="1" applyFont="1">
      <alignment readingOrder="0"/>
    </xf>
    <xf borderId="2" fillId="2" fontId="3" numFmtId="0" xfId="0" applyBorder="1" applyFont="1"/>
    <xf borderId="2" fillId="2" fontId="4" numFmtId="0" xfId="0" applyBorder="1" applyFont="1"/>
    <xf borderId="3" fillId="2" fontId="4" numFmtId="0" xfId="0" applyBorder="1" applyFont="1"/>
    <xf borderId="0" fillId="0" fontId="1" numFmtId="0" xfId="0" applyAlignment="1" applyFont="1">
      <alignment horizontal="left" readingOrder="0"/>
    </xf>
    <xf borderId="4" fillId="0" fontId="5" numFmtId="0" xfId="0" applyBorder="1" applyFont="1"/>
    <xf borderId="5" fillId="2" fontId="4" numFmtId="0" xfId="0" applyAlignment="1" applyBorder="1" applyFont="1">
      <alignment readingOrder="0"/>
    </xf>
    <xf borderId="6" fillId="2" fontId="6" numFmtId="0" xfId="0" applyBorder="1" applyFont="1"/>
    <xf borderId="7" fillId="3" fontId="1" numFmtId="0" xfId="0" applyAlignment="1" applyBorder="1" applyFill="1" applyFont="1">
      <alignment horizontal="center" readingOrder="0"/>
    </xf>
    <xf borderId="8" fillId="0" fontId="5" numFmtId="0" xfId="0" applyBorder="1" applyFont="1"/>
    <xf borderId="9" fillId="0" fontId="7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9" fillId="4" fontId="8" numFmtId="0" xfId="0" applyBorder="1" applyFill="1" applyFont="1"/>
    <xf borderId="6" fillId="2" fontId="6" numFmtId="0" xfId="0" applyAlignment="1" applyBorder="1" applyFont="1">
      <alignment readingOrder="0"/>
    </xf>
    <xf borderId="9" fillId="5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9" fillId="2" fontId="6" numFmtId="0" xfId="0" applyBorder="1" applyFont="1"/>
    <xf borderId="9" fillId="6" fontId="1" numFmtId="0" xfId="0" applyAlignment="1" applyBorder="1" applyFill="1" applyFont="1">
      <alignment horizontal="center" readingOrder="0" vertical="center"/>
    </xf>
    <xf borderId="10" fillId="2" fontId="6" numFmtId="0" xfId="0" applyBorder="1" applyFont="1"/>
    <xf borderId="9" fillId="6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/>
    </xf>
    <xf borderId="11" fillId="2" fontId="6" numFmtId="0" xfId="0" applyBorder="1" applyFont="1"/>
    <xf borderId="0" fillId="0" fontId="7" numFmtId="0" xfId="0" applyAlignment="1" applyFont="1">
      <alignment horizontal="center" readingOrder="0" vertical="center"/>
    </xf>
    <xf borderId="9" fillId="0" fontId="7" numFmtId="0" xfId="0" applyAlignment="1" applyBorder="1" applyFont="1">
      <alignment horizontal="center" readingOrder="0" shrinkToFit="0" wrapText="1"/>
    </xf>
    <xf borderId="0" fillId="7" fontId="1" numFmtId="0" xfId="0" applyAlignment="1" applyFill="1" applyFont="1">
      <alignment horizontal="left" readingOrder="0"/>
    </xf>
    <xf borderId="0" fillId="7" fontId="2" numFmtId="0" xfId="0" applyAlignment="1" applyFont="1">
      <alignment horizontal="left"/>
    </xf>
    <xf borderId="11" fillId="2" fontId="6" numFmtId="0" xfId="0" applyAlignment="1" applyBorder="1" applyFont="1">
      <alignment readingOrder="0"/>
    </xf>
    <xf borderId="9" fillId="0" fontId="7" numFmtId="0" xfId="0" applyAlignment="1" applyBorder="1" applyFont="1">
      <alignment horizontal="center" readingOrder="0" vertical="bottom"/>
    </xf>
    <xf borderId="12" fillId="2" fontId="6" numFmtId="0" xfId="0" applyAlignment="1" applyBorder="1" applyFont="1">
      <alignment readingOrder="0" shrinkToFit="0" wrapText="1"/>
    </xf>
    <xf borderId="9" fillId="8" fontId="1" numFmtId="0" xfId="0" applyAlignment="1" applyBorder="1" applyFill="1" applyFont="1">
      <alignment horizontal="center" readingOrder="0" vertical="center"/>
    </xf>
    <xf borderId="13" fillId="2" fontId="6" numFmtId="0" xfId="0" applyAlignment="1" applyBorder="1" applyFont="1">
      <alignment readingOrder="0"/>
    </xf>
    <xf borderId="9" fillId="2" fontId="6" numFmtId="0" xfId="0" applyAlignment="1" applyBorder="1" applyFont="1">
      <alignment readingOrder="0" shrinkToFit="0" wrapText="1"/>
    </xf>
    <xf borderId="11" fillId="2" fontId="6" numFmtId="0" xfId="0" applyAlignment="1" applyBorder="1" applyFont="1">
      <alignment readingOrder="0" shrinkToFit="0" wrapText="1"/>
    </xf>
    <xf borderId="11" fillId="2" fontId="6" numFmtId="0" xfId="0" applyAlignment="1" applyBorder="1" applyFont="1">
      <alignment readingOrder="0" vertical="center"/>
    </xf>
    <xf borderId="9" fillId="6" fontId="7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left"/>
    </xf>
    <xf borderId="9" fillId="3" fontId="7" numFmtId="0" xfId="0" applyAlignment="1" applyBorder="1" applyFont="1">
      <alignment horizontal="center" readingOrder="0" vertical="center"/>
    </xf>
    <xf borderId="9" fillId="9" fontId="7" numFmtId="0" xfId="0" applyAlignment="1" applyBorder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9" fillId="2" fontId="6" numFmtId="0" xfId="0" applyAlignment="1" applyBorder="1" applyFont="1">
      <alignment vertical="center"/>
    </xf>
    <xf borderId="9" fillId="6" fontId="1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ont="1">
      <alignment horizontal="center" readingOrder="0"/>
    </xf>
    <xf borderId="9" fillId="6" fontId="1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 shrinkToFit="0" vertical="bottom" wrapText="1"/>
    </xf>
    <xf borderId="0" fillId="10" fontId="1" numFmtId="0" xfId="0" applyAlignment="1" applyFill="1" applyFont="1">
      <alignment horizontal="center" readingOrder="0" shrinkToFit="0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/>
    </xf>
    <xf borderId="9" fillId="9" fontId="7" numFmtId="0" xfId="0" applyAlignment="1" applyBorder="1" applyFont="1">
      <alignment horizontal="center" readingOrder="0" vertical="center"/>
    </xf>
    <xf borderId="2" fillId="6" fontId="9" numFmtId="0" xfId="0" applyAlignment="1" applyBorder="1" applyFont="1">
      <alignment horizontal="center" readingOrder="0"/>
    </xf>
    <xf borderId="9" fillId="11" fontId="7" numFmtId="0" xfId="0" applyAlignment="1" applyBorder="1" applyFill="1" applyFont="1">
      <alignment horizontal="center" readingOrder="0"/>
    </xf>
    <xf borderId="9" fillId="2" fontId="6" numFmtId="0" xfId="0" applyAlignment="1" applyBorder="1" applyFont="1">
      <alignment readingOrder="0" vertical="center"/>
    </xf>
    <xf borderId="9" fillId="9" fontId="1" numFmtId="0" xfId="0" applyAlignment="1" applyBorder="1" applyFont="1">
      <alignment horizontal="center" readingOrder="0" shrinkToFit="0" vertical="center" wrapText="1"/>
    </xf>
    <xf borderId="9" fillId="10" fontId="1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ont="1">
      <alignment shrinkToFit="0" vertical="center" wrapText="1"/>
    </xf>
    <xf borderId="10" fillId="12" fontId="1" numFmtId="0" xfId="0" applyAlignment="1" applyBorder="1" applyFill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/>
    </xf>
    <xf borderId="10" fillId="4" fontId="8" numFmtId="0" xfId="0" applyBorder="1" applyFont="1"/>
    <xf borderId="2" fillId="2" fontId="6" numFmtId="0" xfId="0" applyAlignment="1" applyBorder="1" applyFont="1">
      <alignment readingOrder="0"/>
    </xf>
    <xf borderId="0" fillId="12" fontId="1" numFmtId="0" xfId="0" applyAlignment="1" applyFont="1">
      <alignment horizontal="center" readingOrder="0"/>
    </xf>
    <xf borderId="2" fillId="4" fontId="8" numFmtId="0" xfId="0" applyBorder="1" applyFont="1"/>
    <xf borderId="2" fillId="0" fontId="7" numFmtId="0" xfId="0" applyAlignment="1" applyBorder="1" applyFont="1">
      <alignment horizontal="center" readingOrder="0" shrinkToFit="0" wrapText="1"/>
    </xf>
    <xf borderId="9" fillId="2" fontId="6" numFmtId="0" xfId="0" applyAlignment="1" applyBorder="1" applyFont="1">
      <alignment readingOrder="0"/>
    </xf>
    <xf borderId="9" fillId="11" fontId="1" numFmtId="0" xfId="0" applyAlignment="1" applyBorder="1" applyFont="1">
      <alignment horizontal="center" readingOrder="0" vertical="center"/>
    </xf>
    <xf borderId="9" fillId="10" fontId="7" numFmtId="0" xfId="0" applyAlignment="1" applyBorder="1" applyFont="1">
      <alignment horizontal="center" readingOrder="0" vertical="center"/>
    </xf>
    <xf borderId="9" fillId="13" fontId="8" numFmtId="0" xfId="0" applyBorder="1" applyFill="1" applyFont="1"/>
    <xf borderId="9" fillId="11" fontId="7" numFmtId="0" xfId="0" applyAlignment="1" applyBorder="1" applyFont="1">
      <alignment horizontal="center" readingOrder="0" vertical="center"/>
    </xf>
    <xf borderId="9" fillId="13" fontId="2" numFmtId="0" xfId="0" applyAlignment="1" applyBorder="1" applyFont="1">
      <alignment horizontal="left"/>
    </xf>
    <xf borderId="9" fillId="12" fontId="1" numFmtId="0" xfId="0" applyAlignment="1" applyBorder="1" applyFont="1">
      <alignment horizontal="center" readingOrder="0" vertical="center"/>
    </xf>
    <xf borderId="9" fillId="11" fontId="1" numFmtId="0" xfId="0" applyAlignment="1" applyBorder="1" applyFont="1">
      <alignment horizontal="center" readingOrder="0"/>
    </xf>
    <xf borderId="9" fillId="11" fontId="1" numFmtId="0" xfId="0" applyAlignment="1" applyBorder="1" applyFont="1">
      <alignment horizontal="center" readingOrder="0" shrinkToFit="0" wrapText="1"/>
    </xf>
    <xf borderId="9" fillId="4" fontId="7" numFmtId="0" xfId="0" applyAlignment="1" applyBorder="1" applyFont="1">
      <alignment readingOrder="0"/>
    </xf>
    <xf borderId="9" fillId="0" fontId="2" numFmtId="0" xfId="0" applyBorder="1" applyFont="1"/>
    <xf borderId="9" fillId="14" fontId="7" numFmtId="0" xfId="0" applyAlignment="1" applyBorder="1" applyFill="1" applyFont="1">
      <alignment horizontal="center" readingOrder="0"/>
    </xf>
    <xf borderId="9" fillId="6" fontId="7" numFmtId="0" xfId="0" applyAlignment="1" applyBorder="1" applyFont="1">
      <alignment horizontal="center" readingOrder="0" shrinkToFit="0" vertical="bottom" wrapText="1"/>
    </xf>
    <xf borderId="9" fillId="15" fontId="7" numFmtId="0" xfId="0" applyAlignment="1" applyBorder="1" applyFill="1" applyFont="1">
      <alignment horizontal="center" readingOrder="0" shrinkToFit="0" wrapText="1"/>
    </xf>
    <xf borderId="9" fillId="12" fontId="7" numFmtId="0" xfId="0" applyAlignment="1" applyBorder="1" applyFont="1">
      <alignment horizontal="center" readingOrder="0" vertical="center"/>
    </xf>
    <xf borderId="9" fillId="15" fontId="7" numFmtId="0" xfId="0" applyAlignment="1" applyBorder="1" applyFont="1">
      <alignment horizontal="center" readingOrder="0"/>
    </xf>
    <xf borderId="0" fillId="11" fontId="1" numFmtId="0" xfId="0" applyAlignment="1" applyFont="1">
      <alignment horizontal="center" readingOrder="0"/>
    </xf>
    <xf borderId="9" fillId="15" fontId="1" numFmtId="0" xfId="0" applyAlignment="1" applyBorder="1" applyFont="1">
      <alignment horizontal="center" readingOrder="0"/>
    </xf>
    <xf borderId="9" fillId="16" fontId="10" numFmtId="0" xfId="0" applyAlignment="1" applyBorder="1" applyFill="1" applyFont="1">
      <alignment horizontal="center" readingOrder="0"/>
    </xf>
    <xf borderId="9" fillId="6" fontId="10" numFmtId="0" xfId="0" applyAlignment="1" applyBorder="1" applyFont="1">
      <alignment horizontal="center" readingOrder="0"/>
    </xf>
    <xf borderId="9" fillId="16" fontId="7" numFmtId="0" xfId="0" applyAlignment="1" applyBorder="1" applyFont="1">
      <alignment horizontal="center" readingOrder="0"/>
    </xf>
    <xf borderId="0" fillId="7" fontId="1" numFmtId="0" xfId="0" applyAlignment="1" applyFont="1">
      <alignment readingOrder="0"/>
    </xf>
    <xf borderId="9" fillId="9" fontId="7" numFmtId="0" xfId="0" applyAlignment="1" applyBorder="1" applyFont="1">
      <alignment horizontal="center" readingOrder="0" shrinkToFit="0" vertical="bottom" wrapText="1"/>
    </xf>
    <xf borderId="0" fillId="14" fontId="1" numFmtId="0" xfId="0" applyAlignment="1" applyFont="1">
      <alignment readingOrder="0"/>
    </xf>
    <xf borderId="0" fillId="10" fontId="1" numFmtId="0" xfId="0" applyAlignment="1" applyFont="1">
      <alignment readingOrder="0"/>
    </xf>
    <xf borderId="9" fillId="12" fontId="1" numFmtId="0" xfId="0" applyAlignment="1" applyBorder="1" applyFont="1">
      <alignment horizontal="center" readingOrder="0" shrinkToFit="0" vertical="center" wrapText="1"/>
    </xf>
    <xf borderId="9" fillId="6" fontId="7" numFmtId="0" xfId="0" applyAlignment="1" applyBorder="1" applyFont="1">
      <alignment horizontal="center" readingOrder="0" shrinkToFit="0" wrapText="1"/>
    </xf>
    <xf borderId="0" fillId="9" fontId="1" numFmtId="0" xfId="0" applyAlignment="1" applyFont="1">
      <alignment readingOrder="0"/>
    </xf>
    <xf borderId="0" fillId="12" fontId="1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5" fontId="1" numFmtId="0" xfId="0" applyAlignment="1" applyFont="1">
      <alignment readingOrder="0"/>
    </xf>
    <xf borderId="9" fillId="14" fontId="10" numFmtId="0" xfId="0" applyAlignment="1" applyBorder="1" applyFont="1">
      <alignment horizontal="center" readingOrder="0"/>
    </xf>
    <xf borderId="9" fillId="14" fontId="1" numFmtId="0" xfId="0" applyAlignment="1" applyBorder="1" applyFont="1">
      <alignment horizontal="center" readingOrder="0" vertical="center"/>
    </xf>
    <xf borderId="9" fillId="17" fontId="1" numFmtId="0" xfId="0" applyAlignment="1" applyBorder="1" applyFill="1" applyFont="1">
      <alignment horizontal="center" readingOrder="0" vertical="center"/>
    </xf>
    <xf borderId="9" fillId="17" fontId="1" numFmtId="0" xfId="0" applyAlignment="1" applyBorder="1" applyFont="1">
      <alignment horizontal="center" readingOrder="0"/>
    </xf>
    <xf borderId="9" fillId="17" fontId="7" numFmtId="0" xfId="0" applyAlignment="1" applyBorder="1" applyFont="1">
      <alignment horizontal="center" readingOrder="0" shrinkToFit="0" wrapText="1"/>
    </xf>
    <xf borderId="0" fillId="14" fontId="1" numFmtId="0" xfId="0" applyAlignment="1" applyFont="1">
      <alignment readingOrder="0" shrinkToFit="0" wrapText="1"/>
    </xf>
    <xf borderId="6" fillId="2" fontId="6" numFmtId="0" xfId="0" applyAlignment="1" applyBorder="1" applyFont="1">
      <alignment readingOrder="0" vertical="center"/>
    </xf>
    <xf borderId="9" fillId="10" fontId="1" numFmtId="0" xfId="0" applyAlignment="1" applyBorder="1" applyFont="1">
      <alignment horizontal="center" readingOrder="0"/>
    </xf>
    <xf borderId="9" fillId="14" fontId="7" numFmtId="0" xfId="0" applyAlignment="1" applyBorder="1" applyFont="1">
      <alignment horizontal="center" readingOrder="0" vertical="center"/>
    </xf>
    <xf borderId="9" fillId="14" fontId="1" numFmtId="0" xfId="0" applyAlignment="1" applyBorder="1" applyFont="1">
      <alignment horizontal="center" readingOrder="0" shrinkToFit="0" vertical="center" wrapText="1"/>
    </xf>
    <xf borderId="9" fillId="16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17" fontId="1" numFmtId="0" xfId="0" applyAlignment="1" applyFont="1">
      <alignment horizontal="center" readingOrder="0"/>
    </xf>
    <xf borderId="2" fillId="3" fontId="1" numFmtId="0" xfId="0" applyAlignment="1" applyBorder="1" applyFont="1">
      <alignment horizontal="center" readingOrder="0" vertical="center"/>
    </xf>
    <xf borderId="9" fillId="6" fontId="2" numFmtId="0" xfId="0" applyBorder="1" applyFont="1"/>
    <xf borderId="9" fillId="14" fontId="11" numFmtId="0" xfId="0" applyAlignment="1" applyBorder="1" applyFont="1">
      <alignment horizontal="center" readingOrder="0"/>
    </xf>
    <xf borderId="9" fillId="17" fontId="7" numFmtId="0" xfId="0" applyAlignment="1" applyBorder="1" applyFont="1">
      <alignment horizontal="center" readingOrder="0" vertical="center"/>
    </xf>
    <xf borderId="9" fillId="17" fontId="1" numFmtId="0" xfId="0" applyAlignment="1" applyBorder="1" applyFont="1">
      <alignment horizontal="center" readingOrder="0" shrinkToFit="0" vertical="center" wrapText="1"/>
    </xf>
    <xf borderId="9" fillId="14" fontId="1" numFmtId="0" xfId="0" applyAlignment="1" applyBorder="1" applyFont="1">
      <alignment horizontal="center" readingOrder="0"/>
    </xf>
    <xf borderId="9" fillId="17" fontId="7" numFmtId="0" xfId="0" applyAlignment="1" applyBorder="1" applyFont="1">
      <alignment horizontal="center" readingOrder="0" shrinkToFit="0" vertical="center" wrapText="1"/>
    </xf>
    <xf borderId="9" fillId="14" fontId="7" numFmtId="0" xfId="0" applyAlignment="1" applyBorder="1" applyFont="1">
      <alignment horizontal="center" readingOrder="0" shrinkToFit="0" vertical="center" wrapText="1"/>
    </xf>
    <xf borderId="2" fillId="18" fontId="1" numFmtId="0" xfId="0" applyAlignment="1" applyBorder="1" applyFill="1" applyFont="1">
      <alignment horizontal="center" readingOrder="0" shrinkToFit="0" vertical="center" wrapText="1"/>
    </xf>
    <xf borderId="9" fillId="2" fontId="6" numFmtId="0" xfId="0" applyAlignment="1" applyBorder="1" applyFont="1">
      <alignment readingOrder="0" shrinkToFit="0" vertical="center" wrapText="1"/>
    </xf>
    <xf borderId="2" fillId="17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9" fontId="1" numFmtId="0" xfId="0" applyAlignment="1" applyBorder="1" applyFont="1">
      <alignment horizontal="center" readingOrder="0" vertical="center"/>
    </xf>
    <xf borderId="9" fillId="18" fontId="7" numFmtId="0" xfId="0" applyAlignment="1" applyBorder="1" applyFont="1">
      <alignment horizontal="center" readingOrder="0" vertical="center"/>
    </xf>
    <xf borderId="2" fillId="6" fontId="1" numFmtId="0" xfId="0" applyAlignment="1" applyBorder="1" applyFont="1">
      <alignment horizontal="center" readingOrder="0" shrinkToFit="0" vertical="center" wrapText="1"/>
    </xf>
    <xf borderId="9" fillId="18" fontId="1" numFmtId="0" xfId="0" applyAlignment="1" applyBorder="1" applyFont="1">
      <alignment horizontal="center" readingOrder="0" shrinkToFit="0" vertical="center" wrapText="1"/>
    </xf>
    <xf borderId="9" fillId="18" fontId="1" numFmtId="0" xfId="0" applyAlignment="1" applyBorder="1" applyFont="1">
      <alignment horizontal="center" readingOrder="0"/>
    </xf>
    <xf borderId="2" fillId="2" fontId="6" numFmtId="0" xfId="0" applyAlignment="1" applyBorder="1" applyFont="1">
      <alignment readingOrder="0" shrinkToFit="0" vertical="center" wrapText="1"/>
    </xf>
    <xf borderId="9" fillId="18" fontId="1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readingOrder="0" shrinkToFit="0" vertical="center" wrapText="1"/>
    </xf>
    <xf borderId="6" fillId="14" fontId="1" numFmtId="0" xfId="0" applyAlignment="1" applyBorder="1" applyFont="1">
      <alignment horizontal="center" readingOrder="0" shrinkToFit="0" vertical="center" wrapText="1"/>
    </xf>
    <xf borderId="9" fillId="9" fontId="11" numFmtId="0" xfId="0" applyAlignment="1" applyBorder="1" applyFont="1">
      <alignment horizontal="center" readingOrder="0"/>
    </xf>
    <xf borderId="3" fillId="2" fontId="4" numFmtId="0" xfId="0" applyAlignment="1" applyBorder="1" applyFont="1">
      <alignment readingOrder="0"/>
    </xf>
    <xf borderId="9" fillId="17" fontId="1" numFmtId="0" xfId="0" applyAlignment="1" applyBorder="1" applyFont="1">
      <alignment horizontal="center" readingOrder="0" shrinkToFit="0" wrapText="1"/>
    </xf>
    <xf borderId="9" fillId="9" fontId="11" numFmtId="0" xfId="0" applyAlignment="1" applyBorder="1" applyFont="1">
      <alignment horizontal="center" readingOrder="0" vertical="center"/>
    </xf>
    <xf borderId="2" fillId="6" fontId="1" numFmtId="0" xfId="0" applyAlignment="1" applyBorder="1" applyFont="1">
      <alignment horizontal="center" readingOrder="0" vertical="center"/>
    </xf>
    <xf borderId="9" fillId="9" fontId="1" numFmtId="0" xfId="0" applyAlignment="1" applyBorder="1" applyFont="1">
      <alignment horizontal="center" readingOrder="0" vertical="center"/>
    </xf>
    <xf borderId="9" fillId="6" fontId="7" numFmtId="0" xfId="0" applyAlignment="1" applyBorder="1" applyFont="1">
      <alignment horizontal="center" readingOrder="0" shrinkToFit="0" vertical="center" wrapText="1"/>
    </xf>
    <xf borderId="9" fillId="18" fontId="11" numFmtId="0" xfId="0" applyAlignment="1" applyBorder="1" applyFont="1">
      <alignment horizontal="center" readingOrder="0"/>
    </xf>
    <xf borderId="6" fillId="18" fontId="1" numFmtId="0" xfId="0" applyAlignment="1" applyBorder="1" applyFont="1">
      <alignment horizontal="center" readingOrder="0" shrinkToFit="0" vertical="center" wrapText="1"/>
    </xf>
    <xf borderId="0" fillId="17" fontId="1" numFmtId="0" xfId="0" applyAlignment="1" applyFont="1">
      <alignment readingOrder="0"/>
    </xf>
    <xf borderId="6" fillId="9" fontId="7" numFmtId="0" xfId="0" applyAlignment="1" applyBorder="1" applyFont="1">
      <alignment horizontal="center" readingOrder="0" vertical="center"/>
    </xf>
    <xf borderId="6" fillId="6" fontId="7" numFmtId="0" xfId="0" applyAlignment="1" applyBorder="1" applyFont="1">
      <alignment horizontal="center" readingOrder="0" vertical="center"/>
    </xf>
    <xf borderId="9" fillId="14" fontId="1" numFmtId="0" xfId="0" applyAlignment="1" applyBorder="1" applyFont="1">
      <alignment horizontal="center" readingOrder="0" shrinkToFit="0" wrapText="1"/>
    </xf>
    <xf borderId="9" fillId="18" fontId="11" numFmtId="0" xfId="0" applyAlignment="1" applyBorder="1" applyFont="1">
      <alignment horizontal="center" readingOrder="0" vertical="center"/>
    </xf>
    <xf borderId="9" fillId="6" fontId="11" numFmtId="0" xfId="0" applyAlignment="1" applyBorder="1" applyFont="1">
      <alignment horizontal="center" readingOrder="0" vertical="center"/>
    </xf>
    <xf borderId="9" fillId="6" fontId="11" numFmtId="0" xfId="0" applyAlignment="1" applyBorder="1" applyFont="1">
      <alignment horizontal="center" readingOrder="0" shrinkToFit="0" vertical="center" wrapText="1"/>
    </xf>
    <xf borderId="2" fillId="14" fontId="1" numFmtId="0" xfId="0" applyAlignment="1" applyBorder="1" applyFont="1">
      <alignment horizontal="center" readingOrder="0" vertical="center"/>
    </xf>
    <xf borderId="2" fillId="9" fontId="1" numFmtId="0" xfId="0" applyAlignment="1" applyBorder="1" applyFont="1">
      <alignment horizontal="center" readingOrder="0" shrinkToFit="0" vertical="center" wrapText="1"/>
    </xf>
    <xf borderId="9" fillId="4" fontId="7" numFmtId="0" xfId="0" applyAlignment="1" applyBorder="1" applyFont="1">
      <alignment horizontal="center" readingOrder="0"/>
    </xf>
    <xf borderId="0" fillId="18" fontId="1" numFmtId="0" xfId="0" applyAlignment="1" applyFont="1">
      <alignment horizontal="center" readingOrder="0"/>
    </xf>
    <xf borderId="9" fillId="3" fontId="1" numFmtId="0" xfId="0" applyAlignment="1" applyBorder="1" applyFont="1">
      <alignment horizontal="center" readingOrder="0" shrinkToFit="0" wrapText="1"/>
    </xf>
    <xf borderId="9" fillId="9" fontId="1" numFmtId="0" xfId="0" applyAlignment="1" applyBorder="1" applyFont="1">
      <alignment horizontal="center" readingOrder="0" shrinkToFit="0" wrapText="1"/>
    </xf>
    <xf borderId="6" fillId="17" fontId="1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ont="1">
      <alignment horizontal="center" readingOrder="0" shrinkToFit="0" vertical="center" wrapText="1"/>
    </xf>
    <xf borderId="6" fillId="9" fontId="1" numFmtId="0" xfId="0" applyAlignment="1" applyBorder="1" applyFont="1">
      <alignment horizontal="center" readingOrder="0" shrinkToFit="0" vertical="center" wrapText="1"/>
    </xf>
    <xf borderId="9" fillId="6" fontId="11" numFmtId="0" xfId="0" applyAlignment="1" applyBorder="1" applyFont="1">
      <alignment horizontal="center" readingOrder="0"/>
    </xf>
    <xf borderId="9" fillId="17" fontId="11" numFmtId="0" xfId="0" applyAlignment="1" applyBorder="1" applyFont="1">
      <alignment horizontal="center" readingOrder="0" shrinkToFit="0" vertical="center" wrapText="1"/>
    </xf>
    <xf borderId="9" fillId="17" fontId="1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9" fillId="11" fontId="11" numFmtId="0" xfId="0" applyAlignment="1" applyBorder="1" applyFont="1">
      <alignment horizontal="center" readingOrder="0" vertical="center"/>
    </xf>
    <xf borderId="9" fillId="9" fontId="11" numFmtId="0" xfId="0" applyAlignment="1" applyBorder="1" applyFont="1">
      <alignment horizontal="center" readingOrder="0" shrinkToFit="0" vertical="center" wrapText="1"/>
    </xf>
    <xf borderId="12" fillId="0" fontId="5" numFmtId="0" xfId="0" applyBorder="1" applyFont="1"/>
    <xf borderId="6" fillId="2" fontId="6" numFmtId="0" xfId="0" applyAlignment="1" applyBorder="1" applyFont="1">
      <alignment readingOrder="0" shrinkToFit="0" vertical="center" wrapText="1"/>
    </xf>
    <xf borderId="9" fillId="14" fontId="11" numFmtId="0" xfId="0" applyAlignment="1" applyBorder="1" applyFont="1">
      <alignment horizontal="center" readingOrder="0" vertical="center"/>
    </xf>
    <xf borderId="0" fillId="14" fontId="1" numFmtId="0" xfId="0" applyAlignment="1" applyFont="1">
      <alignment horizontal="center" readingOrder="0" vertical="center"/>
    </xf>
    <xf borderId="9" fillId="16" fontId="7" numFmtId="0" xfId="0" applyAlignment="1" applyBorder="1" applyFont="1">
      <alignment horizontal="center" readingOrder="0" vertical="center"/>
    </xf>
    <xf borderId="6" fillId="0" fontId="5" numFmtId="0" xfId="0" applyBorder="1" applyFont="1"/>
    <xf borderId="9" fillId="3" fontId="1" numFmtId="0" xfId="0" applyAlignment="1" applyBorder="1" applyFont="1">
      <alignment horizontal="center" readingOrder="0" shrinkToFit="0" vertical="center" wrapText="1"/>
    </xf>
    <xf borderId="6" fillId="18" fontId="7" numFmtId="0" xfId="0" applyAlignment="1" applyBorder="1" applyFont="1">
      <alignment horizontal="center" readingOrder="0" vertical="center"/>
    </xf>
    <xf borderId="9" fillId="19" fontId="7" numFmtId="0" xfId="0" applyAlignment="1" applyBorder="1" applyFill="1" applyFont="1">
      <alignment horizontal="center" readingOrder="0" vertical="center"/>
    </xf>
    <xf borderId="9" fillId="16" fontId="11" numFmtId="0" xfId="0" applyAlignment="1" applyBorder="1" applyFont="1">
      <alignment horizontal="center" readingOrder="0"/>
    </xf>
    <xf borderId="9" fillId="16" fontId="11" numFmtId="0" xfId="0" applyAlignment="1" applyBorder="1" applyFont="1">
      <alignment horizontal="center" readingOrder="0" shrinkToFit="0" vertical="center" wrapText="1"/>
    </xf>
    <xf borderId="9" fillId="12" fontId="11" numFmtId="0" xfId="0" applyAlignment="1" applyBorder="1" applyFont="1">
      <alignment horizontal="center" readingOrder="0" shrinkToFit="0" vertical="center" wrapText="1"/>
    </xf>
    <xf borderId="9" fillId="4" fontId="1" numFmtId="0" xfId="0" applyAlignment="1" applyBorder="1" applyFont="1">
      <alignment horizontal="center" readingOrder="0" vertical="center"/>
    </xf>
    <xf borderId="6" fillId="16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shrinkToFit="0" wrapText="1"/>
    </xf>
    <xf borderId="9" fillId="17" fontId="11" numFmtId="0" xfId="0" applyAlignment="1" applyBorder="1" applyFont="1">
      <alignment horizontal="center" readingOrder="0"/>
    </xf>
    <xf borderId="6" fillId="12" fontId="7" numFmtId="0" xfId="0" applyAlignment="1" applyBorder="1" applyFont="1">
      <alignment horizontal="center" readingOrder="0" vertical="center"/>
    </xf>
    <xf borderId="6" fillId="14" fontId="7" numFmtId="0" xfId="0" applyAlignment="1" applyBorder="1" applyFont="1">
      <alignment horizontal="center" readingOrder="0" vertical="center"/>
    </xf>
    <xf borderId="6" fillId="9" fontId="7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shrinkToFit="0" vertical="center" wrapText="1"/>
    </xf>
    <xf borderId="9" fillId="19" fontId="1" numFmtId="0" xfId="0" applyAlignment="1" applyBorder="1" applyFont="1">
      <alignment horizontal="center" readingOrder="0" shrinkToFit="0" wrapText="1"/>
    </xf>
    <xf borderId="9" fillId="19" fontId="1" numFmtId="0" xfId="0" applyAlignment="1" applyBorder="1" applyFont="1">
      <alignment horizontal="center" readingOrder="0" vertical="center"/>
    </xf>
    <xf borderId="9" fillId="19" fontId="1" numFmtId="0" xfId="0" applyAlignment="1" applyBorder="1" applyFont="1">
      <alignment horizontal="center" readingOrder="0" shrinkToFit="0" vertical="center" wrapText="1"/>
    </xf>
    <xf borderId="9" fillId="19" fontId="7" numFmtId="0" xfId="0" applyAlignment="1" applyBorder="1" applyFont="1">
      <alignment horizontal="center" readingOrder="0"/>
    </xf>
    <xf borderId="9" fillId="18" fontId="1" numFmtId="0" xfId="0" applyAlignment="1" applyBorder="1" applyFont="1">
      <alignment horizontal="center" readingOrder="0" shrinkToFit="0" wrapText="1"/>
    </xf>
    <xf borderId="6" fillId="11" fontId="7" numFmtId="0" xfId="0" applyAlignment="1" applyBorder="1" applyFont="1">
      <alignment horizontal="center" readingOrder="0" vertical="center"/>
    </xf>
    <xf borderId="6" fillId="20" fontId="7" numFmtId="0" xfId="0" applyAlignment="1" applyBorder="1" applyFill="1" applyFont="1">
      <alignment horizontal="center" readingOrder="0" vertical="center"/>
    </xf>
    <xf borderId="0" fillId="18" fontId="1" numFmtId="0" xfId="0" applyAlignment="1" applyFont="1">
      <alignment horizontal="center" readingOrder="0" shrinkToFit="0" wrapText="1"/>
    </xf>
    <xf borderId="9" fillId="7" fontId="1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readingOrder="0" vertical="center"/>
    </xf>
    <xf borderId="6" fillId="17" fontId="7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readingOrder="0"/>
    </xf>
    <xf borderId="6" fillId="17" fontId="7" numFmtId="0" xfId="0" applyAlignment="1" applyBorder="1" applyFont="1">
      <alignment horizontal="center" readingOrder="0" shrinkToFit="0" vertical="center" wrapText="1"/>
    </xf>
    <xf borderId="0" fillId="9" fontId="1" numFmtId="0" xfId="0" applyAlignment="1" applyFont="1">
      <alignment horizontal="center" readingOrder="0" vertical="center"/>
    </xf>
    <xf borderId="5" fillId="7" fontId="7" numFmtId="0" xfId="0" applyAlignment="1" applyBorder="1" applyFont="1">
      <alignment horizontal="center" readingOrder="0" vertical="center"/>
    </xf>
    <xf borderId="9" fillId="6" fontId="1" numFmtId="0" xfId="0" applyAlignment="1" applyBorder="1" applyFont="1">
      <alignment horizontal="center" readingOrder="0" shrinkToFit="0" wrapText="1"/>
    </xf>
    <xf borderId="9" fillId="16" fontId="1" numFmtId="0" xfId="0" applyAlignment="1" applyBorder="1" applyFont="1">
      <alignment horizontal="center" readingOrder="0" vertical="center"/>
    </xf>
    <xf borderId="9" fillId="21" fontId="1" numFmtId="0" xfId="0" applyAlignment="1" applyBorder="1" applyFill="1" applyFont="1">
      <alignment horizontal="center" readingOrder="0" shrinkToFit="0" vertical="center" wrapText="1"/>
    </xf>
    <xf borderId="9" fillId="7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readingOrder="0"/>
    </xf>
    <xf borderId="6" fillId="7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9" fontId="1" numFmtId="0" xfId="0" applyAlignment="1" applyBorder="1" applyFont="1">
      <alignment horizontal="center" readingOrder="0"/>
    </xf>
    <xf borderId="0" fillId="0" fontId="2" numFmtId="0" xfId="0" applyAlignment="1" applyFont="1">
      <alignment vertical="center"/>
    </xf>
    <xf borderId="3" fillId="6" fontId="4" numFmtId="0" xfId="0" applyAlignment="1" applyBorder="1" applyFont="1">
      <alignment readingOrder="0"/>
    </xf>
    <xf borderId="5" fillId="6" fontId="4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6" fillId="16" fontId="7" numFmtId="0" xfId="0" applyAlignment="1" applyBorder="1" applyFont="1">
      <alignment horizontal="center" readingOrder="0" vertical="center"/>
    </xf>
    <xf borderId="9" fillId="16" fontId="1" numFmtId="0" xfId="0" applyAlignment="1" applyBorder="1" applyFont="1">
      <alignment readingOrder="0"/>
    </xf>
    <xf borderId="9" fillId="16" fontId="1" numFmtId="0" xfId="0" applyAlignment="1" applyBorder="1" applyFont="1">
      <alignment horizontal="center" readingOrder="0" shrinkToFit="0" vertical="center" wrapText="1"/>
    </xf>
    <xf borderId="9" fillId="16" fontId="2" numFmtId="0" xfId="0" applyBorder="1" applyFont="1"/>
    <xf borderId="9" fillId="16" fontId="7" numFmtId="0" xfId="0" applyAlignment="1" applyBorder="1" applyFont="1">
      <alignment horizontal="center" readingOrder="0" shrinkToFit="0" vertical="center" wrapText="1"/>
    </xf>
    <xf borderId="0" fillId="16" fontId="2" numFmtId="0" xfId="0" applyFont="1"/>
    <xf borderId="0" fillId="2" fontId="4" numFmtId="0" xfId="0" applyAlignment="1" applyFont="1">
      <alignment horizontal="center" readingOrder="0" vertical="center"/>
    </xf>
    <xf borderId="7" fillId="2" fontId="4" numFmtId="0" xfId="0" applyAlignment="1" applyBorder="1" applyFont="1">
      <alignment horizontal="center" readingOrder="0" vertical="center"/>
    </xf>
    <xf borderId="14" fillId="0" fontId="5" numFmtId="0" xfId="0" applyBorder="1" applyFont="1"/>
    <xf borderId="15" fillId="2" fontId="12" numFmtId="0" xfId="0" applyAlignment="1" applyBorder="1" applyFont="1">
      <alignment horizontal="center" vertical="center"/>
    </xf>
    <xf borderId="15" fillId="2" fontId="4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center" readingOrder="0" vertical="center"/>
    </xf>
    <xf borderId="9" fillId="2" fontId="12" numFmtId="0" xfId="0" applyAlignment="1" applyBorder="1" applyFont="1">
      <alignment horizontal="center" vertical="center"/>
    </xf>
    <xf borderId="9" fillId="0" fontId="1" numFmtId="0" xfId="0" applyAlignment="1" applyBorder="1" applyFont="1">
      <alignment readingOrder="0"/>
    </xf>
    <xf borderId="9" fillId="0" fontId="11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center"/>
    </xf>
    <xf borderId="9" fillId="6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22" fontId="1" numFmtId="0" xfId="0" applyAlignment="1" applyBorder="1" applyFill="1" applyFont="1">
      <alignment horizontal="center" readingOrder="0"/>
    </xf>
    <xf borderId="9" fillId="0" fontId="1" numFmtId="0" xfId="0" applyBorder="1" applyFont="1"/>
    <xf borderId="0" fillId="23" fontId="13" numFmtId="0" xfId="0" applyAlignment="1" applyFill="1" applyFont="1">
      <alignment readingOrder="0" shrinkToFit="0" wrapText="1"/>
    </xf>
    <xf borderId="2" fillId="2" fontId="12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vertical="center"/>
    </xf>
    <xf borderId="16" fillId="2" fontId="12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5" fillId="2" fontId="4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left" readingOrder="0" vertical="center"/>
    </xf>
    <xf borderId="9" fillId="24" fontId="1" numFmtId="0" xfId="0" applyAlignment="1" applyBorder="1" applyFill="1" applyFont="1">
      <alignment readingOrder="0"/>
    </xf>
    <xf borderId="6" fillId="2" fontId="6" numFmtId="0" xfId="0" applyAlignment="1" applyBorder="1" applyFont="1">
      <alignment horizontal="left" readingOrder="0" vertical="center"/>
    </xf>
    <xf borderId="9" fillId="2" fontId="6" numFmtId="0" xfId="0" applyAlignment="1" applyBorder="1" applyFont="1">
      <alignment horizontal="left" readingOrder="0" vertical="center"/>
    </xf>
    <xf borderId="0" fillId="6" fontId="1" numFmtId="0" xfId="0" applyAlignment="1" applyFont="1">
      <alignment readingOrder="0"/>
    </xf>
    <xf borderId="0" fillId="24" fontId="1" numFmtId="0" xfId="0" applyAlignment="1" applyFont="1">
      <alignment readingOrder="0"/>
    </xf>
    <xf borderId="13" fillId="2" fontId="6" numFmtId="0" xfId="0" applyAlignment="1" applyBorder="1" applyFont="1">
      <alignment horizontal="left" readingOrder="0" vertical="center"/>
    </xf>
    <xf borderId="9" fillId="24" fontId="2" numFmtId="0" xfId="0" applyAlignment="1" applyBorder="1" applyFont="1">
      <alignment readingOrder="0"/>
    </xf>
    <xf borderId="9" fillId="2" fontId="14" numFmtId="0" xfId="0" applyAlignment="1" applyBorder="1" applyFont="1">
      <alignment horizontal="left" vertical="center"/>
    </xf>
    <xf borderId="9" fillId="2" fontId="6" numFmtId="0" xfId="0" applyAlignment="1" applyBorder="1" applyFont="1">
      <alignment horizontal="left" readingOrder="0" shrinkToFit="0" vertical="center" wrapText="1"/>
    </xf>
    <xf borderId="9" fillId="2" fontId="14" numFmtId="0" xfId="0" applyAlignment="1" applyBorder="1" applyFont="1">
      <alignment horizontal="left" readingOrder="0" vertical="center"/>
    </xf>
    <xf borderId="0" fillId="23" fontId="15" numFmtId="0" xfId="0" applyAlignment="1" applyFont="1">
      <alignment shrinkToFit="0" vertical="bottom" wrapText="1"/>
    </xf>
    <xf borderId="2" fillId="2" fontId="4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16" fillId="2" fontId="8" numFmtId="0" xfId="0" applyBorder="1" applyFont="1"/>
    <xf borderId="2" fillId="2" fontId="4" numFmtId="0" xfId="0" applyAlignment="1" applyBorder="1" applyFont="1">
      <alignment horizontal="center"/>
    </xf>
    <xf borderId="16" fillId="2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5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 readingOrder="0"/>
    </xf>
    <xf borderId="5" fillId="2" fontId="8" numFmtId="0" xfId="0" applyBorder="1" applyFont="1"/>
    <xf borderId="0" fillId="2" fontId="4" numFmtId="0" xfId="0" applyAlignment="1" applyFont="1">
      <alignment horizontal="center" readingOrder="0"/>
    </xf>
    <xf borderId="2" fillId="2" fontId="6" numFmtId="0" xfId="0" applyBorder="1" applyFont="1"/>
    <xf borderId="9" fillId="0" fontId="8" numFmtId="0" xfId="0" applyAlignment="1" applyBorder="1" applyFont="1">
      <alignment vertical="bottom"/>
    </xf>
    <xf borderId="9" fillId="0" fontId="7" numFmtId="0" xfId="0" applyAlignment="1" applyBorder="1" applyFont="1">
      <alignment horizontal="right" vertical="bottom"/>
    </xf>
    <xf borderId="9" fillId="24" fontId="7" numFmtId="0" xfId="0" applyAlignment="1" applyBorder="1" applyFont="1">
      <alignment readingOrder="0" vertical="bottom"/>
    </xf>
    <xf borderId="9" fillId="24" fontId="7" numFmtId="0" xfId="0" applyAlignment="1" applyBorder="1" applyFont="1">
      <alignment horizontal="right" readingOrder="0" vertical="bottom"/>
    </xf>
    <xf borderId="9" fillId="0" fontId="7" numFmtId="0" xfId="0" applyAlignment="1" applyBorder="1" applyFont="1">
      <alignment readingOrder="0" vertical="bottom"/>
    </xf>
    <xf borderId="9" fillId="24" fontId="8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0" fillId="0" fontId="7" numFmtId="0" xfId="0" applyAlignment="1" applyFont="1">
      <alignment horizontal="right" vertical="bottom"/>
    </xf>
    <xf borderId="9" fillId="2" fontId="16" numFmtId="0" xfId="0" applyBorder="1" applyFont="1"/>
    <xf borderId="0" fillId="24" fontId="17" numFmtId="0" xfId="0" applyAlignment="1" applyFont="1">
      <alignment readingOrder="0"/>
    </xf>
    <xf borderId="9" fillId="2" fontId="6" numFmtId="0" xfId="0" applyAlignment="1" applyBorder="1" applyFont="1">
      <alignment shrinkToFit="0" wrapText="1"/>
    </xf>
    <xf borderId="9" fillId="6" fontId="8" numFmtId="0" xfId="0" applyAlignment="1" applyBorder="1" applyFont="1">
      <alignment vertical="bottom"/>
    </xf>
    <xf borderId="9" fillId="0" fontId="2" numFmtId="0" xfId="0" applyAlignment="1" applyBorder="1" applyFont="1">
      <alignment readingOrder="0"/>
    </xf>
    <xf borderId="17" fillId="2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9" fillId="2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 readingOrder="0"/>
    </xf>
    <xf borderId="9" fillId="6" fontId="7" numFmtId="0" xfId="0" applyAlignment="1" applyBorder="1" applyFont="1">
      <alignment horizontal="right" vertical="bottom"/>
    </xf>
    <xf borderId="9" fillId="6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horizontal="right" readingOrder="0" vertical="bottom"/>
    </xf>
    <xf borderId="9" fillId="6" fontId="7" numFmtId="0" xfId="0" applyAlignment="1" applyBorder="1" applyFont="1">
      <alignment vertical="bottom"/>
    </xf>
    <xf borderId="9" fillId="6" fontId="1" numFmtId="0" xfId="0" applyAlignment="1" applyBorder="1" applyFont="1">
      <alignment readingOrder="0"/>
    </xf>
    <xf borderId="0" fillId="16" fontId="17" numFmtId="0" xfId="0" applyAlignment="1" applyFont="1">
      <alignment readingOrder="0"/>
    </xf>
    <xf borderId="3" fillId="2" fontId="4" numFmtId="0" xfId="0" applyAlignment="1" applyBorder="1" applyFont="1">
      <alignment horizontal="center" readingOrder="0"/>
    </xf>
    <xf borderId="9" fillId="6" fontId="7" numFmtId="0" xfId="0" applyAlignment="1" applyBorder="1" applyFont="1">
      <alignment horizontal="right" readingOrder="0" vertical="bottom"/>
    </xf>
    <xf borderId="9" fillId="3" fontId="7" numFmtId="0" xfId="0" applyAlignment="1" applyBorder="1" applyFont="1">
      <alignment readingOrder="0" vertical="bottom"/>
    </xf>
    <xf borderId="9" fillId="25" fontId="7" numFmtId="0" xfId="0" applyAlignment="1" applyBorder="1" applyFill="1" applyFont="1">
      <alignment readingOrder="0" vertical="bottom"/>
    </xf>
    <xf borderId="9" fillId="25" fontId="7" numFmtId="0" xfId="0" applyAlignment="1" applyBorder="1" applyFont="1">
      <alignment horizontal="right" readingOrder="0" vertical="bottom"/>
    </xf>
    <xf borderId="0" fillId="6" fontId="17" numFmtId="0" xfId="0" applyAlignment="1" applyFont="1">
      <alignment readingOrder="0"/>
    </xf>
    <xf borderId="0" fillId="25" fontId="17" numFmtId="0" xfId="0" applyAlignment="1" applyFont="1">
      <alignment readingOrder="0"/>
    </xf>
    <xf borderId="9" fillId="26" fontId="1" numFmtId="0" xfId="0" applyAlignment="1" applyBorder="1" applyFill="1" applyFont="1">
      <alignment readingOrder="0"/>
    </xf>
    <xf borderId="9" fillId="25" fontId="1" numFmtId="0" xfId="0" applyAlignment="1" applyBorder="1" applyFont="1">
      <alignment readingOrder="0"/>
    </xf>
    <xf borderId="9" fillId="6" fontId="2" numFmtId="0" xfId="0" applyAlignment="1" applyBorder="1" applyFont="1">
      <alignment readingOrder="0"/>
    </xf>
    <xf borderId="9" fillId="12" fontId="7" numFmtId="0" xfId="0" applyAlignment="1" applyBorder="1" applyFont="1">
      <alignment readingOrder="0" vertical="bottom"/>
    </xf>
    <xf borderId="9" fillId="12" fontId="7" numFmtId="0" xfId="0" applyAlignment="1" applyBorder="1" applyFont="1">
      <alignment horizontal="right" readingOrder="0" vertical="bottom"/>
    </xf>
    <xf borderId="0" fillId="25" fontId="1" numFmtId="0" xfId="0" applyAlignment="1" applyFont="1">
      <alignment readingOrder="0"/>
    </xf>
    <xf borderId="9" fillId="12" fontId="1" numFmtId="0" xfId="0" applyAlignment="1" applyBorder="1" applyFont="1">
      <alignment readingOrder="0"/>
    </xf>
    <xf borderId="0" fillId="12" fontId="17" numFmtId="0" xfId="0" applyAlignment="1" applyFont="1">
      <alignment readingOrder="0"/>
    </xf>
    <xf borderId="9" fillId="16" fontId="8" numFmtId="0" xfId="0" applyAlignment="1" applyBorder="1" applyFont="1">
      <alignment vertical="bottom"/>
    </xf>
    <xf borderId="9" fillId="16" fontId="7" numFmtId="0" xfId="0" applyAlignment="1" applyBorder="1" applyFont="1">
      <alignment readingOrder="0" vertical="bottom"/>
    </xf>
    <xf borderId="9" fillId="16" fontId="7" numFmtId="0" xfId="0" applyAlignment="1" applyBorder="1" applyFont="1">
      <alignment horizontal="right" readingOrder="0" vertical="bottom"/>
    </xf>
    <xf borderId="9" fillId="16" fontId="7" numFmtId="0" xfId="0" applyAlignment="1" applyBorder="1" applyFont="1">
      <alignment horizontal="right" vertical="bottom"/>
    </xf>
    <xf borderId="0" fillId="16" fontId="1" numFmtId="0" xfId="0" applyAlignment="1" applyFont="1">
      <alignment readingOrder="0"/>
    </xf>
    <xf borderId="9" fillId="7" fontId="1" numFmtId="0" xfId="0" applyAlignment="1" applyBorder="1" applyFont="1">
      <alignment readingOrder="0"/>
    </xf>
    <xf borderId="9" fillId="12" fontId="2" numFmtId="0" xfId="0" applyBorder="1" applyFont="1"/>
    <xf borderId="9" fillId="7" fontId="7" numFmtId="0" xfId="0" applyAlignment="1" applyBorder="1" applyFont="1">
      <alignment readingOrder="0" vertical="bottom"/>
    </xf>
    <xf borderId="9" fillId="7" fontId="7" numFmtId="0" xfId="0" applyAlignment="1" applyBorder="1" applyFont="1">
      <alignment horizontal="right" readingOrder="0" vertical="bottom"/>
    </xf>
    <xf borderId="0" fillId="0" fontId="17" numFmtId="0" xfId="0" applyAlignment="1" applyFont="1">
      <alignment readingOrder="0"/>
    </xf>
    <xf borderId="9" fillId="0" fontId="8" numFmtId="0" xfId="0" applyAlignment="1" applyBorder="1" applyFont="1">
      <alignment horizontal="right" vertical="bottom"/>
    </xf>
    <xf borderId="9" fillId="12" fontId="1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right" readingOrder="0"/>
    </xf>
    <xf borderId="9" fillId="16" fontId="1" numFmtId="0" xfId="0" applyAlignment="1" applyBorder="1" applyFont="1">
      <alignment horizontal="right" readingOrder="0"/>
    </xf>
    <xf borderId="9" fillId="16" fontId="2" numFmtId="0" xfId="0" applyAlignment="1" applyBorder="1" applyFont="1">
      <alignment horizontal="right"/>
    </xf>
    <xf borderId="9" fillId="0" fontId="2" numFmtId="0" xfId="0" applyAlignment="1" applyBorder="1" applyFont="1">
      <alignment horizontal="right"/>
    </xf>
    <xf borderId="9" fillId="9" fontId="7" numFmtId="0" xfId="0" applyAlignment="1" applyBorder="1" applyFont="1">
      <alignment readingOrder="0" vertical="bottom"/>
    </xf>
    <xf borderId="9" fillId="6" fontId="8" numFmtId="0" xfId="0" applyAlignment="1" applyBorder="1" applyFont="1">
      <alignment horizontal="right" vertical="bottom"/>
    </xf>
    <xf borderId="9" fillId="7" fontId="1" numFmtId="0" xfId="0" applyAlignment="1" applyBorder="1" applyFont="1">
      <alignment horizontal="right" readingOrder="0"/>
    </xf>
    <xf borderId="9" fillId="6" fontId="1" numFmtId="0" xfId="0" applyAlignment="1" applyBorder="1" applyFont="1">
      <alignment horizontal="right" readingOrder="0"/>
    </xf>
    <xf borderId="9" fillId="6" fontId="2" numFmtId="0" xfId="0" applyAlignment="1" applyBorder="1" applyFont="1">
      <alignment horizontal="right"/>
    </xf>
    <xf borderId="9" fillId="7" fontId="8" numFmtId="0" xfId="0" applyAlignment="1" applyBorder="1" applyFont="1">
      <alignment vertical="bottom"/>
    </xf>
    <xf borderId="9" fillId="7" fontId="7" numFmtId="0" xfId="0" applyAlignment="1" applyBorder="1" applyFont="1">
      <alignment horizontal="right" vertical="bottom"/>
    </xf>
    <xf borderId="0" fillId="7" fontId="17" numFmtId="0" xfId="0" applyAlignment="1" applyFont="1">
      <alignment readingOrder="0"/>
    </xf>
    <xf borderId="9" fillId="7" fontId="8" numFmtId="0" xfId="0" applyAlignment="1" applyBorder="1" applyFont="1">
      <alignment horizontal="right" vertical="bottom"/>
    </xf>
    <xf borderId="9" fillId="7" fontId="2" numFmtId="0" xfId="0" applyBorder="1" applyFont="1"/>
    <xf borderId="9" fillId="7" fontId="2" numFmtId="0" xfId="0" applyAlignment="1" applyBorder="1" applyFont="1">
      <alignment horizontal="right"/>
    </xf>
    <xf borderId="0" fillId="2" fontId="18" numFmtId="0" xfId="0" applyAlignment="1" applyFont="1">
      <alignment readingOrder="0"/>
    </xf>
    <xf borderId="9" fillId="9" fontId="1" numFmtId="0" xfId="0" applyAlignment="1" applyBorder="1" applyFont="1">
      <alignment readingOrder="0"/>
    </xf>
    <xf borderId="2" fillId="2" fontId="4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16" fillId="2" fontId="8" numFmtId="0" xfId="0" applyAlignment="1" applyBorder="1" applyFont="1">
      <alignment vertical="bottom"/>
    </xf>
    <xf borderId="3" fillId="2" fontId="4" numFmtId="0" xfId="0" applyAlignment="1" applyBorder="1" applyFont="1">
      <alignment horizontal="center" vertical="bottom"/>
    </xf>
    <xf borderId="16" fillId="2" fontId="3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readingOrder="0" vertical="bottom"/>
    </xf>
    <xf borderId="5" fillId="2" fontId="4" numFmtId="0" xfId="0" applyAlignment="1" applyBorder="1" applyFont="1">
      <alignment horizontal="center" readingOrder="0" vertical="bottom"/>
    </xf>
    <xf borderId="5" fillId="2" fontId="8" numFmtId="0" xfId="0" applyAlignment="1" applyBorder="1" applyFont="1">
      <alignment vertical="bottom"/>
    </xf>
    <xf borderId="5" fillId="2" fontId="19" numFmtId="0" xfId="0" applyAlignment="1" applyBorder="1" applyFont="1">
      <alignment horizontal="center" readingOrder="0" vertical="bottom"/>
    </xf>
    <xf borderId="2" fillId="2" fontId="6" numFmtId="0" xfId="0" applyAlignment="1" applyBorder="1" applyFont="1">
      <alignment vertical="bottom"/>
    </xf>
    <xf borderId="6" fillId="2" fontId="6" numFmtId="0" xfId="0" applyAlignment="1" applyBorder="1" applyFont="1">
      <alignment vertical="bottom"/>
    </xf>
    <xf borderId="9" fillId="2" fontId="6" numFmtId="0" xfId="0" applyAlignment="1" applyBorder="1" applyFont="1">
      <alignment vertical="bottom"/>
    </xf>
    <xf borderId="9" fillId="2" fontId="16" numFmtId="0" xfId="0" applyAlignment="1" applyBorder="1" applyFont="1">
      <alignment vertical="bottom"/>
    </xf>
    <xf borderId="9" fillId="3" fontId="7" numFmtId="0" xfId="0" applyAlignment="1" applyBorder="1" applyFont="1">
      <alignment horizontal="right" readingOrder="0" vertical="bottom"/>
    </xf>
    <xf borderId="0" fillId="16" fontId="8" numFmtId="0" xfId="0" applyAlignment="1" applyFont="1">
      <alignment vertical="bottom"/>
    </xf>
    <xf borderId="9" fillId="2" fontId="6" numFmtId="0" xfId="0" applyAlignment="1" applyBorder="1" applyFont="1">
      <alignment shrinkToFit="0" vertical="bottom" wrapText="1"/>
    </xf>
    <xf borderId="9" fillId="12" fontId="7" numFmtId="0" xfId="0" applyAlignment="1" applyBorder="1" applyFont="1">
      <alignment horizontal="right" vertical="bottom"/>
    </xf>
    <xf borderId="9" fillId="2" fontId="6" numFmtId="0" xfId="0" applyAlignment="1" applyBorder="1" applyFont="1">
      <alignment readingOrder="0" vertical="bottom"/>
    </xf>
    <xf borderId="5" fillId="2" fontId="20" numFmtId="0" xfId="0" applyAlignment="1" applyBorder="1" applyFont="1">
      <alignment horizontal="center" readingOrder="0" vertical="bottom"/>
    </xf>
    <xf borderId="9" fillId="27" fontId="8" numFmtId="0" xfId="0" applyAlignment="1" applyBorder="1" applyFill="1" applyFont="1">
      <alignment vertical="bottom"/>
    </xf>
    <xf borderId="9" fillId="27" fontId="7" numFmtId="0" xfId="0" applyAlignment="1" applyBorder="1" applyFont="1">
      <alignment readingOrder="0" vertical="bottom"/>
    </xf>
    <xf borderId="9" fillId="27" fontId="2" numFmtId="0" xfId="0" applyBorder="1" applyFont="1"/>
    <xf borderId="9" fillId="27" fontId="7" numFmtId="0" xfId="0" applyAlignment="1" applyBorder="1" applyFont="1">
      <alignment horizontal="right" vertical="bottom"/>
    </xf>
    <xf borderId="9" fillId="27" fontId="1" numFmtId="0" xfId="0" applyAlignment="1" applyBorder="1" applyFont="1">
      <alignment readingOrder="0"/>
    </xf>
    <xf borderId="9" fillId="9" fontId="7" numFmtId="0" xfId="0" applyAlignment="1" applyBorder="1" applyFont="1">
      <alignment horizontal="right" readingOrder="0" vertical="bottom"/>
    </xf>
    <xf borderId="9" fillId="27" fontId="7" numFmtId="0" xfId="0" applyAlignment="1" applyBorder="1" applyFont="1">
      <alignment horizontal="right" readingOrder="0" vertical="bottom"/>
    </xf>
    <xf borderId="0" fillId="27" fontId="8" numFmtId="0" xfId="0" applyAlignment="1" applyFont="1">
      <alignment vertical="bottom"/>
    </xf>
    <xf borderId="9" fillId="27" fontId="7" numFmtId="0" xfId="0" applyAlignment="1" applyBorder="1" applyFont="1">
      <alignment vertical="bottom"/>
    </xf>
    <xf borderId="9" fillId="19" fontId="7" numFmtId="0" xfId="0" applyAlignment="1" applyBorder="1" applyFont="1">
      <alignment horizontal="right" readingOrder="0" vertical="bottom"/>
    </xf>
    <xf borderId="9" fillId="10" fontId="7" numFmtId="0" xfId="0" applyAlignment="1" applyBorder="1" applyFont="1">
      <alignment readingOrder="0" vertical="bottom"/>
    </xf>
    <xf borderId="0" fillId="27" fontId="2" numFmtId="0" xfId="0" applyFont="1"/>
    <xf borderId="0" fillId="6" fontId="8" numFmtId="0" xfId="0" applyAlignment="1" applyFont="1">
      <alignment vertical="bottom"/>
    </xf>
    <xf borderId="0" fillId="9" fontId="17" numFmtId="0" xfId="0" applyAlignment="1" applyFont="1">
      <alignment readingOrder="0"/>
    </xf>
    <xf borderId="0" fillId="6" fontId="2" numFmtId="0" xfId="0" applyFont="1"/>
    <xf borderId="0" fillId="0" fontId="21" numFmtId="0" xfId="0" applyFont="1"/>
    <xf borderId="0" fillId="0" fontId="2" numFmtId="0" xfId="0" applyFont="1"/>
    <xf borderId="0" fillId="12" fontId="21" numFmtId="0" xfId="0" applyFont="1"/>
    <xf borderId="18" fillId="24" fontId="22" numFmtId="164" xfId="0" applyAlignment="1" applyBorder="1" applyFont="1" applyNumberFormat="1">
      <alignment readingOrder="0" shrinkToFit="0" vertical="bottom" wrapText="1"/>
    </xf>
    <xf borderId="8" fillId="28" fontId="23" numFmtId="0" xfId="0" applyAlignment="1" applyBorder="1" applyFill="1" applyFont="1">
      <alignment horizontal="center" readingOrder="0" shrinkToFit="0" vertical="bottom" wrapText="1"/>
    </xf>
    <xf borderId="8" fillId="28" fontId="23" numFmtId="4" xfId="0" applyAlignment="1" applyBorder="1" applyFont="1" applyNumberFormat="1">
      <alignment horizontal="center" readingOrder="0" shrinkToFit="0" vertical="bottom" wrapText="1"/>
    </xf>
    <xf borderId="8" fillId="28" fontId="23" numFmtId="164" xfId="0" applyAlignment="1" applyBorder="1" applyFont="1" applyNumberFormat="1">
      <alignment horizontal="center" readingOrder="0" shrinkToFit="0" vertical="bottom" wrapText="1"/>
    </xf>
    <xf borderId="8" fillId="28" fontId="24" numFmtId="0" xfId="0" applyAlignment="1" applyBorder="1" applyFont="1">
      <alignment horizontal="center" readingOrder="0" shrinkToFit="0" vertical="bottom" wrapText="1"/>
    </xf>
    <xf borderId="9" fillId="28" fontId="25" numFmtId="0" xfId="0" applyAlignment="1" applyBorder="1" applyFont="1">
      <alignment readingOrder="0" shrinkToFit="0" wrapText="1"/>
    </xf>
    <xf borderId="0" fillId="29" fontId="26" numFmtId="0" xfId="0" applyAlignment="1" applyFill="1" applyFont="1">
      <alignment horizontal="center" readingOrder="0" shrinkToFit="0" vertical="center" wrapText="1"/>
    </xf>
    <xf borderId="0" fillId="0" fontId="2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8" fillId="0" fontId="27" numFmtId="0" xfId="0" applyAlignment="1" applyBorder="1" applyFont="1">
      <alignment readingOrder="0" shrinkToFit="0" vertical="bottom" wrapText="1"/>
    </xf>
    <xf borderId="18" fillId="23" fontId="27" numFmtId="0" xfId="0" applyAlignment="1" applyBorder="1" applyFont="1">
      <alignment readingOrder="0" shrinkToFit="0" vertical="bottom" wrapText="1"/>
    </xf>
    <xf borderId="18" fillId="0" fontId="27" numFmtId="165" xfId="0" applyAlignment="1" applyBorder="1" applyFont="1" applyNumberFormat="1">
      <alignment horizontal="right" readingOrder="0" shrinkToFit="0" vertical="bottom" wrapText="1"/>
    </xf>
    <xf borderId="18" fillId="0" fontId="27" numFmtId="166" xfId="0" applyAlignment="1" applyBorder="1" applyFont="1" applyNumberFormat="1">
      <alignment horizontal="right" readingOrder="0" shrinkToFit="0" vertical="bottom" wrapText="1"/>
    </xf>
    <xf borderId="18" fillId="0" fontId="27" numFmtId="4" xfId="0" applyAlignment="1" applyBorder="1" applyFont="1" applyNumberFormat="1">
      <alignment horizontal="right" readingOrder="0" shrinkToFit="0" vertical="bottom" wrapText="1"/>
    </xf>
    <xf borderId="9" fillId="0" fontId="27" numFmtId="165" xfId="0" applyAlignment="1" applyBorder="1" applyFont="1" applyNumberFormat="1">
      <alignment horizontal="right" readingOrder="0" shrinkToFit="0" vertical="bottom" wrapText="1"/>
    </xf>
    <xf borderId="18" fillId="30" fontId="27" numFmtId="0" xfId="0" applyAlignment="1" applyBorder="1" applyFill="1" applyFont="1">
      <alignment horizontal="right" readingOrder="0" shrinkToFit="0" vertical="bottom" wrapText="1"/>
    </xf>
    <xf borderId="9" fillId="0" fontId="27" numFmtId="0" xfId="0" applyAlignment="1" applyBorder="1" applyFont="1">
      <alignment readingOrder="0" shrinkToFit="0" vertical="bottom" wrapText="1"/>
    </xf>
    <xf borderId="9" fillId="0" fontId="26" numFmtId="0" xfId="0" applyBorder="1" applyFont="1"/>
    <xf borderId="0" fillId="0" fontId="26" numFmtId="166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18" fillId="0" fontId="27" numFmtId="0" xfId="0" applyAlignment="1" applyBorder="1" applyFont="1">
      <alignment shrinkToFit="0" vertical="bottom" wrapText="1"/>
    </xf>
    <xf borderId="9" fillId="0" fontId="26" numFmtId="0" xfId="0" applyAlignment="1" applyBorder="1" applyFont="1">
      <alignment readingOrder="0" shrinkToFit="0" wrapText="1"/>
    </xf>
    <xf borderId="0" fillId="0" fontId="26" numFmtId="166" xfId="0" applyAlignment="1" applyFont="1" applyNumberFormat="1">
      <alignment horizontal="center" shrinkToFit="0" wrapText="1"/>
    </xf>
    <xf borderId="0" fillId="0" fontId="26" numFmtId="0" xfId="0" applyAlignment="1" applyFont="1">
      <alignment horizontal="center" readingOrder="0" shrinkToFit="0" wrapText="1"/>
    </xf>
    <xf borderId="18" fillId="16" fontId="28" numFmtId="3" xfId="0" applyAlignment="1" applyBorder="1" applyFont="1" applyNumberFormat="1">
      <alignment readingOrder="0" shrinkToFit="0" vertical="bottom" wrapText="1"/>
    </xf>
    <xf borderId="18" fillId="0" fontId="28" numFmtId="0" xfId="0" applyAlignment="1" applyBorder="1" applyFont="1">
      <alignment horizontal="right" readingOrder="0" shrinkToFit="0" vertical="bottom" wrapText="1"/>
    </xf>
    <xf borderId="18" fillId="0" fontId="28" numFmtId="0" xfId="0" applyAlignment="1" applyBorder="1" applyFont="1">
      <alignment readingOrder="0" shrinkToFit="0" vertical="bottom" wrapText="1"/>
    </xf>
    <xf borderId="18" fillId="0" fontId="27" numFmtId="0" xfId="0" applyAlignment="1" applyBorder="1" applyFont="1">
      <alignment horizontal="right" readingOrder="0" shrinkToFit="0" vertical="bottom" wrapText="1"/>
    </xf>
    <xf borderId="9" fillId="0" fontId="26" numFmtId="0" xfId="0" applyAlignment="1" applyBorder="1" applyFont="1">
      <alignment shrinkToFit="0" wrapText="1"/>
    </xf>
    <xf borderId="18" fillId="0" fontId="28" numFmtId="0" xfId="0" applyAlignment="1" applyBorder="1" applyFont="1">
      <alignment shrinkToFit="0" vertical="bottom" wrapText="1"/>
    </xf>
    <xf borderId="18" fillId="0" fontId="27" numFmtId="4" xfId="0" applyAlignment="1" applyBorder="1" applyFont="1" applyNumberFormat="1">
      <alignment readingOrder="0" shrinkToFit="0" vertical="bottom" wrapText="1"/>
    </xf>
    <xf borderId="18" fillId="0" fontId="27" numFmtId="165" xfId="0" applyAlignment="1" applyBorder="1" applyFont="1" applyNumberFormat="1">
      <alignment shrinkToFit="0" vertical="bottom" wrapText="1"/>
    </xf>
    <xf borderId="18" fillId="0" fontId="27" numFmtId="164" xfId="0" applyAlignment="1" applyBorder="1" applyFont="1" applyNumberFormat="1">
      <alignment shrinkToFit="0" vertical="bottom" wrapText="1"/>
    </xf>
    <xf borderId="0" fillId="8" fontId="25" numFmtId="166" xfId="0" applyAlignment="1" applyFont="1" applyNumberFormat="1">
      <alignment horizontal="center" shrinkToFit="0" wrapText="1"/>
    </xf>
    <xf borderId="0" fillId="8" fontId="25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center" shrinkToFit="0" wrapText="1"/>
    </xf>
    <xf borderId="9" fillId="0" fontId="27" numFmtId="0" xfId="0" applyAlignment="1" applyBorder="1" applyFont="1">
      <alignment shrinkToFit="0" vertical="bottom" wrapText="1"/>
    </xf>
    <xf borderId="9" fillId="0" fontId="28" numFmtId="0" xfId="0" applyAlignment="1" applyBorder="1" applyFont="1">
      <alignment shrinkToFit="0" vertical="bottom" wrapText="1"/>
    </xf>
    <xf borderId="9" fillId="6" fontId="27" numFmtId="0" xfId="0" applyAlignment="1" applyBorder="1" applyFont="1">
      <alignment readingOrder="0" shrinkToFit="0" vertical="bottom" wrapText="1"/>
    </xf>
    <xf borderId="9" fillId="0" fontId="26" numFmtId="164" xfId="0" applyAlignment="1" applyBorder="1" applyFont="1" applyNumberFormat="1">
      <alignment shrinkToFit="0" wrapText="1"/>
    </xf>
    <xf borderId="9" fillId="0" fontId="26" numFmtId="4" xfId="0" applyAlignment="1" applyBorder="1" applyFont="1" applyNumberFormat="1">
      <alignment horizontal="right" readingOrder="0" shrinkToFit="0" wrapText="1"/>
    </xf>
    <xf borderId="0" fillId="8" fontId="25" numFmtId="166" xfId="0" applyAlignment="1" applyFont="1" applyNumberFormat="1">
      <alignment horizontal="center" readingOrder="0" shrinkToFit="0" wrapText="1"/>
    </xf>
    <xf borderId="18" fillId="6" fontId="27" numFmtId="0" xfId="0" applyAlignment="1" applyBorder="1" applyFont="1">
      <alignment readingOrder="0" shrinkToFit="0" vertical="bottom" wrapText="1"/>
    </xf>
    <xf borderId="9" fillId="6" fontId="27" numFmtId="165" xfId="0" applyAlignment="1" applyBorder="1" applyFont="1" applyNumberFormat="1">
      <alignment horizontal="right" readingOrder="0" shrinkToFit="0" vertical="bottom" wrapText="1"/>
    </xf>
    <xf borderId="9" fillId="6" fontId="27" numFmtId="166" xfId="0" applyAlignment="1" applyBorder="1" applyFont="1" applyNumberFormat="1">
      <alignment horizontal="right" readingOrder="0" shrinkToFit="0" vertical="bottom" wrapText="1"/>
    </xf>
    <xf borderId="9" fillId="0" fontId="27" numFmtId="166" xfId="0" applyAlignment="1" applyBorder="1" applyFont="1" applyNumberFormat="1">
      <alignment horizontal="right" readingOrder="0" shrinkToFit="0" vertical="bottom" wrapText="1"/>
    </xf>
    <xf borderId="9" fillId="0" fontId="26" numFmtId="164" xfId="0" applyAlignment="1" applyBorder="1" applyFont="1" applyNumberFormat="1">
      <alignment readingOrder="0" shrinkToFit="0" wrapText="1"/>
    </xf>
    <xf borderId="9" fillId="0" fontId="29" numFmtId="164" xfId="0" applyAlignment="1" applyBorder="1" applyFont="1" applyNumberFormat="1">
      <alignment shrinkToFit="0" wrapText="1"/>
    </xf>
    <xf borderId="9" fillId="0" fontId="29" numFmtId="0" xfId="0" applyAlignment="1" applyBorder="1" applyFont="1">
      <alignment shrinkToFit="0" wrapText="1"/>
    </xf>
    <xf borderId="9" fillId="0" fontId="29" numFmtId="164" xfId="0" applyAlignment="1" applyBorder="1" applyFont="1" applyNumberFormat="1">
      <alignment readingOrder="0" shrinkToFit="0" wrapText="1"/>
    </xf>
    <xf borderId="0" fillId="0" fontId="27" numFmtId="165" xfId="0" applyAlignment="1" applyFont="1" applyNumberFormat="1">
      <alignment horizontal="right" readingOrder="0" shrinkToFit="0" vertical="bottom" wrapText="1"/>
    </xf>
    <xf borderId="0" fillId="0" fontId="27" numFmtId="166" xfId="0" applyAlignment="1" applyFont="1" applyNumberFormat="1">
      <alignment horizontal="right" readingOrder="0" shrinkToFit="0" vertical="bottom" wrapText="1"/>
    </xf>
    <xf borderId="9" fillId="0" fontId="26" numFmtId="4" xfId="0" applyAlignment="1" applyBorder="1" applyFont="1" applyNumberFormat="1">
      <alignment readingOrder="0" shrinkToFit="0" wrapText="1"/>
    </xf>
    <xf borderId="9" fillId="0" fontId="2" numFmtId="164" xfId="0" applyAlignment="1" applyBorder="1" applyFont="1" applyNumberFormat="1">
      <alignment shrinkToFit="0" wrapText="1"/>
    </xf>
    <xf borderId="9" fillId="0" fontId="2" numFmtId="0" xfId="0" applyAlignment="1" applyBorder="1" applyFont="1">
      <alignment shrinkToFit="0" wrapText="1"/>
    </xf>
    <xf borderId="9" fillId="0" fontId="1" numFmtId="0" xfId="0" applyAlignment="1" applyBorder="1" applyFont="1">
      <alignment readingOrder="0" shrinkToFit="0" wrapText="1"/>
    </xf>
    <xf borderId="9" fillId="0" fontId="1" numFmtId="4" xfId="0" applyAlignment="1" applyBorder="1" applyFont="1" applyNumberFormat="1">
      <alignment readingOrder="0" shrinkToFit="0" wrapText="1"/>
    </xf>
    <xf borderId="9" fillId="0" fontId="1" numFmtId="164" xfId="0" applyAlignment="1" applyBorder="1" applyFont="1" applyNumberFormat="1">
      <alignment readingOrder="0" shrinkToFit="0" wrapText="1"/>
    </xf>
    <xf borderId="9" fillId="23" fontId="26" numFmtId="0" xfId="0" applyAlignment="1" applyBorder="1" applyFont="1">
      <alignment readingOrder="0" shrinkToFit="0" wrapText="1"/>
    </xf>
    <xf borderId="9" fillId="30" fontId="26" numFmtId="0" xfId="0" applyAlignment="1" applyBorder="1" applyFont="1">
      <alignment horizontal="right" shrinkToFit="0" wrapText="1"/>
    </xf>
    <xf borderId="9" fillId="23" fontId="30" numFmtId="0" xfId="0" applyAlignment="1" applyBorder="1" applyFont="1">
      <alignment readingOrder="0" shrinkToFit="0" wrapText="1"/>
    </xf>
    <xf borderId="9" fillId="0" fontId="30" numFmtId="0" xfId="0" applyAlignment="1" applyBorder="1" applyFont="1">
      <alignment readingOrder="0" shrinkToFit="0" wrapText="1"/>
    </xf>
    <xf borderId="9" fillId="0" fontId="27" numFmtId="0" xfId="0" applyAlignment="1" applyBorder="1" applyFont="1">
      <alignment shrinkToFit="0" vertical="bottom" wrapText="1"/>
    </xf>
    <xf borderId="9" fillId="0" fontId="30" numFmtId="4" xfId="0" applyAlignment="1" applyBorder="1" applyFont="1" applyNumberFormat="1">
      <alignment readingOrder="0" shrinkToFit="0" wrapText="1"/>
    </xf>
    <xf borderId="9" fillId="0" fontId="30" numFmtId="164" xfId="0" applyAlignment="1" applyBorder="1" applyFont="1" applyNumberFormat="1">
      <alignment shrinkToFit="0" wrapText="1"/>
    </xf>
    <xf borderId="9" fillId="0" fontId="30" numFmtId="0" xfId="0" applyAlignment="1" applyBorder="1" applyFont="1">
      <alignment shrinkToFit="0" wrapText="1"/>
    </xf>
    <xf borderId="9" fillId="30" fontId="30" numFmtId="0" xfId="0" applyAlignment="1" applyBorder="1" applyFont="1">
      <alignment horizontal="right" shrinkToFit="0" wrapText="1"/>
    </xf>
    <xf borderId="0" fillId="0" fontId="31" numFmtId="0" xfId="0" applyAlignment="1" applyFont="1">
      <alignment shrinkToFit="0" wrapText="1"/>
    </xf>
    <xf borderId="9" fillId="0" fontId="29" numFmtId="0" xfId="0" applyAlignment="1" applyBorder="1" applyFont="1">
      <alignment shrinkToFit="0" vertical="bottom" wrapText="1"/>
    </xf>
    <xf borderId="9" fillId="0" fontId="26" numFmtId="4" xfId="0" applyAlignment="1" applyBorder="1" applyFont="1" applyNumberFormat="1">
      <alignment shrinkToFit="0" wrapText="1"/>
    </xf>
    <xf borderId="9" fillId="0" fontId="2" numFmtId="4" xfId="0" applyAlignment="1" applyBorder="1" applyFont="1" applyNumberFormat="1">
      <alignment shrinkToFit="0" wrapText="1"/>
    </xf>
    <xf borderId="9" fillId="30" fontId="2" numFmtId="0" xfId="0" applyAlignment="1" applyBorder="1" applyFont="1">
      <alignment horizontal="right" shrinkToFit="0" wrapText="1"/>
    </xf>
    <xf borderId="9" fillId="30" fontId="1" numFmtId="0" xfId="0" applyAlignment="1" applyBorder="1" applyFont="1">
      <alignment horizontal="right" readingOrder="0" shrinkToFit="0" wrapText="1"/>
    </xf>
    <xf borderId="9" fillId="0" fontId="1" numFmtId="4" xfId="0" applyAlignment="1" applyBorder="1" applyFont="1" applyNumberFormat="1">
      <alignment horizontal="right" readingOrder="0" shrinkToFit="0" wrapText="1"/>
    </xf>
    <xf borderId="9" fillId="16" fontId="26" numFmtId="0" xfId="0" applyAlignment="1" applyBorder="1" applyFont="1">
      <alignment readingOrder="0" shrinkToFit="0" wrapText="1"/>
    </xf>
    <xf borderId="9" fillId="0" fontId="32" numFmtId="4" xfId="0" applyAlignment="1" applyBorder="1" applyFont="1" applyNumberFormat="1">
      <alignment readingOrder="0" shrinkToFit="0" wrapText="1"/>
    </xf>
    <xf borderId="9" fillId="6" fontId="26" numFmtId="0" xfId="0" applyAlignment="1" applyBorder="1" applyFont="1">
      <alignment readingOrder="0" shrinkToFit="0" wrapText="1"/>
    </xf>
    <xf borderId="9" fillId="7" fontId="26" numFmtId="0" xfId="0" applyAlignment="1" applyBorder="1" applyFont="1">
      <alignment readingOrder="0" shrinkToFit="0" wrapText="1"/>
    </xf>
    <xf borderId="9" fillId="0" fontId="25" numFmtId="0" xfId="0" applyAlignment="1" applyBorder="1" applyFont="1">
      <alignment readingOrder="0" shrinkToFit="0" wrapText="1"/>
    </xf>
    <xf borderId="9" fillId="23" fontId="25" numFmtId="0" xfId="0" applyAlignment="1" applyBorder="1" applyFont="1">
      <alignment readingOrder="0" shrinkToFit="0" wrapText="1"/>
    </xf>
    <xf borderId="9" fillId="0" fontId="23" numFmtId="165" xfId="0" applyAlignment="1" applyBorder="1" applyFont="1" applyNumberFormat="1">
      <alignment horizontal="right" readingOrder="0" shrinkToFit="0" vertical="bottom" wrapText="1"/>
    </xf>
    <xf borderId="9" fillId="0" fontId="23" numFmtId="166" xfId="0" applyAlignment="1" applyBorder="1" applyFont="1" applyNumberFormat="1">
      <alignment horizontal="right" readingOrder="0" shrinkToFit="0" vertical="bottom" wrapText="1"/>
    </xf>
    <xf borderId="9" fillId="0" fontId="25" numFmtId="0" xfId="0" applyAlignment="1" applyBorder="1" applyFont="1">
      <alignment horizontal="center" readingOrder="0" shrinkToFit="0" wrapText="1"/>
    </xf>
    <xf borderId="9" fillId="3" fontId="26" numFmtId="0" xfId="0" applyAlignment="1" applyBorder="1" applyFont="1">
      <alignment readingOrder="0" shrinkToFit="0" wrapText="1"/>
    </xf>
    <xf borderId="9" fillId="27" fontId="26" numFmtId="0" xfId="0" applyAlignment="1" applyBorder="1" applyFont="1">
      <alignment readingOrder="0" shrinkToFit="0" wrapText="1"/>
    </xf>
    <xf borderId="9" fillId="3" fontId="1" numFmtId="0" xfId="0" applyAlignment="1" applyBorder="1" applyFont="1">
      <alignment readingOrder="0" shrinkToFit="0" wrapText="1"/>
    </xf>
    <xf borderId="9" fillId="16" fontId="1" numFmtId="0" xfId="0" applyAlignment="1" applyBorder="1" applyFont="1">
      <alignment readingOrder="0" shrinkToFit="0" wrapText="1"/>
    </xf>
    <xf borderId="9" fillId="23" fontId="2" numFmtId="0" xfId="0" applyAlignment="1" applyBorder="1" applyFont="1">
      <alignment shrinkToFit="0" wrapText="1"/>
    </xf>
    <xf borderId="0" fillId="23" fontId="2" numFmtId="0" xfId="0" applyAlignment="1" applyFont="1">
      <alignment shrinkToFit="0" wrapText="1"/>
    </xf>
    <xf borderId="0" fillId="0" fontId="2" numFmtId="4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30" fontId="2" numFmtId="0" xfId="0" applyAlignment="1" applyFont="1">
      <alignment horizontal="right" shrinkToFit="0" wrapText="1"/>
    </xf>
    <xf borderId="15" fillId="9" fontId="4" numFmtId="0" xfId="0" applyAlignment="1" applyBorder="1" applyFont="1">
      <alignment horizontal="center" readingOrder="0" vertical="center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2" fontId="12" numFmtId="0" xfId="0" applyAlignment="1" applyBorder="1" applyFont="1">
      <alignment horizontal="center" vertical="center"/>
    </xf>
    <xf borderId="23" fillId="2" fontId="12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center" readingOrder="0" textRotation="255"/>
    </xf>
    <xf borderId="2" fillId="2" fontId="14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vertical="center"/>
    </xf>
    <xf borderId="24" fillId="0" fontId="5" numFmtId="0" xfId="0" applyBorder="1" applyFont="1"/>
    <xf borderId="9" fillId="0" fontId="8" numFmtId="0" xfId="0" applyAlignment="1" applyBorder="1" applyFont="1">
      <alignment horizontal="center" vertical="center"/>
    </xf>
    <xf borderId="25" fillId="4" fontId="8" numFmtId="0" xfId="0" applyAlignment="1" applyBorder="1" applyFont="1">
      <alignment horizontal="center" vertical="center"/>
    </xf>
    <xf borderId="26" fillId="0" fontId="5" numFmtId="0" xfId="0" applyBorder="1" applyFont="1"/>
    <xf borderId="10" fillId="2" fontId="14" numFmtId="0" xfId="0" applyAlignment="1" applyBorder="1" applyFont="1">
      <alignment horizontal="left" vertical="center"/>
    </xf>
    <xf borderId="10" fillId="0" fontId="8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2" fontId="34" numFmtId="0" xfId="0" applyAlignment="1" applyBorder="1" applyFont="1">
      <alignment horizontal="center" readingOrder="0" textRotation="255" vertical="center"/>
    </xf>
    <xf borderId="13" fillId="2" fontId="14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center" vertical="center"/>
    </xf>
    <xf borderId="29" fillId="4" fontId="8" numFmtId="0" xfId="0" applyAlignment="1" applyBorder="1" applyFont="1">
      <alignment horizontal="center" vertical="center"/>
    </xf>
    <xf borderId="9" fillId="2" fontId="14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 vertical="center"/>
    </xf>
    <xf borderId="1" fillId="2" fontId="35" numFmtId="0" xfId="0" applyAlignment="1" applyBorder="1" applyFont="1">
      <alignment horizontal="center" textRotation="255"/>
    </xf>
    <xf borderId="2" fillId="4" fontId="8" numFmtId="0" xfId="0" applyAlignment="1" applyBorder="1" applyFont="1">
      <alignment horizontal="center" vertical="center"/>
    </xf>
    <xf borderId="9" fillId="4" fontId="8" numFmtId="0" xfId="0" applyAlignment="1" applyBorder="1" applyFont="1">
      <alignment horizontal="center" vertical="center"/>
    </xf>
    <xf borderId="10" fillId="4" fontId="8" numFmtId="0" xfId="0" applyAlignment="1" applyBorder="1" applyFont="1">
      <alignment horizontal="center" vertical="center"/>
    </xf>
    <xf borderId="28" fillId="2" fontId="36" numFmtId="0" xfId="0" applyAlignment="1" applyBorder="1" applyFont="1">
      <alignment horizontal="center" textRotation="255" vertical="center"/>
    </xf>
    <xf borderId="13" fillId="4" fontId="8" numFmtId="0" xfId="0" applyAlignment="1" applyBorder="1" applyFont="1">
      <alignment horizontal="center" vertical="center"/>
    </xf>
    <xf borderId="0" fillId="31" fontId="1" numFmtId="0" xfId="0" applyAlignment="1" applyFill="1" applyFont="1">
      <alignment readingOrder="0"/>
    </xf>
    <xf borderId="0" fillId="31" fontId="2" numFmtId="0" xfId="0" applyFont="1"/>
    <xf borderId="10" fillId="2" fontId="6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center" readingOrder="0" vertical="center"/>
    </xf>
    <xf borderId="25" fillId="4" fontId="7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31" fillId="4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26" fillId="2" fontId="34" numFmtId="0" xfId="0" applyAlignment="1" applyBorder="1" applyFont="1">
      <alignment horizontal="center" readingOrder="0" textRotation="255" vertical="center"/>
    </xf>
    <xf borderId="12" fillId="2" fontId="6" numFmtId="0" xfId="0" applyAlignment="1" applyBorder="1" applyFont="1">
      <alignment horizontal="left" readingOrder="0" vertical="center"/>
    </xf>
    <xf borderId="32" fillId="4" fontId="8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center" readingOrder="0"/>
    </xf>
    <xf borderId="9" fillId="32" fontId="7" numFmtId="0" xfId="0" applyAlignment="1" applyBorder="1" applyFill="1" applyFont="1">
      <alignment horizontal="center" readingOrder="0" vertical="center"/>
    </xf>
    <xf borderId="9" fillId="7" fontId="7" numFmtId="0" xfId="0" applyAlignment="1" applyBorder="1" applyFont="1">
      <alignment horizontal="center" readingOrder="0" vertical="center"/>
    </xf>
    <xf borderId="16" fillId="2" fontId="6" numFmtId="0" xfId="0" applyAlignment="1" applyBorder="1" applyFont="1">
      <alignment horizontal="left" readingOrder="0" vertical="center"/>
    </xf>
    <xf borderId="0" fillId="6" fontId="1" numFmtId="0" xfId="0" applyAlignment="1" applyFont="1">
      <alignment horizontal="center" readingOrder="0"/>
    </xf>
    <xf borderId="35" fillId="4" fontId="8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36" fillId="4" fontId="7" numFmtId="0" xfId="0" applyAlignment="1" applyBorder="1" applyFont="1">
      <alignment horizontal="center" readingOrder="0" vertical="center"/>
    </xf>
    <xf borderId="7" fillId="2" fontId="6" numFmtId="0" xfId="0" applyAlignment="1" applyBorder="1" applyFont="1">
      <alignment horizontal="left" readingOrder="0" vertical="center"/>
    </xf>
    <xf borderId="9" fillId="33" fontId="7" numFmtId="0" xfId="0" applyAlignment="1" applyBorder="1" applyFill="1" applyFont="1">
      <alignment horizontal="center" readingOrder="0" vertical="center"/>
    </xf>
    <xf borderId="9" fillId="33" fontId="7" numFmtId="0" xfId="0" applyAlignment="1" applyBorder="1" applyFont="1">
      <alignment horizontal="center" readingOrder="0" shrinkToFit="0" wrapText="1"/>
    </xf>
    <xf borderId="37" fillId="4" fontId="7" numFmtId="0" xfId="0" applyAlignment="1" applyBorder="1" applyFont="1">
      <alignment horizontal="center" readingOrder="0" vertical="center"/>
    </xf>
    <xf borderId="38" fillId="2" fontId="6" numFmtId="0" xfId="0" applyAlignment="1" applyBorder="1" applyFont="1">
      <alignment horizontal="left" readingOrder="0" vertical="center"/>
    </xf>
    <xf borderId="11" fillId="2" fontId="6" numFmtId="0" xfId="0" applyAlignment="1" applyBorder="1" applyFont="1">
      <alignment horizontal="left" readingOrder="0" vertical="center"/>
    </xf>
    <xf borderId="39" fillId="2" fontId="6" numFmtId="0" xfId="0" applyAlignment="1" applyBorder="1" applyFont="1">
      <alignment horizontal="left" readingOrder="0" vertical="center"/>
    </xf>
    <xf borderId="7" fillId="2" fontId="14" numFmtId="0" xfId="0" applyAlignment="1" applyBorder="1" applyFont="1">
      <alignment horizontal="left" vertical="center"/>
    </xf>
    <xf borderId="37" fillId="4" fontId="8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left" readingOrder="0" shrinkToFit="0" vertical="center" wrapText="1"/>
    </xf>
    <xf borderId="9" fillId="0" fontId="11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readingOrder="0" vertical="top"/>
    </xf>
    <xf borderId="9" fillId="0" fontId="37" numFmtId="0" xfId="0" applyAlignment="1" applyBorder="1" applyFont="1">
      <alignment horizontal="center" readingOrder="0" shrinkToFit="0" wrapText="1"/>
    </xf>
    <xf borderId="9" fillId="0" fontId="29" numFmtId="0" xfId="0" applyAlignment="1" applyBorder="1" applyFont="1">
      <alignment horizontal="center" readingOrder="0" shrinkToFit="0" wrapText="1"/>
    </xf>
    <xf borderId="2" fillId="7" fontId="7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9" fillId="0" fontId="38" numFmtId="0" xfId="0" applyAlignment="1" applyBorder="1" applyFont="1">
      <alignment horizontal="center" readingOrder="0" vertical="center"/>
    </xf>
    <xf borderId="9" fillId="0" fontId="29" numFmtId="0" xfId="0" applyAlignment="1" applyBorder="1" applyFont="1">
      <alignment readingOrder="0" shrinkToFit="0" wrapText="1"/>
    </xf>
    <xf borderId="9" fillId="4" fontId="7" numFmtId="0" xfId="0" applyAlignment="1" applyBorder="1" applyFont="1">
      <alignment horizontal="center" readingOrder="0" vertical="center"/>
    </xf>
    <xf borderId="9" fillId="21" fontId="1" numFmtId="0" xfId="0" applyAlignment="1" applyBorder="1" applyFont="1">
      <alignment horizontal="center" readingOrder="0"/>
    </xf>
    <xf borderId="9" fillId="0" fontId="39" numFmtId="0" xfId="0" applyAlignment="1" applyBorder="1" applyFont="1">
      <alignment horizontal="center" readingOrder="0" shrinkToFit="0" wrapText="1"/>
    </xf>
    <xf borderId="9" fillId="12" fontId="7" numFmtId="0" xfId="0" applyAlignment="1" applyBorder="1" applyFont="1">
      <alignment horizontal="center" readingOrder="0" shrinkToFit="0" wrapText="1"/>
    </xf>
    <xf borderId="9" fillId="12" fontId="1" numFmtId="0" xfId="0" applyAlignment="1" applyBorder="1" applyFont="1">
      <alignment horizontal="center" readingOrder="0"/>
    </xf>
    <xf borderId="0" fillId="0" fontId="29" numFmtId="0" xfId="0" applyAlignment="1" applyFont="1">
      <alignment horizontal="center" readingOrder="0" shrinkToFit="0" wrapText="1"/>
    </xf>
    <xf borderId="9" fillId="12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9" fillId="9" fontId="7" numFmtId="0" xfId="0" applyAlignment="1" applyBorder="1" applyFont="1">
      <alignment horizontal="center" readingOrder="0" shrinkToFit="0" wrapText="1"/>
    </xf>
    <xf borderId="9" fillId="9" fontId="29" numFmtId="0" xfId="0" applyAlignment="1" applyBorder="1" applyFont="1">
      <alignment readingOrder="0" shrinkToFit="0" wrapText="1"/>
    </xf>
    <xf borderId="0" fillId="12" fontId="7" numFmtId="0" xfId="0" applyAlignment="1" applyFont="1">
      <alignment horizontal="center" readingOrder="0"/>
    </xf>
    <xf borderId="9" fillId="7" fontId="7" numFmtId="0" xfId="0" applyAlignment="1" applyBorder="1" applyFont="1">
      <alignment horizontal="center" readingOrder="0"/>
    </xf>
    <xf borderId="9" fillId="12" fontId="7" numFmtId="0" xfId="0" applyAlignment="1" applyBorder="1" applyFont="1">
      <alignment horizontal="center" vertical="bottom"/>
    </xf>
    <xf borderId="9" fillId="10" fontId="7" numFmtId="0" xfId="0" applyAlignment="1" applyBorder="1" applyFont="1">
      <alignment horizontal="center"/>
    </xf>
    <xf borderId="9" fillId="9" fontId="7" numFmtId="0" xfId="0" applyAlignment="1" applyBorder="1" applyFont="1">
      <alignment horizontal="center" readingOrder="0" shrinkToFit="0" vertical="center" wrapText="1"/>
    </xf>
    <xf borderId="9" fillId="10" fontId="7" numFmtId="0" xfId="0" applyAlignment="1" applyBorder="1" applyFont="1">
      <alignment horizontal="center" readingOrder="0" shrinkToFit="0" vertical="center" wrapText="1"/>
    </xf>
    <xf borderId="9" fillId="3" fontId="7" numFmtId="0" xfId="0" applyAlignment="1" applyBorder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/>
    </xf>
    <xf borderId="9" fillId="12" fontId="7" numFmtId="0" xfId="0" applyAlignment="1" applyBorder="1" applyFont="1">
      <alignment horizontal="center" readingOrder="0" shrinkToFit="0" vertical="center" wrapText="1"/>
    </xf>
    <xf borderId="9" fillId="7" fontId="1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9" fillId="10" fontId="7" numFmtId="0" xfId="0" applyAlignment="1" applyBorder="1" applyFont="1">
      <alignment horizontal="center" readingOrder="0" shrinkToFit="0" wrapText="1"/>
    </xf>
    <xf borderId="9" fillId="0" fontId="15" numFmtId="0" xfId="0" applyAlignment="1" applyBorder="1" applyFont="1">
      <alignment horizontal="center" readingOrder="0" vertical="center"/>
    </xf>
    <xf borderId="9" fillId="0" fontId="40" numFmtId="0" xfId="0" applyAlignment="1" applyBorder="1" applyFont="1">
      <alignment horizontal="center" readingOrder="0"/>
    </xf>
    <xf borderId="9" fillId="16" fontId="1" numFmtId="0" xfId="0" applyAlignment="1" applyBorder="1" applyFont="1">
      <alignment horizontal="center" readingOrder="0" shrinkToFit="0" wrapText="1"/>
    </xf>
    <xf borderId="0" fillId="14" fontId="1" numFmtId="0" xfId="0" applyAlignment="1" applyFont="1">
      <alignment horizontal="center" readingOrder="0"/>
    </xf>
    <xf borderId="9" fillId="31" fontId="1" numFmtId="0" xfId="0" applyAlignment="1" applyBorder="1" applyFont="1">
      <alignment readingOrder="0"/>
    </xf>
    <xf borderId="0" fillId="2" fontId="34" numFmtId="0" xfId="0" applyAlignment="1" applyFont="1">
      <alignment horizontal="center" readingOrder="0" textRotation="255" vertical="center"/>
    </xf>
    <xf borderId="9" fillId="1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3" fillId="2" fontId="6" numFmtId="0" xfId="0" applyAlignment="1" applyBorder="1" applyFont="1">
      <alignment horizontal="left" readingOrder="0" shrinkToFit="0" vertical="center" wrapText="1"/>
    </xf>
    <xf borderId="18" fillId="14" fontId="41" numFmtId="0" xfId="0" applyAlignment="1" applyBorder="1" applyFont="1">
      <alignment horizontal="center" readingOrder="0" shrinkToFit="0" vertical="bottom" wrapText="0"/>
    </xf>
    <xf borderId="18" fillId="14" fontId="41" numFmtId="0" xfId="0" applyAlignment="1" applyBorder="1" applyFont="1">
      <alignment horizontal="center" readingOrder="0" shrinkToFit="0" vertical="center" wrapText="0"/>
    </xf>
    <xf borderId="9" fillId="0" fontId="29" numFmtId="0" xfId="0" applyAlignment="1" applyBorder="1" applyFont="1">
      <alignment horizontal="center" readingOrder="0" shrinkToFit="0" vertical="center" wrapText="1"/>
    </xf>
    <xf borderId="18" fillId="14" fontId="27" numFmtId="0" xfId="0" applyAlignment="1" applyBorder="1" applyFont="1">
      <alignment horizontal="center" readingOrder="0" shrinkToFit="0" vertical="center" wrapText="0"/>
    </xf>
    <xf borderId="18" fillId="16" fontId="41" numFmtId="0" xfId="0" applyAlignment="1" applyBorder="1" applyFont="1">
      <alignment horizontal="center" readingOrder="0" shrinkToFit="0" vertical="center" wrapText="0"/>
    </xf>
    <xf borderId="0" fillId="1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3" fontId="1" numFmtId="0" xfId="0" applyAlignment="1" applyFont="1">
      <alignment horizontal="center" readingOrder="0" vertical="center"/>
    </xf>
    <xf borderId="0" fillId="16" fontId="7" numFmtId="0" xfId="0" applyAlignment="1" applyFont="1">
      <alignment horizontal="center" readingOrder="0" shrinkToFit="0" vertical="center" wrapText="1"/>
    </xf>
    <xf borderId="0" fillId="3" fontId="2" numFmtId="0" xfId="0" applyFont="1"/>
    <xf borderId="9" fillId="3" fontId="29" numFmtId="0" xfId="0" applyAlignment="1" applyBorder="1" applyFont="1">
      <alignment horizontal="center" readingOrder="0" shrinkToFit="0" wrapText="1"/>
    </xf>
    <xf borderId="9" fillId="3" fontId="7" numFmtId="0" xfId="0" applyAlignment="1" applyBorder="1" applyFont="1">
      <alignment horizontal="center" readingOrder="0" shrinkToFit="0" wrapText="1"/>
    </xf>
    <xf borderId="9" fillId="12" fontId="29" numFmtId="0" xfId="0" applyAlignment="1" applyBorder="1" applyFont="1">
      <alignment horizontal="center" readingOrder="0" shrinkToFit="0" vertical="center" wrapText="1"/>
    </xf>
    <xf borderId="9" fillId="12" fontId="13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9" fillId="6" fontId="29" numFmtId="0" xfId="0" applyAlignment="1" applyBorder="1" applyFont="1">
      <alignment horizontal="center" readingOrder="0" shrinkToFit="0" wrapText="1"/>
    </xf>
    <xf borderId="9" fillId="9" fontId="15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vertical="center"/>
    </xf>
    <xf borderId="9" fillId="3" fontId="7" numFmtId="0" xfId="0" applyAlignment="1" applyBorder="1" applyFont="1">
      <alignment horizontal="center" vertical="center"/>
    </xf>
    <xf borderId="9" fillId="4" fontId="8" numFmtId="0" xfId="0" applyBorder="1" applyFont="1"/>
    <xf borderId="0" fillId="6" fontId="1" numFmtId="0" xfId="0" applyAlignment="1" applyFont="1">
      <alignment readingOrder="0" shrinkToFit="0" wrapText="1"/>
    </xf>
    <xf borderId="9" fillId="12" fontId="42" numFmtId="0" xfId="0" applyAlignment="1" applyBorder="1" applyFont="1">
      <alignment horizontal="center" readingOrder="0"/>
    </xf>
    <xf borderId="9" fillId="12" fontId="4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0" fillId="12" fontId="1" numFmtId="0" xfId="0" applyAlignment="1" applyFont="1">
      <alignment horizontal="center" readingOrder="0" vertical="center"/>
    </xf>
    <xf borderId="9" fillId="3" fontId="7" numFmtId="0" xfId="0" applyAlignment="1" applyBorder="1" applyFont="1">
      <alignment horizontal="center" readingOrder="0"/>
    </xf>
    <xf borderId="33" fillId="10" fontId="1" numFmtId="0" xfId="0" applyAlignment="1" applyBorder="1" applyFont="1">
      <alignment horizontal="center" readingOrder="0" vertical="center"/>
    </xf>
    <xf borderId="9" fillId="10" fontId="31" numFmtId="0" xfId="0" applyAlignment="1" applyBorder="1" applyFont="1">
      <alignment horizontal="center" readingOrder="0" vertical="center"/>
    </xf>
    <xf borderId="34" fillId="10" fontId="1" numFmtId="0" xfId="0" applyAlignment="1" applyBorder="1" applyFont="1">
      <alignment horizontal="center" readingOrder="0" vertical="center"/>
    </xf>
    <xf borderId="9" fillId="10" fontId="9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 vertical="center"/>
    </xf>
    <xf borderId="9" fillId="10" fontId="29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readingOrder="0"/>
    </xf>
    <xf borderId="18" fillId="12" fontId="27" numFmtId="0" xfId="0" applyAlignment="1" applyBorder="1" applyFont="1">
      <alignment horizontal="center" readingOrder="0" vertical="bottom"/>
    </xf>
    <xf borderId="18" fillId="27" fontId="27" numFmtId="0" xfId="0" applyAlignment="1" applyBorder="1" applyFont="1">
      <alignment horizontal="center" readingOrder="0" shrinkToFit="0" vertical="center" wrapText="0"/>
    </xf>
    <xf borderId="18" fillId="9" fontId="27" numFmtId="0" xfId="0" applyAlignment="1" applyBorder="1" applyFont="1">
      <alignment horizontal="center" readingOrder="0" vertical="bottom"/>
    </xf>
    <xf borderId="0" fillId="3" fontId="43" numFmtId="0" xfId="0" applyAlignment="1" applyFont="1">
      <alignment horizontal="center" readingOrder="0"/>
    </xf>
    <xf borderId="18" fillId="27" fontId="27" numFmtId="0" xfId="0" applyAlignment="1" applyBorder="1" applyFont="1">
      <alignment horizontal="left" readingOrder="0" vertical="bottom"/>
    </xf>
    <xf borderId="9" fillId="5" fontId="13" numFmtId="0" xfId="0" applyAlignment="1" applyBorder="1" applyFont="1">
      <alignment horizontal="center" readingOrder="0"/>
    </xf>
    <xf borderId="9" fillId="12" fontId="1" numFmtId="0" xfId="0" applyAlignment="1" applyBorder="1" applyFont="1">
      <alignment horizontal="center" readingOrder="0" shrinkToFit="0" wrapText="1"/>
    </xf>
    <xf borderId="18" fillId="12" fontId="27" numFmtId="0" xfId="0" applyAlignment="1" applyBorder="1" applyFont="1">
      <alignment horizontal="left" readingOrder="0" vertical="bottom"/>
    </xf>
    <xf borderId="0" fillId="12" fontId="1" numFmtId="0" xfId="0" applyAlignment="1" applyFont="1">
      <alignment horizontal="center" readingOrder="0" shrinkToFit="0" wrapText="1"/>
    </xf>
    <xf borderId="9" fillId="10" fontId="1" numFmtId="0" xfId="0" applyAlignment="1" applyBorder="1" applyFont="1">
      <alignment horizontal="center" readingOrder="0" shrinkToFit="0" wrapText="1"/>
    </xf>
    <xf borderId="0" fillId="3" fontId="43" numFmtId="0" xfId="0" applyAlignment="1" applyFont="1">
      <alignment horizontal="left" readingOrder="0"/>
    </xf>
    <xf borderId="1" fillId="2" fontId="12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readingOrder="0" vertical="center"/>
    </xf>
    <xf borderId="2" fillId="2" fontId="12" numFmtId="0" xfId="0" applyAlignment="1" applyBorder="1" applyFont="1">
      <alignment horizontal="left" vertical="center"/>
    </xf>
    <xf borderId="3" fillId="2" fontId="4" numFmtId="0" xfId="0" applyAlignment="1" applyBorder="1" applyFont="1">
      <alignment horizontal="left" readingOrder="0" vertical="center"/>
    </xf>
    <xf borderId="5" fillId="2" fontId="4" numFmtId="0" xfId="0" applyAlignment="1" applyBorder="1" applyFont="1">
      <alignment horizontal="left" readingOrder="0" vertical="center"/>
    </xf>
    <xf borderId="1" fillId="2" fontId="35" numFmtId="0" xfId="0" applyAlignment="1" applyBorder="1" applyFont="1">
      <alignment horizontal="left" textRotation="255"/>
    </xf>
    <xf borderId="9" fillId="0" fontId="7" numFmtId="0" xfId="0" applyAlignment="1" applyBorder="1" applyFont="1">
      <alignment horizontal="left" readingOrder="0" shrinkToFit="0" vertical="center" wrapText="1"/>
    </xf>
    <xf borderId="9" fillId="4" fontId="8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readingOrder="0"/>
    </xf>
    <xf borderId="9" fillId="10" fontId="29" numFmtId="0" xfId="0" applyAlignment="1" applyBorder="1" applyFont="1">
      <alignment horizontal="left" readingOrder="0"/>
    </xf>
    <xf borderId="9" fillId="10" fontId="7" numFmtId="0" xfId="0" applyAlignment="1" applyBorder="1" applyFont="1">
      <alignment horizontal="left" readingOrder="0" shrinkToFit="0" wrapText="1"/>
    </xf>
    <xf borderId="9" fillId="9" fontId="29" numFmtId="0" xfId="0" applyAlignment="1" applyBorder="1" applyFont="1">
      <alignment horizontal="left" readingOrder="0" shrinkToFit="0" wrapText="1"/>
    </xf>
    <xf borderId="9" fillId="4" fontId="7" numFmtId="0" xfId="0" applyAlignment="1" applyBorder="1" applyFont="1">
      <alignment horizontal="left" readingOrder="0" vertical="center"/>
    </xf>
    <xf borderId="9" fillId="0" fontId="7" numFmtId="0" xfId="0" applyAlignment="1" applyBorder="1" applyFont="1">
      <alignment horizontal="left" readingOrder="0" vertical="center"/>
    </xf>
    <xf borderId="0" fillId="2" fontId="34" numFmtId="0" xfId="0" applyAlignment="1" applyFont="1">
      <alignment horizontal="left" readingOrder="0" textRotation="255" vertical="center"/>
    </xf>
    <xf borderId="9" fillId="16" fontId="29" numFmtId="0" xfId="0" applyAlignment="1" applyBorder="1" applyFont="1">
      <alignment horizontal="left" readingOrder="0" shrinkToFit="0" wrapText="1"/>
    </xf>
    <xf borderId="9" fillId="9" fontId="1" numFmtId="0" xfId="0" applyAlignment="1" applyBorder="1" applyFont="1">
      <alignment horizontal="left" readingOrder="0"/>
    </xf>
    <xf borderId="0" fillId="3" fontId="1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9" fillId="10" fontId="7" numFmtId="0" xfId="0" applyAlignment="1" applyBorder="1" applyFont="1">
      <alignment horizontal="left" readingOrder="0"/>
    </xf>
    <xf borderId="9" fillId="10" fontId="1" numFmtId="0" xfId="0" applyAlignment="1" applyBorder="1" applyFont="1">
      <alignment horizontal="left" readingOrder="0"/>
    </xf>
    <xf borderId="26" fillId="2" fontId="34" numFmtId="0" xfId="0" applyAlignment="1" applyBorder="1" applyFont="1">
      <alignment horizontal="left" readingOrder="0" textRotation="255" vertical="center"/>
    </xf>
    <xf borderId="28" fillId="2" fontId="34" numFmtId="0" xfId="0" applyAlignment="1" applyBorder="1" applyFont="1">
      <alignment horizontal="left" readingOrder="0" textRotation="255" vertical="center"/>
    </xf>
    <xf borderId="9" fillId="14" fontId="1" numFmtId="0" xfId="0" applyAlignment="1" applyBorder="1" applyFont="1">
      <alignment horizontal="left" readingOrder="0" vertical="center"/>
    </xf>
    <xf borderId="0" fillId="14" fontId="1" numFmtId="0" xfId="0" applyAlignment="1" applyFont="1">
      <alignment horizontal="left" readingOrder="0" vertical="center"/>
    </xf>
    <xf borderId="9" fillId="9" fontId="7" numFmtId="0" xfId="0" applyAlignment="1" applyBorder="1" applyFont="1">
      <alignment horizontal="left" readingOrder="0" vertical="center"/>
    </xf>
    <xf borderId="0" fillId="10" fontId="1" numFmtId="0" xfId="0" applyAlignment="1" applyFont="1">
      <alignment horizontal="left" readingOrder="0" vertical="center"/>
    </xf>
    <xf borderId="5" fillId="2" fontId="6" numFmtId="0" xfId="0" applyAlignment="1" applyBorder="1" applyFont="1">
      <alignment horizontal="left" readingOrder="0" shrinkToFit="0" vertical="center" wrapText="1"/>
    </xf>
    <xf borderId="9" fillId="9" fontId="7" numFmtId="0" xfId="0" applyAlignment="1" applyBorder="1" applyFont="1">
      <alignment horizontal="left" readingOrder="0" shrinkToFit="0" vertical="center" wrapText="1"/>
    </xf>
    <xf borderId="9" fillId="10" fontId="7" numFmtId="0" xfId="0" applyAlignment="1" applyBorder="1" applyFont="1">
      <alignment horizontal="left" readingOrder="0" shrinkToFit="0" vertical="center" wrapText="1"/>
    </xf>
    <xf borderId="9" fillId="12" fontId="29" numFmtId="0" xfId="0" applyAlignment="1" applyBorder="1" applyFont="1">
      <alignment horizontal="left" readingOrder="0" vertical="center"/>
    </xf>
    <xf borderId="9" fillId="3" fontId="7" numFmtId="0" xfId="0" applyAlignment="1" applyBorder="1" applyFont="1">
      <alignment horizontal="left" readingOrder="0" shrinkToFit="0" vertical="center" wrapText="1"/>
    </xf>
    <xf borderId="0" fillId="14" fontId="1" numFmtId="0" xfId="0" applyAlignment="1" applyFont="1">
      <alignment horizontal="left" readingOrder="0"/>
    </xf>
    <xf borderId="9" fillId="3" fontId="1" numFmtId="0" xfId="0" applyAlignment="1" applyBorder="1" applyFont="1">
      <alignment horizontal="left" readingOrder="0"/>
    </xf>
    <xf borderId="9" fillId="3" fontId="7" numFmtId="0" xfId="0" applyAlignment="1" applyBorder="1" applyFont="1">
      <alignment horizontal="left" readingOrder="0" vertical="center"/>
    </xf>
    <xf borderId="0" fillId="10" fontId="1" numFmtId="0" xfId="0" applyAlignment="1" applyFont="1">
      <alignment horizontal="left" readingOrder="0"/>
    </xf>
    <xf borderId="18" fillId="0" fontId="27" numFmtId="0" xfId="0" applyAlignment="1" applyBorder="1" applyFont="1">
      <alignment horizontal="left" readingOrder="0" shrinkToFit="0" vertical="bottom" wrapText="0"/>
    </xf>
    <xf borderId="9" fillId="3" fontId="1" numFmtId="0" xfId="0" applyAlignment="1" applyBorder="1" applyFont="1">
      <alignment horizontal="left" readingOrder="0" vertical="center"/>
    </xf>
    <xf borderId="9" fillId="3" fontId="29" numFmtId="0" xfId="0" applyAlignment="1" applyBorder="1" applyFont="1">
      <alignment horizontal="left" readingOrder="0" shrinkToFit="0" wrapText="1"/>
    </xf>
    <xf borderId="24" fillId="2" fontId="34" numFmtId="0" xfId="0" applyAlignment="1" applyBorder="1" applyFont="1">
      <alignment horizontal="left" readingOrder="0" textRotation="255" vertical="center"/>
    </xf>
    <xf borderId="0" fillId="3" fontId="1" numFmtId="0" xfId="0" applyAlignment="1" applyFont="1">
      <alignment horizontal="left" readingOrder="0" vertical="center"/>
    </xf>
    <xf borderId="0" fillId="9" fontId="1" numFmtId="0" xfId="0" applyAlignment="1" applyFont="1">
      <alignment horizontal="left" readingOrder="0"/>
    </xf>
    <xf borderId="9" fillId="12" fontId="1" numFmtId="0" xfId="0" applyAlignment="1" applyBorder="1" applyFont="1">
      <alignment horizontal="left" readingOrder="0"/>
    </xf>
    <xf borderId="18" fillId="12" fontId="27" numFmtId="0" xfId="0" applyAlignment="1" applyBorder="1" applyFont="1">
      <alignment horizontal="left" readingOrder="0" shrinkToFit="0" vertical="bottom" wrapText="0"/>
    </xf>
    <xf borderId="18" fillId="10" fontId="41" numFmtId="0" xfId="0" applyAlignment="1" applyBorder="1" applyFont="1">
      <alignment horizontal="left" readingOrder="0" shrinkToFit="0" vertical="bottom" wrapText="0"/>
    </xf>
    <xf borderId="9" fillId="14" fontId="1" numFmtId="0" xfId="0" applyAlignment="1" applyBorder="1" applyFont="1">
      <alignment horizontal="left" readingOrder="0"/>
    </xf>
    <xf borderId="0" fillId="12" fontId="9" numFmtId="0" xfId="0" applyAlignment="1" applyFont="1">
      <alignment horizontal="left" readingOrder="0"/>
    </xf>
    <xf borderId="9" fillId="34" fontId="1" numFmtId="0" xfId="0" applyAlignment="1" applyBorder="1" applyFill="1" applyFont="1">
      <alignment horizontal="left" readingOrder="0" vertical="center"/>
    </xf>
    <xf borderId="9" fillId="1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1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9" fillId="12" fontId="7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wrapText="1"/>
    </xf>
    <xf borderId="0" fillId="12" fontId="9" numFmtId="0" xfId="0" applyAlignment="1" applyFont="1">
      <alignment horizontal="left" readingOrder="0" vertical="center"/>
    </xf>
    <xf borderId="9" fillId="12" fontId="1" numFmtId="0" xfId="0" applyAlignment="1" applyBorder="1" applyFont="1">
      <alignment horizontal="left" readingOrder="0" shrinkToFit="0" vertical="center" wrapText="1"/>
    </xf>
    <xf borderId="9" fillId="12" fontId="1" numFmtId="0" xfId="0" applyAlignment="1" applyBorder="1" applyFont="1">
      <alignment horizontal="left" readingOrder="0" vertical="center"/>
    </xf>
    <xf borderId="9" fillId="6" fontId="9" numFmtId="0" xfId="0" applyAlignment="1" applyBorder="1" applyFont="1">
      <alignment horizontal="left" readingOrder="0" vertical="center"/>
    </xf>
    <xf borderId="9" fillId="6" fontId="2" numFmtId="0" xfId="0" applyAlignment="1" applyBorder="1" applyFont="1">
      <alignment horizontal="left"/>
    </xf>
    <xf borderId="9" fillId="14" fontId="1" numFmtId="0" xfId="0" applyAlignment="1" applyBorder="1" applyFont="1">
      <alignment horizontal="left" readingOrder="0" shrinkToFit="0" wrapText="1"/>
    </xf>
    <xf borderId="9" fillId="1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9" fillId="14" fontId="1" numFmtId="0" xfId="0" applyAlignment="1" applyBorder="1" applyFont="1">
      <alignment horizontal="left" readingOrder="0" shrinkToFit="0" vertical="center" wrapText="1"/>
    </xf>
    <xf borderId="9" fillId="12" fontId="29" numFmtId="0" xfId="0" applyAlignment="1" applyBorder="1" applyFont="1">
      <alignment horizontal="left" readingOrder="0" shrinkToFit="0" vertical="center" wrapText="1"/>
    </xf>
    <xf borderId="0" fillId="12" fontId="1" numFmtId="0" xfId="0" applyAlignment="1" applyFont="1">
      <alignment horizontal="left" readingOrder="0"/>
    </xf>
    <xf borderId="0" fillId="18" fontId="1" numFmtId="0" xfId="0" applyAlignment="1" applyFont="1">
      <alignment horizontal="left" readingOrder="0"/>
    </xf>
    <xf borderId="0" fillId="9" fontId="1" numFmtId="0" xfId="0" applyAlignment="1" applyFont="1">
      <alignment horizontal="left" readingOrder="0" vertical="center"/>
    </xf>
    <xf borderId="9" fillId="6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0" fillId="16" fontId="1" numFmtId="0" xfId="0" applyAlignment="1" applyFont="1">
      <alignment horizontal="center" readingOrder="0"/>
    </xf>
    <xf borderId="9" fillId="14" fontId="9" numFmtId="0" xfId="0" applyAlignment="1" applyBorder="1" applyFont="1">
      <alignment horizontal="center" readingOrder="0" vertical="center"/>
    </xf>
    <xf borderId="0" fillId="12" fontId="2" numFmtId="0" xfId="0" applyAlignment="1" applyFont="1">
      <alignment horizontal="left" readingOrder="0"/>
    </xf>
    <xf borderId="9" fillId="9" fontId="1" numFmtId="0" xfId="0" applyAlignment="1" applyBorder="1" applyFont="1">
      <alignment horizontal="left" readingOrder="0" shrinkToFit="0" vertical="center" wrapText="1"/>
    </xf>
    <xf borderId="9" fillId="18" fontId="1" numFmtId="0" xfId="0" applyAlignment="1" applyBorder="1" applyFont="1">
      <alignment horizontal="left" readingOrder="0" shrinkToFit="0" vertical="center" wrapText="1"/>
    </xf>
    <xf borderId="9" fillId="12" fontId="1" numFmtId="0" xfId="0" applyAlignment="1" applyBorder="1" applyFont="1">
      <alignment horizontal="left" readingOrder="0" shrinkToFit="0" wrapText="1"/>
    </xf>
    <xf borderId="9" fillId="12" fontId="9" numFmtId="0" xfId="0" applyAlignment="1" applyBorder="1" applyFont="1">
      <alignment horizontal="left" readingOrder="0" vertical="center"/>
    </xf>
    <xf borderId="9" fillId="6" fontId="7" numFmtId="0" xfId="0" applyAlignment="1" applyBorder="1" applyFont="1">
      <alignment horizontal="left" readingOrder="0" vertical="center"/>
    </xf>
    <xf borderId="0" fillId="18" fontId="1" numFmtId="0" xfId="0" applyAlignment="1" applyFont="1">
      <alignment readingOrder="0"/>
    </xf>
    <xf borderId="9" fillId="6" fontId="2" numFmtId="0" xfId="0" applyAlignment="1" applyBorder="1" applyFont="1">
      <alignment horizontal="left" readingOrder="0"/>
    </xf>
    <xf borderId="9" fillId="6" fontId="1" numFmtId="0" xfId="0" applyAlignment="1" applyBorder="1" applyFont="1">
      <alignment horizontal="left" readingOrder="0" shrinkToFit="0" vertical="center" wrapText="1"/>
    </xf>
    <xf borderId="9" fillId="6" fontId="1" numFmtId="0" xfId="0" applyAlignment="1" applyBorder="1" applyFont="1">
      <alignment horizontal="left" readingOrder="0"/>
    </xf>
    <xf borderId="1" fillId="2" fontId="44" numFmtId="0" xfId="0" applyAlignment="1" applyBorder="1" applyFont="1">
      <alignment textRotation="255" vertical="bottom"/>
    </xf>
    <xf borderId="0" fillId="12" fontId="7" numFmtId="0" xfId="0" applyAlignment="1" applyFont="1">
      <alignment horizontal="center" readingOrder="0" vertical="bottom"/>
    </xf>
    <xf borderId="0" fillId="10" fontId="7" numFmtId="0" xfId="0" applyAlignment="1" applyFont="1">
      <alignment horizontal="center" readingOrder="0" vertical="bottom"/>
    </xf>
    <xf borderId="9" fillId="17" fontId="11" numFmtId="0" xfId="0" applyAlignment="1" applyBorder="1" applyFont="1">
      <alignment horizontal="center" readingOrder="0" vertical="bottom"/>
    </xf>
    <xf borderId="9" fillId="10" fontId="7" numFmtId="0" xfId="0" applyAlignment="1" applyBorder="1" applyFont="1">
      <alignment horizontal="center" readingOrder="0"/>
    </xf>
    <xf borderId="9" fillId="21" fontId="7" numFmtId="0" xfId="0" applyAlignment="1" applyBorder="1" applyFont="1">
      <alignment horizontal="center" readingOrder="0"/>
    </xf>
    <xf borderId="0" fillId="2" fontId="8" numFmtId="0" xfId="0" applyFont="1"/>
    <xf borderId="9" fillId="12" fontId="7" numFmtId="0" xfId="0" applyAlignment="1" applyBorder="1" applyFont="1">
      <alignment horizontal="center" readingOrder="0" vertical="bottom"/>
    </xf>
    <xf borderId="40" fillId="18" fontId="2" numFmtId="0" xfId="0" applyAlignment="1" applyBorder="1" applyFont="1">
      <alignment horizontal="center" readingOrder="0"/>
    </xf>
    <xf borderId="9" fillId="17" fontId="7" numFmtId="0" xfId="0" applyAlignment="1" applyBorder="1" applyFont="1">
      <alignment horizontal="center" readingOrder="0" vertical="bottom"/>
    </xf>
    <xf borderId="24" fillId="2" fontId="34" numFmtId="0" xfId="0" applyAlignment="1" applyBorder="1" applyFont="1">
      <alignment textRotation="255"/>
    </xf>
    <xf borderId="12" fillId="2" fontId="6" numFmtId="0" xfId="0" applyBorder="1" applyFont="1"/>
    <xf borderId="28" fillId="2" fontId="34" numFmtId="0" xfId="0" applyAlignment="1" applyBorder="1" applyFont="1">
      <alignment textRotation="255"/>
    </xf>
    <xf borderId="13" fillId="2" fontId="6" numFmtId="0" xfId="0" applyBorder="1" applyFont="1"/>
    <xf borderId="0" fillId="2" fontId="34" numFmtId="0" xfId="0" applyAlignment="1" applyFont="1">
      <alignment textRotation="255"/>
    </xf>
    <xf borderId="9" fillId="0" fontId="7" numFmtId="0" xfId="0" applyAlignment="1" applyBorder="1" applyFont="1">
      <alignment shrinkToFit="0" wrapText="1"/>
    </xf>
    <xf borderId="9" fillId="0" fontId="8" numFmtId="0" xfId="0" applyBorder="1" applyFont="1"/>
    <xf borderId="9" fillId="15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/>
    </xf>
    <xf borderId="9" fillId="34" fontId="7" numFmtId="0" xfId="0" applyAlignment="1" applyBorder="1" applyFont="1">
      <alignment horizontal="center" readingOrder="0"/>
    </xf>
    <xf borderId="9" fillId="34" fontId="7" numFmtId="0" xfId="0" applyAlignment="1" applyBorder="1" applyFont="1">
      <alignment horizontal="center" readingOrder="0" vertical="bottom"/>
    </xf>
    <xf borderId="0" fillId="15" fontId="1" numFmtId="0" xfId="0" applyAlignment="1" applyFont="1">
      <alignment horizontal="center" readingOrder="0"/>
    </xf>
    <xf borderId="9" fillId="0" fontId="8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shrinkToFit="0" wrapText="1"/>
    </xf>
    <xf borderId="0" fillId="3" fontId="1" numFmtId="0" xfId="0" applyAlignment="1" applyFont="1">
      <alignment horizontal="center" readingOrder="0" shrinkToFit="0" vertical="center" wrapText="1"/>
    </xf>
    <xf borderId="9" fillId="6" fontId="7" numFmtId="0" xfId="0" applyAlignment="1" applyBorder="1" applyFont="1">
      <alignment horizontal="center"/>
    </xf>
    <xf borderId="9" fillId="10" fontId="7" numFmtId="0" xfId="0" applyAlignment="1" applyBorder="1" applyFont="1">
      <alignment horizontal="center" readingOrder="0" vertical="bottom"/>
    </xf>
    <xf borderId="9" fillId="10" fontId="8" numFmtId="0" xfId="0" applyAlignment="1" applyBorder="1" applyFont="1">
      <alignment horizontal="center" readingOrder="0"/>
    </xf>
    <xf borderId="9" fillId="9" fontId="7" numFmtId="0" xfId="0" applyAlignment="1" applyBorder="1" applyFont="1">
      <alignment horizontal="center" readingOrder="0" vertical="bottom"/>
    </xf>
    <xf borderId="9" fillId="18" fontId="7" numFmtId="0" xfId="0" applyAlignment="1" applyBorder="1" applyFont="1">
      <alignment horizontal="center" readingOrder="0" shrinkToFit="0" vertical="center" wrapText="1"/>
    </xf>
    <xf borderId="9" fillId="21" fontId="1" numFmtId="0" xfId="0" applyAlignment="1" applyBorder="1" applyFont="1">
      <alignment horizontal="center" readingOrder="0" vertical="center"/>
    </xf>
    <xf borderId="9" fillId="6" fontId="8" numFmtId="0" xfId="0" applyAlignment="1" applyBorder="1" applyFont="1">
      <alignment horizontal="center"/>
    </xf>
    <xf borderId="0" fillId="9" fontId="7" numFmtId="0" xfId="0" applyAlignment="1" applyFont="1">
      <alignment horizontal="center" readingOrder="0" vertical="bottom"/>
    </xf>
    <xf borderId="9" fillId="6" fontId="7" numFmtId="0" xfId="0" applyAlignment="1" applyBorder="1" applyFont="1">
      <alignment horizontal="center" readingOrder="0" vertical="bottom"/>
    </xf>
    <xf borderId="9" fillId="35" fontId="7" numFmtId="0" xfId="0" applyAlignment="1" applyBorder="1" applyFill="1" applyFont="1">
      <alignment horizontal="center" readingOrder="0" vertical="center"/>
    </xf>
    <xf borderId="9" fillId="35" fontId="1" numFmtId="0" xfId="0" applyAlignment="1" applyBorder="1" applyFont="1">
      <alignment horizontal="center" readingOrder="0" vertical="center"/>
    </xf>
    <xf borderId="9" fillId="18" fontId="7" numFmtId="0" xfId="0" applyAlignment="1" applyBorder="1" applyFont="1">
      <alignment horizontal="center" readingOrder="0" shrinkToFit="0" wrapText="1"/>
    </xf>
    <xf borderId="9" fillId="35" fontId="7" numFmtId="0" xfId="0" applyAlignment="1" applyBorder="1" applyFont="1">
      <alignment horizontal="center" readingOrder="0" vertical="bottom"/>
    </xf>
    <xf borderId="9" fillId="6" fontId="7" numFmtId="0" xfId="0" applyAlignment="1" applyBorder="1" applyFont="1">
      <alignment horizontal="center" shrinkToFit="0" wrapText="1"/>
    </xf>
    <xf borderId="9" fillId="12" fontId="7" numFmtId="0" xfId="0" applyAlignment="1" applyBorder="1" applyFont="1">
      <alignment horizontal="center" readingOrder="0" shrinkToFit="0" vertical="bottom" wrapText="1"/>
    </xf>
    <xf borderId="0" fillId="18" fontId="7" numFmtId="0" xfId="0" applyAlignment="1" applyFont="1">
      <alignment horizontal="center" readingOrder="0" vertical="center"/>
    </xf>
    <xf borderId="9" fillId="12" fontId="26" numFmtId="0" xfId="0" applyAlignment="1" applyBorder="1" applyFont="1">
      <alignment horizontal="center" readingOrder="0" shrinkToFit="0" wrapText="1"/>
    </xf>
    <xf borderId="9" fillId="21" fontId="7" numFmtId="0" xfId="0" applyAlignment="1" applyBorder="1" applyFont="1">
      <alignment horizontal="center" readingOrder="0" vertical="bottom"/>
    </xf>
    <xf borderId="9" fillId="26" fontId="7" numFmtId="0" xfId="0" applyAlignment="1" applyBorder="1" applyFont="1">
      <alignment horizontal="center" readingOrder="0"/>
    </xf>
    <xf borderId="0" fillId="36" fontId="7" numFmtId="0" xfId="0" applyAlignment="1" applyFill="1" applyFont="1">
      <alignment horizontal="center" readingOrder="0" vertical="center"/>
    </xf>
    <xf borderId="9" fillId="15" fontId="7" numFmtId="0" xfId="0" applyAlignment="1" applyBorder="1" applyFont="1">
      <alignment horizontal="center" readingOrder="0" vertical="bottom"/>
    </xf>
    <xf borderId="0" fillId="15" fontId="7" numFmtId="0" xfId="0" applyAlignment="1" applyFont="1">
      <alignment horizontal="center" readingOrder="0" vertical="center"/>
    </xf>
    <xf borderId="0" fillId="15" fontId="1" numFmtId="0" xfId="0" applyAlignment="1" applyFont="1">
      <alignment horizontal="left" readingOrder="0"/>
    </xf>
    <xf borderId="0" fillId="0" fontId="1" numFmtId="0" xfId="0" applyAlignment="1" applyFont="1">
      <alignment readingOrder="0" vertical="center"/>
    </xf>
    <xf borderId="13" fillId="2" fontId="6" numFmtId="0" xfId="0" applyAlignment="1" applyBorder="1" applyFont="1">
      <alignment readingOrder="0" shrinkToFit="0" wrapText="1"/>
    </xf>
    <xf borderId="11" fillId="2" fontId="6" numFmtId="0" xfId="0" applyAlignment="1" applyBorder="1" applyFont="1">
      <alignment readingOrder="0"/>
    </xf>
    <xf borderId="0" fillId="37" fontId="1" numFmtId="0" xfId="0" applyAlignment="1" applyFill="1" applyFont="1">
      <alignment horizontal="center" readingOrder="0"/>
    </xf>
    <xf borderId="9" fillId="37" fontId="7" numFmtId="0" xfId="0" applyAlignment="1" applyBorder="1" applyFont="1">
      <alignment horizontal="center" readingOrder="0"/>
    </xf>
    <xf borderId="9" fillId="37" fontId="1" numFmtId="0" xfId="0" applyAlignment="1" applyBorder="1" applyFont="1">
      <alignment horizontal="center" readingOrder="0" vertical="center"/>
    </xf>
    <xf borderId="9" fillId="37" fontId="1" numFmtId="0" xfId="0" applyAlignment="1" applyBorder="1" applyFont="1">
      <alignment horizontal="center" readingOrder="0"/>
    </xf>
    <xf borderId="9" fillId="37" fontId="7" numFmtId="0" xfId="0" applyAlignment="1" applyBorder="1" applyFont="1">
      <alignment horizontal="center" readingOrder="0" shrinkToFit="0" wrapText="1"/>
    </xf>
    <xf borderId="9" fillId="36" fontId="7" numFmtId="0" xfId="0" applyAlignment="1" applyBorder="1" applyFont="1">
      <alignment horizontal="center" readingOrder="0" vertical="bottom"/>
    </xf>
    <xf borderId="9" fillId="36" fontId="1" numFmtId="0" xfId="0" applyAlignment="1" applyBorder="1" applyFont="1">
      <alignment horizontal="center" readingOrder="0" vertical="center"/>
    </xf>
    <xf borderId="9" fillId="36" fontId="7" numFmtId="0" xfId="0" applyAlignment="1" applyBorder="1" applyFont="1">
      <alignment horizontal="center" readingOrder="0" vertical="center"/>
    </xf>
    <xf borderId="0" fillId="6" fontId="12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35.38"/>
    <col customWidth="1" min="3" max="3" width="26.63"/>
    <col customWidth="1" min="4" max="4" width="24.13"/>
    <col customWidth="1" min="5" max="5" width="27.0"/>
    <col customWidth="1" min="6" max="6" width="27.25"/>
    <col customWidth="1" min="7" max="7" width="28.38"/>
    <col customWidth="1" min="8" max="8" width="26.63"/>
    <col customWidth="1" min="9" max="9" width="31.75"/>
    <col customWidth="1" min="10" max="10" width="14.25"/>
  </cols>
  <sheetData>
    <row r="1">
      <c r="A1" s="1" t="s">
        <v>0</v>
      </c>
    </row>
    <row r="3" ht="14.25" customHeight="1">
      <c r="A3" s="2"/>
      <c r="B3" s="3" t="s">
        <v>1</v>
      </c>
      <c r="C3" s="4" t="s">
        <v>2</v>
      </c>
      <c r="D3" s="4" t="s">
        <v>3</v>
      </c>
      <c r="E3" s="5"/>
      <c r="F3" s="6"/>
      <c r="G3" s="6"/>
      <c r="H3" s="7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2"/>
      <c r="B4" s="9"/>
      <c r="C4" s="10" t="s">
        <v>4</v>
      </c>
      <c r="D4" s="10" t="s">
        <v>5</v>
      </c>
      <c r="E4" s="10"/>
      <c r="F4" s="10"/>
      <c r="G4" s="10"/>
      <c r="H4" s="1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2"/>
      <c r="B5" s="11" t="s">
        <v>6</v>
      </c>
      <c r="C5" s="12" t="s">
        <v>7</v>
      </c>
      <c r="D5" s="13"/>
      <c r="F5" s="14"/>
      <c r="G5" s="15"/>
      <c r="H5" s="1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2"/>
      <c r="B6" s="17" t="s">
        <v>8</v>
      </c>
      <c r="C6" s="12" t="s">
        <v>7</v>
      </c>
      <c r="D6" s="13"/>
      <c r="E6" s="18" t="s">
        <v>9</v>
      </c>
      <c r="F6" s="19"/>
      <c r="G6" s="19"/>
      <c r="H6" s="1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2"/>
      <c r="B7" s="20" t="s">
        <v>10</v>
      </c>
      <c r="C7" s="21" t="s">
        <v>11</v>
      </c>
      <c r="D7" s="21" t="s">
        <v>11</v>
      </c>
      <c r="E7" s="15"/>
      <c r="F7" s="15"/>
      <c r="G7" s="15"/>
      <c r="H7" s="1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25" customHeight="1">
      <c r="A8" s="2"/>
      <c r="B8" s="22" t="s">
        <v>12</v>
      </c>
      <c r="C8" s="23" t="s">
        <v>13</v>
      </c>
      <c r="D8" s="23" t="s">
        <v>13</v>
      </c>
      <c r="E8" s="24"/>
      <c r="F8" s="25"/>
      <c r="G8" s="25"/>
      <c r="H8" s="1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25" customHeight="1">
      <c r="A9" s="2"/>
      <c r="B9" s="26" t="s">
        <v>14</v>
      </c>
      <c r="C9" s="12" t="s">
        <v>7</v>
      </c>
      <c r="D9" s="13"/>
      <c r="E9" s="14"/>
      <c r="F9" s="27"/>
      <c r="G9" s="27"/>
      <c r="H9" s="1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2"/>
      <c r="B10" s="26" t="s">
        <v>15</v>
      </c>
      <c r="C10" s="12" t="s">
        <v>7</v>
      </c>
      <c r="D10" s="13"/>
      <c r="E10" s="28"/>
      <c r="F10" s="28"/>
      <c r="G10" s="28"/>
      <c r="H10" s="16"/>
      <c r="I10" s="29" t="s">
        <v>16</v>
      </c>
      <c r="J10" s="30"/>
      <c r="K10" s="30"/>
      <c r="L10" s="3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2"/>
      <c r="B11" s="31" t="s">
        <v>17</v>
      </c>
      <c r="C11" s="12" t="s">
        <v>7</v>
      </c>
      <c r="D11" s="13"/>
      <c r="E11" s="32"/>
      <c r="F11" s="32"/>
      <c r="G11" s="32"/>
      <c r="H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2"/>
      <c r="B12" s="33" t="s">
        <v>18</v>
      </c>
      <c r="C12" s="12" t="s">
        <v>7</v>
      </c>
      <c r="D12" s="13"/>
      <c r="E12" s="34" t="s">
        <v>19</v>
      </c>
      <c r="F12" s="15"/>
      <c r="G12" s="15"/>
      <c r="H12" s="1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2"/>
      <c r="B13" s="35" t="s">
        <v>20</v>
      </c>
      <c r="C13" s="12" t="s">
        <v>7</v>
      </c>
      <c r="D13" s="13"/>
      <c r="E13" s="24"/>
      <c r="F13" s="24"/>
      <c r="G13" s="24"/>
      <c r="H13" s="1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2"/>
      <c r="B14" s="36" t="s">
        <v>21</v>
      </c>
      <c r="C14" s="12" t="s">
        <v>7</v>
      </c>
      <c r="D14" s="13"/>
      <c r="E14" s="14"/>
      <c r="F14" s="14"/>
      <c r="G14" s="14"/>
      <c r="H14" s="1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2"/>
      <c r="B15" s="37" t="s">
        <v>22</v>
      </c>
      <c r="C15" s="12" t="s">
        <v>7</v>
      </c>
      <c r="D15" s="13"/>
      <c r="E15" s="28"/>
      <c r="F15" s="28"/>
      <c r="G15" s="28"/>
      <c r="H15" s="1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2"/>
      <c r="B16" s="38" t="s">
        <v>23</v>
      </c>
      <c r="C16" s="39" t="s">
        <v>24</v>
      </c>
      <c r="D16" s="39" t="s">
        <v>24</v>
      </c>
      <c r="E16" s="14"/>
      <c r="F16" s="14"/>
      <c r="G16" s="14"/>
      <c r="H16" s="4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2"/>
      <c r="B19" s="3" t="s">
        <v>1</v>
      </c>
      <c r="C19" s="4" t="s">
        <v>25</v>
      </c>
      <c r="D19" s="4" t="s">
        <v>26</v>
      </c>
      <c r="E19" s="4" t="s">
        <v>27</v>
      </c>
      <c r="F19" s="4" t="s">
        <v>2</v>
      </c>
      <c r="G19" s="4" t="s">
        <v>3</v>
      </c>
      <c r="H19" s="7"/>
      <c r="I19" s="2"/>
      <c r="J19" s="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2"/>
      <c r="B20" s="9"/>
      <c r="C20" s="10" t="s">
        <v>28</v>
      </c>
      <c r="D20" s="10" t="s">
        <v>29</v>
      </c>
      <c r="E20" s="10" t="s">
        <v>30</v>
      </c>
      <c r="F20" s="10" t="s">
        <v>31</v>
      </c>
      <c r="G20" s="10" t="s">
        <v>32</v>
      </c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2"/>
      <c r="B21" s="11" t="s">
        <v>6</v>
      </c>
      <c r="C21" s="41" t="s">
        <v>33</v>
      </c>
      <c r="D21" s="41" t="s">
        <v>33</v>
      </c>
      <c r="E21" s="23" t="s">
        <v>34</v>
      </c>
      <c r="F21" s="23" t="s">
        <v>34</v>
      </c>
      <c r="G21" s="15" t="s">
        <v>35</v>
      </c>
      <c r="H21" s="1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2"/>
      <c r="B22" s="17" t="s">
        <v>8</v>
      </c>
      <c r="C22" s="42" t="s">
        <v>36</v>
      </c>
      <c r="D22" s="23" t="s">
        <v>34</v>
      </c>
      <c r="E22" s="23" t="s">
        <v>34</v>
      </c>
      <c r="F22" s="23" t="s">
        <v>34</v>
      </c>
      <c r="G22" s="43" t="s">
        <v>36</v>
      </c>
      <c r="H22" s="1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2"/>
      <c r="B23" s="44" t="s">
        <v>10</v>
      </c>
      <c r="C23" s="45" t="s">
        <v>11</v>
      </c>
      <c r="D23" s="45" t="s">
        <v>37</v>
      </c>
      <c r="E23" s="21" t="s">
        <v>38</v>
      </c>
      <c r="F23" s="21" t="s">
        <v>38</v>
      </c>
      <c r="G23" s="21" t="s">
        <v>38</v>
      </c>
      <c r="H23" s="1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2"/>
      <c r="B24" s="26" t="s">
        <v>14</v>
      </c>
      <c r="C24" s="46" t="s">
        <v>33</v>
      </c>
      <c r="D24" s="46" t="s">
        <v>33</v>
      </c>
      <c r="E24" s="46" t="s">
        <v>33</v>
      </c>
      <c r="F24" s="46" t="s">
        <v>33</v>
      </c>
      <c r="G24" s="41" t="s">
        <v>33</v>
      </c>
      <c r="H24" s="1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2"/>
      <c r="B25" s="26" t="s">
        <v>15</v>
      </c>
      <c r="C25" s="47" t="s">
        <v>39</v>
      </c>
      <c r="D25" s="47" t="s">
        <v>39</v>
      </c>
      <c r="E25" s="47" t="s">
        <v>39</v>
      </c>
      <c r="F25" s="47" t="s">
        <v>39</v>
      </c>
      <c r="G25" s="41" t="s">
        <v>33</v>
      </c>
      <c r="H25" s="1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2"/>
      <c r="B26" s="31" t="s">
        <v>17</v>
      </c>
      <c r="C26" s="47" t="s">
        <v>39</v>
      </c>
      <c r="D26" s="47" t="s">
        <v>39</v>
      </c>
      <c r="E26" s="47" t="s">
        <v>39</v>
      </c>
      <c r="F26" s="47" t="s">
        <v>39</v>
      </c>
      <c r="G26" s="41" t="s">
        <v>33</v>
      </c>
      <c r="H26" s="1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2"/>
      <c r="B27" s="33" t="s">
        <v>40</v>
      </c>
      <c r="C27" s="21" t="s">
        <v>41</v>
      </c>
      <c r="D27" s="21" t="s">
        <v>41</v>
      </c>
      <c r="E27" s="21" t="s">
        <v>41</v>
      </c>
      <c r="F27" s="21" t="s">
        <v>41</v>
      </c>
      <c r="G27" s="21" t="s">
        <v>41</v>
      </c>
      <c r="H27" s="1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2"/>
      <c r="B28" s="35" t="s">
        <v>42</v>
      </c>
      <c r="C28" s="41" t="s">
        <v>33</v>
      </c>
      <c r="D28" s="41" t="s">
        <v>33</v>
      </c>
      <c r="E28" s="41" t="s">
        <v>33</v>
      </c>
      <c r="F28" s="41" t="s">
        <v>33</v>
      </c>
      <c r="G28" s="41" t="s">
        <v>33</v>
      </c>
      <c r="H28" s="1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2"/>
      <c r="B29" s="36" t="s">
        <v>43</v>
      </c>
      <c r="C29" s="41" t="s">
        <v>33</v>
      </c>
      <c r="D29" s="41" t="s">
        <v>33</v>
      </c>
      <c r="E29" s="41" t="s">
        <v>33</v>
      </c>
      <c r="F29" s="41" t="s">
        <v>33</v>
      </c>
      <c r="G29" s="41" t="s">
        <v>33</v>
      </c>
      <c r="H29" s="1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2"/>
      <c r="B30" s="37" t="s">
        <v>22</v>
      </c>
      <c r="C30" s="41" t="s">
        <v>33</v>
      </c>
      <c r="D30" s="41" t="s">
        <v>33</v>
      </c>
      <c r="E30" s="41" t="s">
        <v>33</v>
      </c>
      <c r="F30" s="41" t="s">
        <v>33</v>
      </c>
      <c r="G30" s="41" t="s">
        <v>33</v>
      </c>
      <c r="H30" s="1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2"/>
      <c r="B31" s="38" t="s">
        <v>44</v>
      </c>
      <c r="C31" s="39" t="s">
        <v>45</v>
      </c>
      <c r="D31" s="39" t="s">
        <v>46</v>
      </c>
      <c r="E31" s="14" t="s">
        <v>47</v>
      </c>
      <c r="F31" s="14" t="s">
        <v>47</v>
      </c>
      <c r="G31" s="39" t="s">
        <v>38</v>
      </c>
      <c r="H31" s="4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2"/>
      <c r="B32" s="38" t="s">
        <v>23</v>
      </c>
      <c r="C32" s="39" t="s">
        <v>38</v>
      </c>
      <c r="D32" s="39" t="s">
        <v>38</v>
      </c>
      <c r="E32" s="39" t="s">
        <v>38</v>
      </c>
      <c r="F32" s="39" t="s">
        <v>38</v>
      </c>
      <c r="G32" s="39" t="s">
        <v>38</v>
      </c>
      <c r="H32" s="4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2"/>
      <c r="B33" s="22" t="s">
        <v>12</v>
      </c>
      <c r="C33" s="23" t="s">
        <v>48</v>
      </c>
      <c r="D33" s="23" t="s">
        <v>48</v>
      </c>
      <c r="E33" s="23" t="s">
        <v>48</v>
      </c>
      <c r="F33" s="23" t="s">
        <v>48</v>
      </c>
      <c r="G33" s="23" t="s">
        <v>48</v>
      </c>
      <c r="H33" s="1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6">
      <c r="B36" s="3" t="s">
        <v>1</v>
      </c>
      <c r="C36" s="4" t="s">
        <v>25</v>
      </c>
      <c r="D36" s="4" t="s">
        <v>26</v>
      </c>
      <c r="E36" s="4" t="s">
        <v>27</v>
      </c>
      <c r="F36" s="4" t="s">
        <v>2</v>
      </c>
      <c r="G36" s="4" t="s">
        <v>3</v>
      </c>
      <c r="H36" s="7"/>
    </row>
    <row r="37">
      <c r="B37" s="9"/>
      <c r="C37" s="10" t="s">
        <v>49</v>
      </c>
      <c r="D37" s="10" t="s">
        <v>50</v>
      </c>
      <c r="E37" s="10" t="s">
        <v>51</v>
      </c>
      <c r="F37" s="10" t="s">
        <v>52</v>
      </c>
      <c r="G37" s="10" t="s">
        <v>53</v>
      </c>
      <c r="H37" s="10"/>
    </row>
    <row r="38">
      <c r="B38" s="11" t="s">
        <v>6</v>
      </c>
      <c r="C38" s="46" t="s">
        <v>33</v>
      </c>
      <c r="D38" s="48" t="s">
        <v>54</v>
      </c>
      <c r="E38" s="49" t="s">
        <v>55</v>
      </c>
      <c r="F38" s="15" t="s">
        <v>56</v>
      </c>
      <c r="G38" s="15" t="s">
        <v>56</v>
      </c>
      <c r="H38" s="16"/>
    </row>
    <row r="39">
      <c r="B39" s="17" t="s">
        <v>8</v>
      </c>
      <c r="C39" s="24" t="s">
        <v>57</v>
      </c>
      <c r="D39" s="24" t="s">
        <v>58</v>
      </c>
      <c r="E39" s="24" t="s">
        <v>34</v>
      </c>
      <c r="F39" s="24" t="s">
        <v>34</v>
      </c>
      <c r="G39" s="15" t="s">
        <v>56</v>
      </c>
      <c r="H39" s="16"/>
    </row>
    <row r="40">
      <c r="B40" s="44" t="s">
        <v>10</v>
      </c>
      <c r="C40" s="50" t="s">
        <v>59</v>
      </c>
      <c r="D40" s="50" t="s">
        <v>60</v>
      </c>
      <c r="E40" s="15" t="s">
        <v>11</v>
      </c>
      <c r="F40" s="15" t="s">
        <v>60</v>
      </c>
      <c r="G40" s="15" t="s">
        <v>56</v>
      </c>
      <c r="H40" s="16"/>
    </row>
    <row r="41">
      <c r="B41" s="26" t="s">
        <v>14</v>
      </c>
      <c r="C41" s="46" t="s">
        <v>33</v>
      </c>
      <c r="D41" s="51" t="s">
        <v>61</v>
      </c>
      <c r="E41" s="46" t="s">
        <v>33</v>
      </c>
      <c r="F41" s="46" t="s">
        <v>33</v>
      </c>
      <c r="G41" s="52" t="s">
        <v>62</v>
      </c>
      <c r="H41" s="16"/>
    </row>
    <row r="42">
      <c r="B42" s="26" t="s">
        <v>15</v>
      </c>
      <c r="C42" s="46" t="s">
        <v>33</v>
      </c>
      <c r="D42" s="46" t="s">
        <v>33</v>
      </c>
      <c r="E42" s="46" t="s">
        <v>33</v>
      </c>
      <c r="F42" s="46" t="s">
        <v>33</v>
      </c>
      <c r="G42" s="46" t="s">
        <v>33</v>
      </c>
      <c r="H42" s="16"/>
    </row>
    <row r="43">
      <c r="B43" s="31" t="s">
        <v>17</v>
      </c>
      <c r="C43" s="46" t="s">
        <v>33</v>
      </c>
      <c r="D43" s="46" t="s">
        <v>33</v>
      </c>
      <c r="E43" s="46" t="s">
        <v>33</v>
      </c>
      <c r="F43" s="46" t="s">
        <v>33</v>
      </c>
      <c r="G43" s="46" t="s">
        <v>33</v>
      </c>
      <c r="H43" s="16"/>
    </row>
    <row r="44">
      <c r="B44" s="33" t="s">
        <v>40</v>
      </c>
      <c r="C44" s="15" t="s">
        <v>41</v>
      </c>
      <c r="D44" s="15" t="s">
        <v>41</v>
      </c>
      <c r="E44" s="15" t="s">
        <v>41</v>
      </c>
      <c r="F44" s="15" t="s">
        <v>41</v>
      </c>
      <c r="G44" s="15" t="s">
        <v>41</v>
      </c>
      <c r="H44" s="16"/>
    </row>
    <row r="45">
      <c r="B45" s="35" t="s">
        <v>42</v>
      </c>
      <c r="C45" s="41" t="s">
        <v>33</v>
      </c>
      <c r="D45" s="41" t="s">
        <v>33</v>
      </c>
      <c r="E45" s="41" t="s">
        <v>33</v>
      </c>
      <c r="F45" s="41" t="s">
        <v>33</v>
      </c>
      <c r="G45" s="41" t="s">
        <v>33</v>
      </c>
      <c r="H45" s="16"/>
    </row>
    <row r="46">
      <c r="B46" s="36" t="s">
        <v>43</v>
      </c>
      <c r="C46" s="41" t="s">
        <v>33</v>
      </c>
      <c r="D46" s="41" t="s">
        <v>33</v>
      </c>
      <c r="E46" s="41" t="s">
        <v>33</v>
      </c>
      <c r="F46" s="41" t="s">
        <v>33</v>
      </c>
      <c r="G46" s="41" t="s">
        <v>33</v>
      </c>
      <c r="H46" s="16"/>
    </row>
    <row r="47">
      <c r="B47" s="37" t="s">
        <v>22</v>
      </c>
      <c r="C47" s="41" t="s">
        <v>33</v>
      </c>
      <c r="D47" s="41" t="s">
        <v>33</v>
      </c>
      <c r="E47" s="41" t="s">
        <v>33</v>
      </c>
      <c r="F47" s="41" t="s">
        <v>33</v>
      </c>
      <c r="G47" s="41" t="s">
        <v>63</v>
      </c>
      <c r="H47" s="16"/>
    </row>
    <row r="48">
      <c r="B48" s="38" t="s">
        <v>44</v>
      </c>
      <c r="C48" s="14" t="s">
        <v>38</v>
      </c>
      <c r="D48" s="14" t="s">
        <v>38</v>
      </c>
      <c r="E48" s="14" t="s">
        <v>64</v>
      </c>
      <c r="F48" s="14" t="s">
        <v>38</v>
      </c>
      <c r="G48" s="14" t="s">
        <v>38</v>
      </c>
      <c r="H48" s="40"/>
    </row>
    <row r="49">
      <c r="B49" s="38" t="s">
        <v>23</v>
      </c>
      <c r="C49" s="14" t="s">
        <v>38</v>
      </c>
      <c r="D49" s="14" t="s">
        <v>38</v>
      </c>
      <c r="E49" s="14" t="s">
        <v>38</v>
      </c>
      <c r="F49" s="14" t="s">
        <v>38</v>
      </c>
      <c r="G49" s="14" t="s">
        <v>38</v>
      </c>
      <c r="H49" s="40"/>
    </row>
    <row r="50">
      <c r="B50" s="22" t="s">
        <v>12</v>
      </c>
      <c r="C50" s="24" t="s">
        <v>65</v>
      </c>
      <c r="D50" s="24" t="s">
        <v>65</v>
      </c>
      <c r="E50" s="24" t="s">
        <v>65</v>
      </c>
      <c r="F50" s="24" t="s">
        <v>65</v>
      </c>
      <c r="G50" s="24" t="s">
        <v>65</v>
      </c>
      <c r="H50" s="16"/>
    </row>
    <row r="53">
      <c r="B53" s="3" t="s">
        <v>1</v>
      </c>
      <c r="C53" s="4" t="s">
        <v>25</v>
      </c>
      <c r="D53" s="4" t="s">
        <v>26</v>
      </c>
      <c r="E53" s="4" t="s">
        <v>27</v>
      </c>
      <c r="F53" s="4" t="s">
        <v>2</v>
      </c>
      <c r="G53" s="4" t="s">
        <v>3</v>
      </c>
      <c r="H53" s="7"/>
    </row>
    <row r="54">
      <c r="B54" s="9"/>
      <c r="C54" s="10" t="s">
        <v>66</v>
      </c>
      <c r="D54" s="10" t="s">
        <v>67</v>
      </c>
      <c r="E54" s="10" t="s">
        <v>68</v>
      </c>
      <c r="F54" s="10" t="s">
        <v>69</v>
      </c>
      <c r="G54" s="10" t="s">
        <v>70</v>
      </c>
      <c r="H54" s="10"/>
    </row>
    <row r="55">
      <c r="B55" s="11" t="s">
        <v>6</v>
      </c>
      <c r="C55" s="14" t="s">
        <v>71</v>
      </c>
      <c r="D55" s="53" t="s">
        <v>72</v>
      </c>
      <c r="E55" s="53" t="s">
        <v>73</v>
      </c>
      <c r="F55" s="53" t="s">
        <v>74</v>
      </c>
      <c r="G55" s="51" t="s">
        <v>75</v>
      </c>
      <c r="H55" s="16"/>
    </row>
    <row r="56">
      <c r="B56" s="17" t="s">
        <v>8</v>
      </c>
      <c r="C56" s="54" t="s">
        <v>34</v>
      </c>
      <c r="D56" s="54" t="s">
        <v>34</v>
      </c>
      <c r="E56" s="54" t="s">
        <v>34</v>
      </c>
      <c r="F56" s="24" t="s">
        <v>76</v>
      </c>
      <c r="G56" s="19" t="s">
        <v>77</v>
      </c>
      <c r="H56" s="16"/>
    </row>
    <row r="57">
      <c r="B57" s="55" t="s">
        <v>78</v>
      </c>
      <c r="C57" s="50" t="s">
        <v>79</v>
      </c>
      <c r="D57" s="56" t="s">
        <v>80</v>
      </c>
      <c r="E57" s="45" t="s">
        <v>81</v>
      </c>
      <c r="F57" s="57" t="s">
        <v>82</v>
      </c>
      <c r="G57" s="58" t="s">
        <v>83</v>
      </c>
      <c r="H57" s="16"/>
    </row>
    <row r="58">
      <c r="B58" s="59" t="s">
        <v>14</v>
      </c>
      <c r="C58" s="60" t="s">
        <v>84</v>
      </c>
      <c r="D58" s="60" t="s">
        <v>84</v>
      </c>
      <c r="E58" s="61" t="s">
        <v>33</v>
      </c>
      <c r="F58" s="61" t="s">
        <v>33</v>
      </c>
      <c r="G58" s="61" t="s">
        <v>33</v>
      </c>
      <c r="H58" s="62"/>
    </row>
    <row r="59">
      <c r="B59" s="63" t="s">
        <v>85</v>
      </c>
      <c r="C59" s="61" t="s">
        <v>33</v>
      </c>
      <c r="D59" s="61" t="s">
        <v>33</v>
      </c>
      <c r="E59" s="64" t="s">
        <v>86</v>
      </c>
      <c r="F59" s="61" t="s">
        <v>33</v>
      </c>
      <c r="G59" s="61" t="s">
        <v>33</v>
      </c>
      <c r="H59" s="65"/>
      <c r="I59" s="66" t="s">
        <v>87</v>
      </c>
    </row>
    <row r="60">
      <c r="B60" s="67" t="s">
        <v>88</v>
      </c>
      <c r="C60" s="46" t="s">
        <v>33</v>
      </c>
      <c r="D60" s="46" t="s">
        <v>33</v>
      </c>
      <c r="E60" s="46" t="s">
        <v>33</v>
      </c>
      <c r="F60" s="46" t="s">
        <v>33</v>
      </c>
      <c r="G60" s="46" t="s">
        <v>33</v>
      </c>
      <c r="H60" s="16"/>
    </row>
    <row r="61">
      <c r="B61" s="36" t="s">
        <v>89</v>
      </c>
      <c r="C61" s="68" t="s">
        <v>41</v>
      </c>
      <c r="D61" s="68" t="s">
        <v>41</v>
      </c>
      <c r="E61" s="68" t="s">
        <v>41</v>
      </c>
      <c r="F61" s="68" t="s">
        <v>41</v>
      </c>
      <c r="G61" s="68" t="s">
        <v>41</v>
      </c>
      <c r="H61" s="16"/>
    </row>
    <row r="62">
      <c r="B62" s="36" t="s">
        <v>90</v>
      </c>
      <c r="C62" s="69" t="s">
        <v>91</v>
      </c>
      <c r="D62" s="69" t="s">
        <v>91</v>
      </c>
      <c r="E62" s="69" t="s">
        <v>91</v>
      </c>
      <c r="F62" s="69" t="s">
        <v>91</v>
      </c>
      <c r="G62" s="69" t="s">
        <v>91</v>
      </c>
      <c r="H62" s="16"/>
    </row>
    <row r="63">
      <c r="B63" s="37" t="s">
        <v>22</v>
      </c>
      <c r="C63" s="69" t="s">
        <v>91</v>
      </c>
      <c r="D63" s="69" t="s">
        <v>91</v>
      </c>
      <c r="E63" s="69" t="s">
        <v>91</v>
      </c>
      <c r="F63" s="69" t="s">
        <v>91</v>
      </c>
      <c r="G63" s="69" t="s">
        <v>91</v>
      </c>
      <c r="H63" s="70"/>
    </row>
    <row r="64">
      <c r="B64" s="55" t="s">
        <v>44</v>
      </c>
      <c r="C64" s="71" t="s">
        <v>92</v>
      </c>
      <c r="D64" s="71" t="s">
        <v>92</v>
      </c>
      <c r="E64" s="71" t="s">
        <v>92</v>
      </c>
      <c r="F64" s="71" t="s">
        <v>92</v>
      </c>
      <c r="G64" s="71" t="s">
        <v>92</v>
      </c>
      <c r="H64" s="72"/>
    </row>
    <row r="65">
      <c r="B65" s="38" t="s">
        <v>23</v>
      </c>
      <c r="C65" s="24" t="s">
        <v>38</v>
      </c>
      <c r="D65" s="24" t="s">
        <v>38</v>
      </c>
      <c r="E65" s="24" t="s">
        <v>38</v>
      </c>
      <c r="F65" s="24" t="s">
        <v>38</v>
      </c>
      <c r="G65" s="24" t="s">
        <v>38</v>
      </c>
      <c r="H65" s="72"/>
    </row>
    <row r="66">
      <c r="B66" s="22" t="s">
        <v>12</v>
      </c>
      <c r="C66" s="24" t="s">
        <v>38</v>
      </c>
      <c r="D66" s="24" t="s">
        <v>38</v>
      </c>
      <c r="E66" s="51" t="s">
        <v>93</v>
      </c>
      <c r="F66" s="24" t="s">
        <v>38</v>
      </c>
      <c r="G66" s="51" t="s">
        <v>93</v>
      </c>
      <c r="H66" s="16"/>
    </row>
    <row r="67">
      <c r="E67" s="1"/>
    </row>
    <row r="69">
      <c r="B69" s="3" t="s">
        <v>1</v>
      </c>
      <c r="C69" s="4" t="s">
        <v>25</v>
      </c>
      <c r="D69" s="4" t="s">
        <v>26</v>
      </c>
      <c r="E69" s="4" t="s">
        <v>27</v>
      </c>
      <c r="F69" s="4" t="s">
        <v>2</v>
      </c>
      <c r="G69" s="4" t="s">
        <v>3</v>
      </c>
      <c r="H69" s="7"/>
    </row>
    <row r="70">
      <c r="B70" s="9"/>
      <c r="C70" s="10" t="s">
        <v>94</v>
      </c>
      <c r="D70" s="10" t="s">
        <v>95</v>
      </c>
      <c r="E70" s="10" t="s">
        <v>96</v>
      </c>
      <c r="F70" s="10" t="s">
        <v>97</v>
      </c>
      <c r="G70" s="10" t="s">
        <v>98</v>
      </c>
      <c r="H70" s="10"/>
    </row>
    <row r="71">
      <c r="B71" s="11" t="s">
        <v>6</v>
      </c>
      <c r="C71" s="73" t="s">
        <v>99</v>
      </c>
      <c r="D71" s="48" t="s">
        <v>38</v>
      </c>
      <c r="E71" s="46" t="s">
        <v>100</v>
      </c>
      <c r="F71" s="46" t="s">
        <v>101</v>
      </c>
      <c r="G71" s="15"/>
      <c r="H71" s="16"/>
    </row>
    <row r="72">
      <c r="B72" s="17" t="s">
        <v>8</v>
      </c>
      <c r="C72" s="24" t="s">
        <v>34</v>
      </c>
      <c r="D72" s="24" t="s">
        <v>34</v>
      </c>
      <c r="E72" s="24" t="s">
        <v>34</v>
      </c>
      <c r="F72" s="24" t="s">
        <v>34</v>
      </c>
      <c r="G72" s="51"/>
      <c r="H72" s="16"/>
    </row>
    <row r="73">
      <c r="B73" s="55" t="s">
        <v>78</v>
      </c>
      <c r="C73" s="14" t="s">
        <v>102</v>
      </c>
      <c r="D73" s="50" t="s">
        <v>103</v>
      </c>
      <c r="E73" s="50"/>
      <c r="F73" s="15" t="s">
        <v>104</v>
      </c>
      <c r="G73" s="15" t="s">
        <v>105</v>
      </c>
      <c r="H73" s="16"/>
    </row>
    <row r="74">
      <c r="B74" s="63" t="s">
        <v>106</v>
      </c>
      <c r="C74" s="73" t="s">
        <v>99</v>
      </c>
      <c r="D74" s="51" t="s">
        <v>107</v>
      </c>
      <c r="E74" s="28" t="s">
        <v>108</v>
      </c>
      <c r="F74" s="28"/>
      <c r="G74" s="28"/>
      <c r="H74" s="16"/>
    </row>
    <row r="75">
      <c r="B75" s="67" t="s">
        <v>109</v>
      </c>
      <c r="C75" s="51" t="s">
        <v>110</v>
      </c>
      <c r="D75" s="51" t="s">
        <v>110</v>
      </c>
      <c r="E75" s="51" t="s">
        <v>110</v>
      </c>
      <c r="F75" s="51" t="s">
        <v>110</v>
      </c>
      <c r="G75" s="51" t="s">
        <v>110</v>
      </c>
      <c r="H75" s="16"/>
    </row>
    <row r="76">
      <c r="B76" s="36" t="s">
        <v>111</v>
      </c>
      <c r="C76" s="74" t="s">
        <v>41</v>
      </c>
      <c r="D76" s="75" t="s">
        <v>0</v>
      </c>
      <c r="E76" s="74" t="s">
        <v>41</v>
      </c>
      <c r="F76" s="74" t="s">
        <v>41</v>
      </c>
      <c r="G76" s="75" t="s">
        <v>112</v>
      </c>
      <c r="H76" s="76" t="s">
        <v>0</v>
      </c>
    </row>
    <row r="77">
      <c r="B77" s="36" t="s">
        <v>113</v>
      </c>
      <c r="C77" s="69" t="s">
        <v>91</v>
      </c>
      <c r="D77" s="69" t="s">
        <v>91</v>
      </c>
      <c r="E77" s="69" t="s">
        <v>91</v>
      </c>
      <c r="F77" s="69" t="s">
        <v>91</v>
      </c>
      <c r="G77" s="69" t="s">
        <v>91</v>
      </c>
      <c r="H77" s="16"/>
    </row>
    <row r="78">
      <c r="B78" s="37" t="s">
        <v>22</v>
      </c>
      <c r="C78" s="69" t="s">
        <v>91</v>
      </c>
      <c r="D78" s="69" t="s">
        <v>91</v>
      </c>
      <c r="E78" s="69" t="s">
        <v>91</v>
      </c>
      <c r="F78" s="69" t="s">
        <v>91</v>
      </c>
      <c r="G78" s="69" t="s">
        <v>91</v>
      </c>
      <c r="H78" s="70"/>
    </row>
    <row r="79">
      <c r="B79" s="55" t="s">
        <v>44</v>
      </c>
      <c r="C79" s="71" t="s">
        <v>92</v>
      </c>
      <c r="D79" s="71" t="s">
        <v>92</v>
      </c>
      <c r="E79" s="71" t="s">
        <v>92</v>
      </c>
      <c r="F79" s="71" t="s">
        <v>92</v>
      </c>
      <c r="G79" s="71" t="s">
        <v>92</v>
      </c>
      <c r="H79" s="72"/>
    </row>
    <row r="80">
      <c r="B80" s="38" t="s">
        <v>23</v>
      </c>
      <c r="C80" s="14"/>
      <c r="D80" s="14"/>
      <c r="E80" s="14"/>
      <c r="F80" s="14"/>
      <c r="G80" s="77"/>
      <c r="H80" s="72"/>
    </row>
    <row r="81">
      <c r="B81" s="22" t="s">
        <v>12</v>
      </c>
      <c r="C81" s="23" t="s">
        <v>114</v>
      </c>
      <c r="D81" s="42" t="s">
        <v>115</v>
      </c>
      <c r="E81" s="42" t="s">
        <v>116</v>
      </c>
      <c r="F81" s="42" t="s">
        <v>117</v>
      </c>
      <c r="G81" s="78" t="s">
        <v>118</v>
      </c>
      <c r="H81" s="16"/>
    </row>
    <row r="84">
      <c r="B84" s="3" t="s">
        <v>1</v>
      </c>
      <c r="C84" s="4" t="s">
        <v>25</v>
      </c>
      <c r="D84" s="4" t="s">
        <v>26</v>
      </c>
      <c r="E84" s="4" t="s">
        <v>27</v>
      </c>
      <c r="F84" s="4" t="s">
        <v>2</v>
      </c>
      <c r="G84" s="4" t="s">
        <v>3</v>
      </c>
      <c r="H84" s="7"/>
    </row>
    <row r="85">
      <c r="B85" s="9"/>
      <c r="C85" s="10" t="s">
        <v>119</v>
      </c>
      <c r="D85" s="10" t="s">
        <v>120</v>
      </c>
      <c r="E85" s="10" t="s">
        <v>121</v>
      </c>
      <c r="F85" s="10" t="s">
        <v>122</v>
      </c>
      <c r="G85" s="10" t="s">
        <v>123</v>
      </c>
      <c r="H85" s="10"/>
    </row>
    <row r="86">
      <c r="B86" s="11" t="s">
        <v>6</v>
      </c>
      <c r="C86" s="21" t="s">
        <v>38</v>
      </c>
      <c r="D86" s="79"/>
      <c r="E86" s="80" t="s">
        <v>124</v>
      </c>
      <c r="F86" s="81" t="s">
        <v>125</v>
      </c>
      <c r="G86" s="15"/>
      <c r="H86" s="16"/>
    </row>
    <row r="87">
      <c r="B87" s="17" t="s">
        <v>8</v>
      </c>
      <c r="C87" s="23" t="s">
        <v>126</v>
      </c>
      <c r="D87" s="82" t="s">
        <v>127</v>
      </c>
      <c r="E87" s="83" t="s">
        <v>128</v>
      </c>
      <c r="F87" s="23"/>
      <c r="G87" s="84" t="s">
        <v>129</v>
      </c>
      <c r="H87" s="16"/>
    </row>
    <row r="88">
      <c r="B88" s="55" t="s">
        <v>78</v>
      </c>
      <c r="C88" s="21" t="s">
        <v>64</v>
      </c>
      <c r="D88" s="45"/>
      <c r="E88" s="21" t="s">
        <v>130</v>
      </c>
      <c r="G88" s="15" t="s">
        <v>131</v>
      </c>
      <c r="H88" s="16"/>
    </row>
    <row r="89">
      <c r="B89" s="63" t="s">
        <v>106</v>
      </c>
      <c r="C89" s="43" t="s">
        <v>132</v>
      </c>
      <c r="D89" s="84" t="s">
        <v>127</v>
      </c>
      <c r="E89" s="80" t="s">
        <v>124</v>
      </c>
      <c r="F89" s="80" t="s">
        <v>133</v>
      </c>
      <c r="G89" s="80" t="s">
        <v>129</v>
      </c>
      <c r="H89" s="16"/>
    </row>
    <row r="90">
      <c r="B90" s="67" t="s">
        <v>109</v>
      </c>
      <c r="C90" s="51" t="s">
        <v>110</v>
      </c>
      <c r="D90" s="51" t="s">
        <v>110</v>
      </c>
      <c r="E90" s="51" t="s">
        <v>110</v>
      </c>
      <c r="F90" s="51" t="s">
        <v>110</v>
      </c>
      <c r="G90" s="51" t="s">
        <v>110</v>
      </c>
      <c r="H90" s="16"/>
    </row>
    <row r="91">
      <c r="B91" s="36" t="s">
        <v>111</v>
      </c>
      <c r="C91" s="74" t="s">
        <v>41</v>
      </c>
      <c r="D91" s="75" t="s">
        <v>41</v>
      </c>
      <c r="E91" s="74" t="s">
        <v>41</v>
      </c>
      <c r="F91" s="74" t="s">
        <v>41</v>
      </c>
      <c r="G91" s="75" t="s">
        <v>41</v>
      </c>
      <c r="H91" s="16"/>
    </row>
    <row r="92">
      <c r="B92" s="36" t="s">
        <v>113</v>
      </c>
      <c r="C92" s="69" t="s">
        <v>91</v>
      </c>
      <c r="D92" s="69" t="s">
        <v>91</v>
      </c>
      <c r="E92" s="69" t="s">
        <v>91</v>
      </c>
      <c r="F92" s="69" t="s">
        <v>91</v>
      </c>
      <c r="G92" s="69" t="s">
        <v>91</v>
      </c>
      <c r="H92" s="16"/>
    </row>
    <row r="93">
      <c r="B93" s="37" t="s">
        <v>22</v>
      </c>
      <c r="C93" s="69" t="s">
        <v>91</v>
      </c>
      <c r="D93" s="69" t="s">
        <v>91</v>
      </c>
      <c r="E93" s="69" t="s">
        <v>91</v>
      </c>
      <c r="F93" s="69" t="s">
        <v>91</v>
      </c>
      <c r="G93" s="69" t="s">
        <v>91</v>
      </c>
      <c r="H93" s="70"/>
    </row>
    <row r="94">
      <c r="B94" s="55" t="s">
        <v>44</v>
      </c>
      <c r="C94" s="71" t="s">
        <v>92</v>
      </c>
      <c r="D94" s="71" t="s">
        <v>134</v>
      </c>
      <c r="E94" s="69" t="s">
        <v>91</v>
      </c>
      <c r="F94" s="71" t="s">
        <v>134</v>
      </c>
      <c r="G94" s="71" t="s">
        <v>92</v>
      </c>
      <c r="H94" s="72"/>
    </row>
    <row r="95">
      <c r="B95" s="38" t="s">
        <v>23</v>
      </c>
      <c r="C95" s="14"/>
      <c r="D95" s="14"/>
      <c r="E95" s="14"/>
      <c r="F95" s="14"/>
      <c r="G95" s="77"/>
      <c r="H95" s="72"/>
    </row>
    <row r="96">
      <c r="B96" s="22" t="s">
        <v>12</v>
      </c>
      <c r="C96" s="23"/>
      <c r="D96" s="85"/>
      <c r="E96" s="86"/>
      <c r="F96" s="87"/>
      <c r="G96" s="87"/>
      <c r="H96" s="16"/>
    </row>
    <row r="99">
      <c r="B99" s="3" t="s">
        <v>1</v>
      </c>
      <c r="C99" s="4" t="s">
        <v>25</v>
      </c>
      <c r="D99" s="4" t="s">
        <v>26</v>
      </c>
      <c r="E99" s="4" t="s">
        <v>27</v>
      </c>
      <c r="F99" s="4" t="s">
        <v>2</v>
      </c>
      <c r="G99" s="4" t="s">
        <v>3</v>
      </c>
      <c r="H99" s="7"/>
    </row>
    <row r="100">
      <c r="B100" s="9"/>
      <c r="C100" s="10" t="s">
        <v>135</v>
      </c>
      <c r="D100" s="10" t="s">
        <v>136</v>
      </c>
      <c r="E100" s="10" t="s">
        <v>137</v>
      </c>
      <c r="F100" s="10" t="s">
        <v>138</v>
      </c>
      <c r="G100" s="10" t="s">
        <v>139</v>
      </c>
      <c r="H100" s="10"/>
    </row>
    <row r="101">
      <c r="B101" s="11" t="s">
        <v>6</v>
      </c>
      <c r="C101" s="21" t="s">
        <v>38</v>
      </c>
      <c r="D101" s="79" t="s">
        <v>140</v>
      </c>
      <c r="E101" s="79" t="s">
        <v>140</v>
      </c>
      <c r="G101" s="15"/>
      <c r="H101" s="16"/>
      <c r="J101" s="88" t="s">
        <v>141</v>
      </c>
    </row>
    <row r="102">
      <c r="B102" s="17" t="s">
        <v>8</v>
      </c>
      <c r="C102" s="23" t="s">
        <v>142</v>
      </c>
      <c r="D102" s="47" t="s">
        <v>143</v>
      </c>
      <c r="E102" s="89" t="s">
        <v>144</v>
      </c>
      <c r="F102" s="89" t="s">
        <v>144</v>
      </c>
      <c r="G102" s="51" t="s">
        <v>142</v>
      </c>
      <c r="H102" s="16"/>
      <c r="J102" s="90" t="s">
        <v>145</v>
      </c>
    </row>
    <row r="103">
      <c r="B103" s="55" t="s">
        <v>78</v>
      </c>
      <c r="C103" s="39" t="s">
        <v>146</v>
      </c>
      <c r="D103" s="39" t="s">
        <v>146</v>
      </c>
      <c r="E103" s="45" t="s">
        <v>147</v>
      </c>
      <c r="F103" s="69" t="s">
        <v>148</v>
      </c>
      <c r="G103" s="69" t="s">
        <v>148</v>
      </c>
      <c r="H103" s="16"/>
      <c r="J103" s="91" t="s">
        <v>149</v>
      </c>
    </row>
    <row r="104">
      <c r="B104" s="63" t="s">
        <v>106</v>
      </c>
      <c r="C104" s="92" t="s">
        <v>150</v>
      </c>
      <c r="D104" s="47" t="s">
        <v>143</v>
      </c>
      <c r="E104" s="93" t="s">
        <v>151</v>
      </c>
      <c r="F104" s="93" t="s">
        <v>151</v>
      </c>
      <c r="G104" s="93" t="s">
        <v>152</v>
      </c>
      <c r="H104" s="16"/>
      <c r="J104" s="94" t="s">
        <v>153</v>
      </c>
    </row>
    <row r="105">
      <c r="B105" s="67" t="s">
        <v>109</v>
      </c>
      <c r="C105" s="51" t="s">
        <v>110</v>
      </c>
      <c r="D105" s="51" t="s">
        <v>110</v>
      </c>
      <c r="E105" s="51" t="s">
        <v>110</v>
      </c>
      <c r="F105" s="51"/>
      <c r="G105" s="51"/>
      <c r="H105" s="16"/>
      <c r="J105" s="95" t="s">
        <v>154</v>
      </c>
    </row>
    <row r="106">
      <c r="B106" s="36" t="s">
        <v>111</v>
      </c>
      <c r="C106" s="74" t="s">
        <v>41</v>
      </c>
      <c r="D106" s="75" t="s">
        <v>41</v>
      </c>
      <c r="E106" s="74" t="s">
        <v>41</v>
      </c>
      <c r="F106" s="74" t="s">
        <v>41</v>
      </c>
      <c r="G106" s="75" t="s">
        <v>41</v>
      </c>
      <c r="H106" s="16"/>
      <c r="J106" s="96" t="s">
        <v>155</v>
      </c>
    </row>
    <row r="107">
      <c r="B107" s="36" t="s">
        <v>113</v>
      </c>
      <c r="C107" s="69" t="s">
        <v>91</v>
      </c>
      <c r="D107" s="69" t="s">
        <v>91</v>
      </c>
      <c r="E107" s="61" t="s">
        <v>33</v>
      </c>
      <c r="F107" s="69" t="s">
        <v>91</v>
      </c>
      <c r="G107" s="69" t="s">
        <v>91</v>
      </c>
      <c r="H107" s="16"/>
      <c r="J107" s="97" t="s">
        <v>156</v>
      </c>
    </row>
    <row r="108">
      <c r="B108" s="37" t="s">
        <v>22</v>
      </c>
      <c r="C108" s="69" t="s">
        <v>91</v>
      </c>
      <c r="D108" s="69" t="s">
        <v>91</v>
      </c>
      <c r="E108" s="61" t="s">
        <v>33</v>
      </c>
      <c r="F108" s="69" t="s">
        <v>91</v>
      </c>
      <c r="G108" s="69" t="s">
        <v>91</v>
      </c>
      <c r="H108" s="70"/>
    </row>
    <row r="109">
      <c r="B109" s="55" t="s">
        <v>44</v>
      </c>
      <c r="C109" s="71" t="s">
        <v>92</v>
      </c>
      <c r="D109" s="71"/>
      <c r="E109" s="71" t="s">
        <v>92</v>
      </c>
      <c r="F109" s="71" t="s">
        <v>92</v>
      </c>
      <c r="G109" s="71" t="s">
        <v>92</v>
      </c>
      <c r="H109" s="72"/>
    </row>
    <row r="110">
      <c r="B110" s="38" t="s">
        <v>23</v>
      </c>
      <c r="C110" s="14"/>
      <c r="D110" s="14"/>
      <c r="E110" s="14"/>
      <c r="F110" s="14"/>
      <c r="G110" s="77"/>
      <c r="H110" s="72"/>
    </row>
    <row r="111">
      <c r="B111" s="22" t="s">
        <v>12</v>
      </c>
      <c r="C111" s="98"/>
      <c r="D111" s="86"/>
      <c r="E111" s="86"/>
      <c r="F111" s="23"/>
      <c r="G111" s="23"/>
      <c r="H111" s="16"/>
    </row>
    <row r="114">
      <c r="B114" s="3" t="s">
        <v>1</v>
      </c>
      <c r="C114" s="4" t="s">
        <v>25</v>
      </c>
      <c r="D114" s="4" t="s">
        <v>26</v>
      </c>
      <c r="E114" s="4" t="s">
        <v>27</v>
      </c>
      <c r="F114" s="4" t="s">
        <v>2</v>
      </c>
      <c r="G114" s="4" t="s">
        <v>3</v>
      </c>
      <c r="H114" s="7"/>
    </row>
    <row r="115">
      <c r="B115" s="9"/>
      <c r="C115" s="10" t="s">
        <v>157</v>
      </c>
      <c r="D115" s="10" t="s">
        <v>158</v>
      </c>
      <c r="E115" s="10" t="s">
        <v>159</v>
      </c>
      <c r="F115" s="10" t="s">
        <v>160</v>
      </c>
      <c r="G115" s="10" t="s">
        <v>161</v>
      </c>
      <c r="H115" s="10"/>
    </row>
    <row r="116" ht="29.25" customHeight="1">
      <c r="B116" s="11" t="s">
        <v>6</v>
      </c>
      <c r="C116" s="99" t="s">
        <v>162</v>
      </c>
      <c r="D116" s="100" t="s">
        <v>151</v>
      </c>
      <c r="E116" s="101" t="s">
        <v>143</v>
      </c>
      <c r="F116" s="102" t="s">
        <v>163</v>
      </c>
      <c r="G116" s="103" t="s">
        <v>164</v>
      </c>
      <c r="H116" s="16"/>
      <c r="J116" s="88" t="s">
        <v>141</v>
      </c>
    </row>
    <row r="117">
      <c r="B117" s="104" t="s">
        <v>8</v>
      </c>
      <c r="C117" s="92" t="s">
        <v>38</v>
      </c>
      <c r="D117" s="105" t="s">
        <v>165</v>
      </c>
      <c r="E117" s="93" t="s">
        <v>166</v>
      </c>
      <c r="F117" s="100" t="s">
        <v>167</v>
      </c>
      <c r="G117" s="21" t="s">
        <v>168</v>
      </c>
      <c r="H117" s="16"/>
      <c r="J117" s="90" t="s">
        <v>145</v>
      </c>
    </row>
    <row r="118">
      <c r="B118" s="55" t="s">
        <v>78</v>
      </c>
      <c r="C118" s="106" t="s">
        <v>169</v>
      </c>
      <c r="D118" s="106" t="s">
        <v>169</v>
      </c>
      <c r="E118" s="107" t="s">
        <v>170</v>
      </c>
      <c r="F118" s="107" t="s">
        <v>170</v>
      </c>
      <c r="G118" s="108"/>
      <c r="H118" s="16"/>
      <c r="J118" s="91" t="s">
        <v>149</v>
      </c>
    </row>
    <row r="119">
      <c r="B119" s="63" t="s">
        <v>106</v>
      </c>
      <c r="C119" s="109" t="s">
        <v>33</v>
      </c>
      <c r="D119" s="109" t="s">
        <v>33</v>
      </c>
      <c r="E119" s="110" t="s">
        <v>171</v>
      </c>
      <c r="F119" s="100" t="s">
        <v>167</v>
      </c>
      <c r="G119" s="101" t="s">
        <v>172</v>
      </c>
      <c r="H119" s="16"/>
      <c r="J119" s="94" t="s">
        <v>153</v>
      </c>
    </row>
    <row r="120">
      <c r="B120" s="67" t="s">
        <v>173</v>
      </c>
      <c r="C120" s="92" t="s">
        <v>174</v>
      </c>
      <c r="D120" s="105" t="s">
        <v>165</v>
      </c>
      <c r="E120" s="102" t="s">
        <v>163</v>
      </c>
      <c r="F120" s="102" t="s">
        <v>163</v>
      </c>
      <c r="G120" s="101" t="s">
        <v>172</v>
      </c>
      <c r="H120" s="16"/>
      <c r="J120" s="95" t="s">
        <v>154</v>
      </c>
    </row>
    <row r="121">
      <c r="B121" s="36" t="s">
        <v>175</v>
      </c>
      <c r="C121" s="111" t="s">
        <v>33</v>
      </c>
      <c r="D121" s="111" t="s">
        <v>33</v>
      </c>
      <c r="E121" s="111" t="s">
        <v>33</v>
      </c>
      <c r="F121" s="111" t="s">
        <v>33</v>
      </c>
      <c r="G121" s="111" t="s">
        <v>33</v>
      </c>
      <c r="H121" s="76" t="s">
        <v>0</v>
      </c>
      <c r="J121" s="96"/>
    </row>
    <row r="122">
      <c r="B122" s="36" t="s">
        <v>111</v>
      </c>
      <c r="C122" s="74" t="s">
        <v>41</v>
      </c>
      <c r="D122" s="74" t="s">
        <v>41</v>
      </c>
      <c r="E122" s="74" t="s">
        <v>41</v>
      </c>
      <c r="F122" s="74" t="s">
        <v>41</v>
      </c>
      <c r="G122" s="74" t="s">
        <v>41</v>
      </c>
      <c r="H122" s="16"/>
      <c r="J122" s="96" t="s">
        <v>155</v>
      </c>
    </row>
    <row r="123">
      <c r="B123" s="36" t="s">
        <v>113</v>
      </c>
      <c r="C123" s="111" t="s">
        <v>33</v>
      </c>
      <c r="D123" s="111" t="s">
        <v>33</v>
      </c>
      <c r="E123" s="111" t="s">
        <v>33</v>
      </c>
      <c r="F123" s="111" t="s">
        <v>33</v>
      </c>
      <c r="G123" s="111" t="s">
        <v>33</v>
      </c>
      <c r="H123" s="16"/>
      <c r="J123" s="97" t="s">
        <v>156</v>
      </c>
    </row>
    <row r="124">
      <c r="B124" s="37" t="s">
        <v>22</v>
      </c>
      <c r="C124" s="111" t="s">
        <v>33</v>
      </c>
      <c r="D124" s="111" t="s">
        <v>33</v>
      </c>
      <c r="E124" s="111" t="s">
        <v>33</v>
      </c>
      <c r="F124" s="111" t="s">
        <v>33</v>
      </c>
      <c r="G124" s="111" t="s">
        <v>33</v>
      </c>
      <c r="H124" s="70"/>
    </row>
    <row r="125">
      <c r="B125" s="55" t="s">
        <v>44</v>
      </c>
      <c r="C125" s="39" t="s">
        <v>38</v>
      </c>
      <c r="D125" s="39"/>
      <c r="E125" s="39"/>
      <c r="F125" s="39"/>
      <c r="G125" s="39"/>
      <c r="H125" s="72"/>
    </row>
    <row r="126">
      <c r="B126" s="38" t="s">
        <v>23</v>
      </c>
      <c r="C126" s="39" t="s">
        <v>38</v>
      </c>
      <c r="E126" s="39"/>
      <c r="F126" s="39" t="s">
        <v>176</v>
      </c>
      <c r="G126" s="112"/>
      <c r="H126" s="72"/>
    </row>
    <row r="127">
      <c r="B127" s="22" t="s">
        <v>12</v>
      </c>
      <c r="C127" s="106" t="s">
        <v>169</v>
      </c>
      <c r="D127" s="106" t="s">
        <v>169</v>
      </c>
      <c r="E127" s="113" t="s">
        <v>177</v>
      </c>
      <c r="F127" s="23"/>
      <c r="G127" s="23"/>
      <c r="H127" s="16"/>
    </row>
    <row r="130">
      <c r="B130" s="3" t="s">
        <v>1</v>
      </c>
      <c r="C130" s="4" t="s">
        <v>25</v>
      </c>
      <c r="D130" s="4" t="s">
        <v>26</v>
      </c>
      <c r="E130" s="4" t="s">
        <v>27</v>
      </c>
      <c r="F130" s="4" t="s">
        <v>2</v>
      </c>
      <c r="G130" s="4" t="s">
        <v>3</v>
      </c>
      <c r="H130" s="7"/>
    </row>
    <row r="131">
      <c r="B131" s="9"/>
      <c r="C131" s="10" t="s">
        <v>178</v>
      </c>
      <c r="D131" s="10" t="s">
        <v>179</v>
      </c>
      <c r="E131" s="10" t="s">
        <v>180</v>
      </c>
      <c r="F131" s="10" t="s">
        <v>181</v>
      </c>
      <c r="G131" s="10" t="s">
        <v>182</v>
      </c>
      <c r="H131" s="10"/>
    </row>
    <row r="132">
      <c r="B132" s="11" t="s">
        <v>6</v>
      </c>
      <c r="C132" s="99" t="s">
        <v>183</v>
      </c>
      <c r="D132" s="51" t="s">
        <v>184</v>
      </c>
      <c r="E132" s="102" t="s">
        <v>185</v>
      </c>
      <c r="F132" s="114" t="s">
        <v>186</v>
      </c>
      <c r="G132" s="100" t="s">
        <v>187</v>
      </c>
      <c r="H132" s="16"/>
    </row>
    <row r="133">
      <c r="B133" s="17" t="s">
        <v>8</v>
      </c>
      <c r="C133" s="115" t="s">
        <v>172</v>
      </c>
      <c r="D133" s="51" t="s">
        <v>188</v>
      </c>
      <c r="E133" s="51" t="s">
        <v>188</v>
      </c>
      <c r="F133" s="101" t="s">
        <v>189</v>
      </c>
      <c r="G133" s="101" t="s">
        <v>190</v>
      </c>
      <c r="H133" s="16"/>
    </row>
    <row r="134">
      <c r="B134" s="55" t="s">
        <v>78</v>
      </c>
      <c r="C134" s="116" t="s">
        <v>110</v>
      </c>
      <c r="D134" s="116" t="s">
        <v>110</v>
      </c>
      <c r="E134" s="116" t="s">
        <v>110</v>
      </c>
      <c r="F134" s="116" t="s">
        <v>110</v>
      </c>
      <c r="G134" s="116"/>
      <c r="H134" s="16"/>
    </row>
    <row r="135" ht="28.5" customHeight="1">
      <c r="B135" s="63" t="s">
        <v>106</v>
      </c>
      <c r="C135" s="92" t="s">
        <v>191</v>
      </c>
      <c r="D135" s="100" t="s">
        <v>192</v>
      </c>
      <c r="E135" s="117" t="s">
        <v>185</v>
      </c>
      <c r="F135" s="118" t="s">
        <v>193</v>
      </c>
      <c r="G135" s="117" t="s">
        <v>172</v>
      </c>
      <c r="H135" s="16"/>
    </row>
    <row r="136">
      <c r="B136" s="67" t="s">
        <v>109</v>
      </c>
      <c r="C136" s="116" t="s">
        <v>110</v>
      </c>
      <c r="D136" s="116" t="s">
        <v>110</v>
      </c>
      <c r="E136" s="116" t="s">
        <v>110</v>
      </c>
      <c r="F136" s="116" t="s">
        <v>110</v>
      </c>
      <c r="G136" s="116"/>
      <c r="H136" s="16"/>
    </row>
    <row r="137">
      <c r="B137" s="36" t="s">
        <v>111</v>
      </c>
      <c r="C137" s="74" t="s">
        <v>41</v>
      </c>
      <c r="D137" s="74" t="s">
        <v>41</v>
      </c>
      <c r="E137" s="74" t="s">
        <v>41</v>
      </c>
      <c r="F137" s="74" t="s">
        <v>41</v>
      </c>
      <c r="G137" s="74" t="s">
        <v>194</v>
      </c>
      <c r="H137" s="16"/>
    </row>
    <row r="138">
      <c r="B138" s="36" t="s">
        <v>195</v>
      </c>
      <c r="C138" s="119" t="s">
        <v>196</v>
      </c>
      <c r="D138" s="119" t="s">
        <v>196</v>
      </c>
      <c r="E138" s="119" t="s">
        <v>196</v>
      </c>
      <c r="F138" s="119" t="s">
        <v>196</v>
      </c>
      <c r="G138" s="119"/>
      <c r="H138" s="16"/>
    </row>
    <row r="139">
      <c r="B139" s="120" t="s">
        <v>197</v>
      </c>
      <c r="C139" s="121" t="s">
        <v>172</v>
      </c>
      <c r="D139" s="122" t="s">
        <v>33</v>
      </c>
      <c r="E139" s="122" t="s">
        <v>33</v>
      </c>
      <c r="F139" s="122" t="s">
        <v>33</v>
      </c>
      <c r="G139" s="122" t="s">
        <v>33</v>
      </c>
      <c r="H139" s="16"/>
    </row>
    <row r="140">
      <c r="B140" s="37" t="s">
        <v>22</v>
      </c>
      <c r="C140" s="123" t="s">
        <v>198</v>
      </c>
      <c r="D140" s="123" t="s">
        <v>198</v>
      </c>
      <c r="E140" s="123" t="s">
        <v>198</v>
      </c>
      <c r="F140" s="123" t="s">
        <v>198</v>
      </c>
      <c r="G140" s="123" t="s">
        <v>199</v>
      </c>
      <c r="H140" s="70"/>
    </row>
    <row r="141">
      <c r="B141" s="55" t="s">
        <v>44</v>
      </c>
      <c r="C141" s="124" t="s">
        <v>200</v>
      </c>
      <c r="D141" s="39" t="s">
        <v>201</v>
      </c>
      <c r="E141" s="124" t="s">
        <v>200</v>
      </c>
      <c r="F141" s="124" t="s">
        <v>200</v>
      </c>
      <c r="G141" s="124" t="s">
        <v>200</v>
      </c>
      <c r="H141" s="72"/>
    </row>
    <row r="142">
      <c r="B142" s="38" t="s">
        <v>23</v>
      </c>
      <c r="C142" s="39"/>
      <c r="D142" s="39"/>
      <c r="E142" s="39"/>
      <c r="F142" s="39"/>
      <c r="G142" s="112"/>
      <c r="H142" s="72"/>
    </row>
    <row r="143">
      <c r="B143" s="22" t="s">
        <v>12</v>
      </c>
      <c r="C143" s="113" t="s">
        <v>202</v>
      </c>
      <c r="D143" s="86"/>
      <c r="E143" s="86"/>
      <c r="F143" s="23"/>
      <c r="G143" s="23"/>
      <c r="H143" s="16"/>
    </row>
    <row r="146">
      <c r="B146" s="3" t="s">
        <v>1</v>
      </c>
      <c r="C146" s="4" t="s">
        <v>25</v>
      </c>
      <c r="D146" s="4" t="s">
        <v>26</v>
      </c>
      <c r="E146" s="4" t="s">
        <v>27</v>
      </c>
      <c r="F146" s="4" t="s">
        <v>2</v>
      </c>
      <c r="G146" s="4" t="s">
        <v>3</v>
      </c>
      <c r="H146" s="7"/>
    </row>
    <row r="147">
      <c r="B147" s="9"/>
      <c r="C147" s="10" t="s">
        <v>203</v>
      </c>
      <c r="D147" s="10" t="s">
        <v>204</v>
      </c>
      <c r="E147" s="10" t="s">
        <v>205</v>
      </c>
      <c r="F147" s="10" t="s">
        <v>206</v>
      </c>
      <c r="G147" s="10" t="s">
        <v>207</v>
      </c>
      <c r="H147" s="10"/>
    </row>
    <row r="148">
      <c r="B148" s="11" t="s">
        <v>6</v>
      </c>
      <c r="C148" s="21" t="s">
        <v>208</v>
      </c>
      <c r="D148" s="47" t="s">
        <v>209</v>
      </c>
      <c r="E148" s="101" t="s">
        <v>210</v>
      </c>
      <c r="F148" s="100" t="s">
        <v>211</v>
      </c>
      <c r="G148" s="100" t="s">
        <v>212</v>
      </c>
      <c r="H148" s="16"/>
    </row>
    <row r="149">
      <c r="B149" s="104" t="s">
        <v>8</v>
      </c>
      <c r="C149" s="125" t="s">
        <v>213</v>
      </c>
      <c r="D149" s="125"/>
      <c r="E149" s="119" t="s">
        <v>214</v>
      </c>
      <c r="F149" s="126" t="s">
        <v>215</v>
      </c>
      <c r="G149" s="45" t="s">
        <v>215</v>
      </c>
      <c r="H149" s="16"/>
    </row>
    <row r="150" ht="18.0" customHeight="1">
      <c r="B150" s="55" t="s">
        <v>78</v>
      </c>
      <c r="C150" s="123" t="s">
        <v>198</v>
      </c>
      <c r="D150" s="123" t="s">
        <v>198</v>
      </c>
      <c r="E150" s="116" t="s">
        <v>216</v>
      </c>
      <c r="F150" s="127" t="s">
        <v>217</v>
      </c>
      <c r="G150" s="127" t="s">
        <v>217</v>
      </c>
      <c r="H150" s="16"/>
    </row>
    <row r="151" ht="30.75" customHeight="1">
      <c r="B151" s="128" t="s">
        <v>106</v>
      </c>
      <c r="C151" s="45" t="s">
        <v>218</v>
      </c>
      <c r="D151" s="129" t="s">
        <v>87</v>
      </c>
      <c r="E151" s="129" t="s">
        <v>87</v>
      </c>
      <c r="F151" s="129" t="s">
        <v>87</v>
      </c>
      <c r="G151" s="129"/>
      <c r="H151" s="16"/>
    </row>
    <row r="152">
      <c r="B152" s="67" t="s">
        <v>17</v>
      </c>
      <c r="C152" s="47" t="s">
        <v>219</v>
      </c>
      <c r="D152" s="47" t="s">
        <v>220</v>
      </c>
      <c r="E152" s="101" t="s">
        <v>210</v>
      </c>
      <c r="F152" s="100" t="s">
        <v>211</v>
      </c>
      <c r="G152" s="100" t="s">
        <v>221</v>
      </c>
      <c r="H152" s="16"/>
    </row>
    <row r="153">
      <c r="B153" s="36" t="s">
        <v>111</v>
      </c>
      <c r="C153" s="74" t="s">
        <v>41</v>
      </c>
      <c r="D153" s="74" t="s">
        <v>41</v>
      </c>
      <c r="E153" s="74" t="s">
        <v>41</v>
      </c>
      <c r="F153" s="74" t="s">
        <v>41</v>
      </c>
      <c r="G153" s="74" t="s">
        <v>222</v>
      </c>
      <c r="H153" s="16"/>
    </row>
    <row r="154">
      <c r="B154" s="120" t="s">
        <v>195</v>
      </c>
      <c r="C154" s="119" t="s">
        <v>196</v>
      </c>
      <c r="D154" s="119" t="s">
        <v>196</v>
      </c>
      <c r="E154" s="119" t="s">
        <v>196</v>
      </c>
      <c r="F154" s="119" t="s">
        <v>196</v>
      </c>
      <c r="G154" s="119"/>
      <c r="H154" s="16"/>
    </row>
    <row r="155">
      <c r="B155" s="120" t="s">
        <v>197</v>
      </c>
      <c r="C155" s="56" t="s">
        <v>223</v>
      </c>
      <c r="D155" s="56" t="s">
        <v>224</v>
      </c>
      <c r="E155" s="130" t="s">
        <v>33</v>
      </c>
      <c r="F155" s="130" t="s">
        <v>33</v>
      </c>
      <c r="G155" s="130" t="s">
        <v>33</v>
      </c>
      <c r="H155" s="16"/>
    </row>
    <row r="156" ht="18.0" customHeight="1">
      <c r="B156" s="131" t="s">
        <v>175</v>
      </c>
      <c r="C156" s="130" t="s">
        <v>33</v>
      </c>
      <c r="D156" s="130" t="s">
        <v>33</v>
      </c>
      <c r="E156" s="132" t="s">
        <v>225</v>
      </c>
      <c r="F156" s="130" t="s">
        <v>33</v>
      </c>
      <c r="G156" s="130" t="s">
        <v>33</v>
      </c>
      <c r="H156" s="16"/>
    </row>
    <row r="157">
      <c r="B157" s="37" t="s">
        <v>226</v>
      </c>
      <c r="C157" s="123" t="s">
        <v>198</v>
      </c>
      <c r="D157" s="123" t="s">
        <v>198</v>
      </c>
      <c r="E157" s="116" t="s">
        <v>216</v>
      </c>
      <c r="F157" s="130" t="s">
        <v>33</v>
      </c>
      <c r="G157" s="130" t="s">
        <v>33</v>
      </c>
      <c r="H157" s="70"/>
    </row>
    <row r="158">
      <c r="B158" s="37" t="s">
        <v>227</v>
      </c>
      <c r="C158" s="130" t="s">
        <v>33</v>
      </c>
      <c r="D158" s="130" t="s">
        <v>33</v>
      </c>
      <c r="E158" s="130" t="s">
        <v>33</v>
      </c>
      <c r="F158" s="130" t="s">
        <v>33</v>
      </c>
      <c r="G158" s="130" t="s">
        <v>33</v>
      </c>
      <c r="H158" s="72"/>
    </row>
    <row r="159">
      <c r="B159" s="55" t="s">
        <v>44</v>
      </c>
      <c r="C159" s="106" t="s">
        <v>228</v>
      </c>
      <c r="D159" s="124" t="s">
        <v>200</v>
      </c>
      <c r="E159" s="106" t="s">
        <v>229</v>
      </c>
      <c r="F159" s="124" t="s">
        <v>200</v>
      </c>
      <c r="G159" s="106" t="s">
        <v>230</v>
      </c>
      <c r="H159" s="72"/>
    </row>
    <row r="160">
      <c r="B160" s="38" t="s">
        <v>23</v>
      </c>
      <c r="C160" s="106" t="s">
        <v>228</v>
      </c>
      <c r="D160" s="39"/>
      <c r="E160" s="106" t="s">
        <v>229</v>
      </c>
      <c r="F160" s="106" t="s">
        <v>229</v>
      </c>
      <c r="G160" s="106" t="s">
        <v>229</v>
      </c>
      <c r="H160" s="72"/>
    </row>
    <row r="161">
      <c r="B161" s="22" t="s">
        <v>12</v>
      </c>
      <c r="C161" s="86"/>
      <c r="D161" s="133" t="s">
        <v>231</v>
      </c>
      <c r="E161" s="106" t="s">
        <v>229</v>
      </c>
      <c r="F161" s="106" t="s">
        <v>229</v>
      </c>
      <c r="G161" s="106" t="s">
        <v>229</v>
      </c>
      <c r="H161" s="16"/>
    </row>
    <row r="164">
      <c r="B164" s="3" t="s">
        <v>1</v>
      </c>
      <c r="C164" s="4" t="s">
        <v>25</v>
      </c>
      <c r="D164" s="4" t="s">
        <v>26</v>
      </c>
      <c r="E164" s="4" t="s">
        <v>27</v>
      </c>
      <c r="F164" s="4" t="s">
        <v>2</v>
      </c>
      <c r="G164" s="4" t="s">
        <v>3</v>
      </c>
      <c r="H164" s="134" t="s">
        <v>232</v>
      </c>
    </row>
    <row r="165">
      <c r="B165" s="9"/>
      <c r="C165" s="10" t="s">
        <v>233</v>
      </c>
      <c r="D165" s="10" t="s">
        <v>234</v>
      </c>
      <c r="E165" s="10" t="s">
        <v>235</v>
      </c>
      <c r="F165" s="10" t="s">
        <v>236</v>
      </c>
      <c r="G165" s="10" t="s">
        <v>237</v>
      </c>
      <c r="H165" s="10" t="s">
        <v>238</v>
      </c>
    </row>
    <row r="166">
      <c r="B166" s="11" t="s">
        <v>6</v>
      </c>
      <c r="C166" s="100" t="s">
        <v>239</v>
      </c>
      <c r="D166" s="135" t="s">
        <v>240</v>
      </c>
      <c r="E166" s="110" t="s">
        <v>241</v>
      </c>
      <c r="F166" s="110" t="s">
        <v>241</v>
      </c>
      <c r="G166" s="19" t="s">
        <v>242</v>
      </c>
      <c r="H166" s="16"/>
    </row>
    <row r="167">
      <c r="B167" s="104" t="s">
        <v>8</v>
      </c>
      <c r="C167" s="136" t="s">
        <v>231</v>
      </c>
      <c r="D167" s="21"/>
      <c r="E167" s="135" t="s">
        <v>243</v>
      </c>
      <c r="G167" s="100" t="s">
        <v>244</v>
      </c>
      <c r="H167" s="16"/>
    </row>
    <row r="168">
      <c r="B168" s="55" t="s">
        <v>78</v>
      </c>
      <c r="C168" s="137" t="s">
        <v>245</v>
      </c>
      <c r="D168" s="137" t="s">
        <v>246</v>
      </c>
      <c r="E168" s="116" t="s">
        <v>247</v>
      </c>
      <c r="F168" s="116" t="s">
        <v>247</v>
      </c>
      <c r="G168" s="116" t="s">
        <v>247</v>
      </c>
      <c r="H168" s="78" t="s">
        <v>247</v>
      </c>
    </row>
    <row r="169">
      <c r="B169" s="128" t="s">
        <v>248</v>
      </c>
      <c r="C169" s="135" t="s">
        <v>249</v>
      </c>
      <c r="D169" s="138" t="s">
        <v>250</v>
      </c>
      <c r="E169" s="139" t="s">
        <v>251</v>
      </c>
      <c r="F169" s="115" t="s">
        <v>252</v>
      </c>
      <c r="G169" s="50" t="s">
        <v>252</v>
      </c>
      <c r="H169" s="16"/>
    </row>
    <row r="170">
      <c r="B170" s="55" t="s">
        <v>17</v>
      </c>
      <c r="C170" s="135" t="s">
        <v>253</v>
      </c>
      <c r="D170" s="135" t="s">
        <v>240</v>
      </c>
      <c r="E170" s="121" t="s">
        <v>241</v>
      </c>
      <c r="F170" s="130" t="s">
        <v>33</v>
      </c>
      <c r="G170" s="135" t="s">
        <v>254</v>
      </c>
      <c r="H170" s="16"/>
    </row>
    <row r="171">
      <c r="B171" s="36" t="s">
        <v>255</v>
      </c>
      <c r="C171" s="140" t="s">
        <v>41</v>
      </c>
      <c r="D171" s="140" t="s">
        <v>41</v>
      </c>
      <c r="E171" s="140" t="s">
        <v>41</v>
      </c>
      <c r="F171" s="140" t="s">
        <v>41</v>
      </c>
      <c r="G171" s="140" t="s">
        <v>41</v>
      </c>
      <c r="H171" s="16"/>
    </row>
    <row r="172">
      <c r="B172" s="120" t="s">
        <v>14</v>
      </c>
      <c r="C172" s="140" t="s">
        <v>41</v>
      </c>
      <c r="D172" s="141" t="s">
        <v>256</v>
      </c>
      <c r="E172" s="141" t="s">
        <v>256</v>
      </c>
      <c r="F172" s="142" t="s">
        <v>252</v>
      </c>
      <c r="G172" s="132" t="s">
        <v>257</v>
      </c>
      <c r="H172" s="16"/>
    </row>
    <row r="173">
      <c r="B173" s="120" t="s">
        <v>195</v>
      </c>
      <c r="C173" s="119"/>
      <c r="D173" s="119" t="s">
        <v>196</v>
      </c>
      <c r="E173" s="119" t="s">
        <v>196</v>
      </c>
      <c r="F173" s="119" t="s">
        <v>196</v>
      </c>
      <c r="G173" s="119" t="s">
        <v>196</v>
      </c>
      <c r="H173" s="16"/>
    </row>
    <row r="174">
      <c r="B174" s="120" t="s">
        <v>197</v>
      </c>
      <c r="C174" s="130" t="s">
        <v>33</v>
      </c>
      <c r="D174" s="140" t="s">
        <v>41</v>
      </c>
      <c r="E174" s="140" t="s">
        <v>41</v>
      </c>
      <c r="F174" s="140" t="s">
        <v>41</v>
      </c>
      <c r="G174" s="140" t="s">
        <v>41</v>
      </c>
      <c r="H174" s="16"/>
    </row>
    <row r="175">
      <c r="B175" s="131" t="s">
        <v>175</v>
      </c>
      <c r="C175" s="132" t="s">
        <v>258</v>
      </c>
      <c r="D175" s="130" t="s">
        <v>33</v>
      </c>
      <c r="E175" s="130" t="s">
        <v>33</v>
      </c>
      <c r="F175" s="132" t="s">
        <v>259</v>
      </c>
      <c r="G175" s="130" t="s">
        <v>33</v>
      </c>
      <c r="H175" s="16"/>
    </row>
    <row r="176">
      <c r="B176" s="37" t="s">
        <v>260</v>
      </c>
      <c r="C176" s="123" t="s">
        <v>261</v>
      </c>
      <c r="D176" s="143" t="s">
        <v>224</v>
      </c>
      <c r="E176" s="143" t="s">
        <v>224</v>
      </c>
      <c r="F176" s="143" t="s">
        <v>224</v>
      </c>
      <c r="G176" s="143" t="s">
        <v>224</v>
      </c>
      <c r="H176" s="70"/>
    </row>
    <row r="177">
      <c r="B177" s="37" t="s">
        <v>262</v>
      </c>
      <c r="C177" s="143" t="s">
        <v>224</v>
      </c>
      <c r="D177" s="143" t="s">
        <v>224</v>
      </c>
      <c r="E177" s="143" t="s">
        <v>224</v>
      </c>
      <c r="F177" s="143" t="s">
        <v>224</v>
      </c>
      <c r="G177" s="143" t="s">
        <v>224</v>
      </c>
      <c r="H177" s="72"/>
    </row>
    <row r="178">
      <c r="B178" s="38" t="s">
        <v>263</v>
      </c>
      <c r="C178" s="144" t="s">
        <v>264</v>
      </c>
      <c r="D178" s="144" t="s">
        <v>264</v>
      </c>
      <c r="E178" s="144" t="s">
        <v>264</v>
      </c>
      <c r="F178" s="144" t="s">
        <v>264</v>
      </c>
      <c r="G178" s="144" t="s">
        <v>264</v>
      </c>
      <c r="H178" s="72"/>
    </row>
    <row r="179">
      <c r="B179" s="55" t="s">
        <v>44</v>
      </c>
      <c r="C179" s="124" t="s">
        <v>200</v>
      </c>
      <c r="D179" s="124" t="s">
        <v>200</v>
      </c>
      <c r="E179" s="124" t="s">
        <v>265</v>
      </c>
      <c r="F179" s="124" t="s">
        <v>266</v>
      </c>
      <c r="G179" s="124" t="s">
        <v>200</v>
      </c>
      <c r="H179" s="72"/>
    </row>
    <row r="180">
      <c r="B180" s="38" t="s">
        <v>23</v>
      </c>
      <c r="C180" s="39" t="s">
        <v>267</v>
      </c>
      <c r="D180" s="39" t="s">
        <v>267</v>
      </c>
      <c r="E180" s="39" t="s">
        <v>267</v>
      </c>
      <c r="F180" s="39" t="s">
        <v>268</v>
      </c>
      <c r="G180" s="39" t="s">
        <v>267</v>
      </c>
      <c r="H180" s="72"/>
    </row>
    <row r="181">
      <c r="B181" s="22" t="s">
        <v>12</v>
      </c>
      <c r="C181" s="133" t="s">
        <v>231</v>
      </c>
      <c r="D181" s="113" t="s">
        <v>269</v>
      </c>
      <c r="E181" s="78" t="s">
        <v>269</v>
      </c>
      <c r="F181" s="23"/>
      <c r="G181" s="132" t="s">
        <v>257</v>
      </c>
      <c r="H181" s="16"/>
    </row>
    <row r="184">
      <c r="B184" s="3" t="s">
        <v>1</v>
      </c>
      <c r="C184" s="4" t="s">
        <v>25</v>
      </c>
      <c r="D184" s="4" t="s">
        <v>26</v>
      </c>
      <c r="E184" s="4" t="s">
        <v>27</v>
      </c>
      <c r="F184" s="4" t="s">
        <v>2</v>
      </c>
      <c r="G184" s="4" t="s">
        <v>3</v>
      </c>
      <c r="H184" s="134" t="s">
        <v>232</v>
      </c>
    </row>
    <row r="185">
      <c r="B185" s="9"/>
      <c r="C185" s="10" t="s">
        <v>270</v>
      </c>
      <c r="D185" s="10" t="s">
        <v>271</v>
      </c>
      <c r="E185" s="10" t="s">
        <v>272</v>
      </c>
      <c r="F185" s="10" t="s">
        <v>273</v>
      </c>
      <c r="G185" s="10" t="s">
        <v>274</v>
      </c>
      <c r="H185" s="10" t="s">
        <v>275</v>
      </c>
    </row>
    <row r="186">
      <c r="B186" s="11" t="s">
        <v>6</v>
      </c>
      <c r="C186" s="21" t="s">
        <v>276</v>
      </c>
      <c r="D186" s="100" t="s">
        <v>277</v>
      </c>
      <c r="E186" s="100" t="s">
        <v>277</v>
      </c>
      <c r="F186" s="145" t="s">
        <v>278</v>
      </c>
      <c r="G186" s="100" t="s">
        <v>279</v>
      </c>
      <c r="H186" s="16"/>
    </row>
    <row r="187">
      <c r="B187" s="104" t="s">
        <v>8</v>
      </c>
      <c r="C187" s="146" t="s">
        <v>34</v>
      </c>
      <c r="D187" s="146" t="s">
        <v>34</v>
      </c>
      <c r="E187" s="146" t="s">
        <v>34</v>
      </c>
      <c r="F187" s="147"/>
      <c r="G187" s="148" t="s">
        <v>280</v>
      </c>
      <c r="H187" s="16"/>
    </row>
    <row r="188">
      <c r="B188" s="55" t="s">
        <v>78</v>
      </c>
      <c r="C188" s="149" t="s">
        <v>281</v>
      </c>
      <c r="D188" s="137" t="s">
        <v>282</v>
      </c>
      <c r="E188" s="150" t="s">
        <v>283</v>
      </c>
      <c r="F188" s="127" t="s">
        <v>284</v>
      </c>
      <c r="G188" s="127" t="s">
        <v>285</v>
      </c>
      <c r="H188" s="151"/>
    </row>
    <row r="189">
      <c r="B189" s="128" t="s">
        <v>248</v>
      </c>
      <c r="C189" s="152" t="s">
        <v>286</v>
      </c>
      <c r="D189" s="100" t="s">
        <v>277</v>
      </c>
      <c r="E189" s="100" t="s">
        <v>287</v>
      </c>
      <c r="F189" s="130" t="s">
        <v>33</v>
      </c>
      <c r="G189" s="130" t="s">
        <v>33</v>
      </c>
      <c r="H189" s="16"/>
      <c r="J189" s="1" t="s">
        <v>288</v>
      </c>
    </row>
    <row r="190">
      <c r="B190" s="104" t="s">
        <v>42</v>
      </c>
      <c r="C190" s="130" t="s">
        <v>33</v>
      </c>
      <c r="D190" s="130" t="s">
        <v>33</v>
      </c>
      <c r="E190" s="130" t="s">
        <v>33</v>
      </c>
      <c r="F190" s="100" t="s">
        <v>287</v>
      </c>
      <c r="G190" s="153" t="s">
        <v>289</v>
      </c>
      <c r="H190" s="16"/>
    </row>
    <row r="191">
      <c r="B191" s="55" t="s">
        <v>17</v>
      </c>
      <c r="C191" s="130" t="s">
        <v>33</v>
      </c>
      <c r="D191" s="154" t="s">
        <v>290</v>
      </c>
      <c r="E191" s="150" t="s">
        <v>283</v>
      </c>
      <c r="F191" s="121" t="s">
        <v>291</v>
      </c>
      <c r="G191" s="100" t="s">
        <v>279</v>
      </c>
      <c r="H191" s="16"/>
    </row>
    <row r="192">
      <c r="B192" s="36" t="s">
        <v>292</v>
      </c>
      <c r="C192" s="140" t="s">
        <v>41</v>
      </c>
      <c r="D192" s="140" t="s">
        <v>41</v>
      </c>
      <c r="E192" s="140" t="s">
        <v>41</v>
      </c>
      <c r="F192" s="140" t="s">
        <v>41</v>
      </c>
      <c r="G192" s="140" t="s">
        <v>41</v>
      </c>
      <c r="H192" s="16"/>
    </row>
    <row r="193">
      <c r="B193" s="120" t="s">
        <v>14</v>
      </c>
      <c r="C193" s="132" t="s">
        <v>257</v>
      </c>
      <c r="D193" s="132" t="s">
        <v>257</v>
      </c>
      <c r="E193" s="132" t="s">
        <v>257</v>
      </c>
      <c r="F193" s="132" t="s">
        <v>257</v>
      </c>
      <c r="G193" s="155" t="s">
        <v>291</v>
      </c>
      <c r="H193" s="16"/>
    </row>
    <row r="194">
      <c r="B194" s="120" t="s">
        <v>293</v>
      </c>
      <c r="C194" s="146" t="s">
        <v>34</v>
      </c>
      <c r="D194" s="146" t="s">
        <v>34</v>
      </c>
      <c r="E194" s="146" t="s">
        <v>34</v>
      </c>
      <c r="F194" s="146" t="s">
        <v>34</v>
      </c>
      <c r="G194" s="146" t="s">
        <v>34</v>
      </c>
      <c r="H194" s="16"/>
    </row>
    <row r="195">
      <c r="B195" s="131" t="s">
        <v>175</v>
      </c>
      <c r="C195" s="156" t="s">
        <v>220</v>
      </c>
      <c r="D195" s="132" t="s">
        <v>294</v>
      </c>
      <c r="E195" s="157" t="s">
        <v>295</v>
      </c>
      <c r="F195" s="157" t="s">
        <v>224</v>
      </c>
      <c r="G195" s="157" t="s">
        <v>224</v>
      </c>
      <c r="H195" s="16"/>
    </row>
    <row r="196">
      <c r="B196" s="37" t="s">
        <v>296</v>
      </c>
      <c r="C196" s="143" t="s">
        <v>224</v>
      </c>
      <c r="D196" s="143" t="s">
        <v>224</v>
      </c>
      <c r="E196" s="143" t="s">
        <v>224</v>
      </c>
      <c r="F196" s="143" t="s">
        <v>224</v>
      </c>
      <c r="G196" s="143" t="s">
        <v>224</v>
      </c>
      <c r="H196" s="72"/>
    </row>
    <row r="197">
      <c r="B197" s="55" t="s">
        <v>44</v>
      </c>
      <c r="C197" s="124" t="s">
        <v>200</v>
      </c>
      <c r="D197" s="124" t="s">
        <v>200</v>
      </c>
      <c r="E197" s="124" t="s">
        <v>200</v>
      </c>
      <c r="F197" s="124" t="s">
        <v>200</v>
      </c>
      <c r="G197" s="124" t="s">
        <v>200</v>
      </c>
      <c r="H197" s="72"/>
    </row>
    <row r="198">
      <c r="B198" s="38" t="s">
        <v>23</v>
      </c>
      <c r="C198" s="39" t="s">
        <v>297</v>
      </c>
      <c r="D198" s="132" t="s">
        <v>294</v>
      </c>
      <c r="E198" s="39"/>
      <c r="F198" s="39"/>
      <c r="G198" s="39"/>
      <c r="H198" s="72"/>
    </row>
    <row r="199">
      <c r="B199" s="22" t="s">
        <v>12</v>
      </c>
      <c r="C199" s="158"/>
      <c r="D199" s="140" t="s">
        <v>298</v>
      </c>
      <c r="E199" s="23"/>
      <c r="F199" s="23"/>
      <c r="G199" s="23"/>
      <c r="H199" s="16"/>
    </row>
    <row r="202">
      <c r="B202" s="3" t="s">
        <v>1</v>
      </c>
      <c r="C202" s="4" t="s">
        <v>25</v>
      </c>
      <c r="D202" s="4" t="s">
        <v>26</v>
      </c>
      <c r="E202" s="4" t="s">
        <v>27</v>
      </c>
      <c r="F202" s="4" t="s">
        <v>2</v>
      </c>
      <c r="G202" s="4" t="s">
        <v>3</v>
      </c>
      <c r="H202" s="134" t="s">
        <v>232</v>
      </c>
    </row>
    <row r="203">
      <c r="B203" s="9"/>
      <c r="C203" s="10" t="s">
        <v>299</v>
      </c>
      <c r="D203" s="10" t="s">
        <v>300</v>
      </c>
      <c r="E203" s="10" t="s">
        <v>301</v>
      </c>
      <c r="F203" s="10" t="s">
        <v>302</v>
      </c>
      <c r="G203" s="10" t="s">
        <v>303</v>
      </c>
      <c r="H203" s="10" t="s">
        <v>304</v>
      </c>
    </row>
    <row r="204" ht="35.25" customHeight="1">
      <c r="B204" s="104" t="s">
        <v>305</v>
      </c>
      <c r="C204" s="159" t="s">
        <v>306</v>
      </c>
      <c r="D204" s="153" t="s">
        <v>33</v>
      </c>
      <c r="E204" s="160" t="s">
        <v>307</v>
      </c>
      <c r="F204" s="107" t="s">
        <v>308</v>
      </c>
      <c r="G204" s="161" t="s">
        <v>309</v>
      </c>
      <c r="H204" s="16"/>
    </row>
    <row r="205">
      <c r="B205" s="104" t="s">
        <v>310</v>
      </c>
      <c r="C205" s="162" t="s">
        <v>34</v>
      </c>
      <c r="D205" s="160" t="s">
        <v>287</v>
      </c>
      <c r="E205" s="160" t="s">
        <v>311</v>
      </c>
      <c r="F205" s="163" t="s">
        <v>312</v>
      </c>
      <c r="G205" s="164"/>
      <c r="H205" s="16"/>
    </row>
    <row r="206">
      <c r="B206" s="55" t="s">
        <v>78</v>
      </c>
      <c r="C206" s="162" t="s">
        <v>34</v>
      </c>
      <c r="D206" s="162"/>
      <c r="E206" s="100" t="s">
        <v>313</v>
      </c>
      <c r="F206" s="115" t="s">
        <v>314</v>
      </c>
      <c r="G206" s="164"/>
      <c r="H206" s="151"/>
    </row>
    <row r="207">
      <c r="B207" s="165" t="s">
        <v>315</v>
      </c>
      <c r="C207" s="101" t="s">
        <v>316</v>
      </c>
      <c r="D207" s="166" t="s">
        <v>317</v>
      </c>
      <c r="E207" s="160" t="s">
        <v>311</v>
      </c>
      <c r="F207" s="138" t="s">
        <v>318</v>
      </c>
      <c r="G207" s="164"/>
      <c r="H207" s="16"/>
      <c r="J207" s="1"/>
    </row>
    <row r="208">
      <c r="B208" s="128" t="s">
        <v>319</v>
      </c>
      <c r="C208" s="101" t="s">
        <v>316</v>
      </c>
      <c r="D208" s="109" t="s">
        <v>33</v>
      </c>
      <c r="E208" s="100" t="s">
        <v>320</v>
      </c>
      <c r="F208" s="115" t="s">
        <v>314</v>
      </c>
      <c r="G208" s="164"/>
      <c r="H208" s="16"/>
      <c r="J208" s="1"/>
    </row>
    <row r="209">
      <c r="B209" s="55" t="s">
        <v>17</v>
      </c>
      <c r="C209" s="100" t="s">
        <v>321</v>
      </c>
      <c r="D209" s="135" t="s">
        <v>322</v>
      </c>
      <c r="E209" s="160" t="s">
        <v>311</v>
      </c>
      <c r="F209" s="135" t="s">
        <v>322</v>
      </c>
      <c r="G209" s="164"/>
      <c r="H209" s="16"/>
    </row>
    <row r="210">
      <c r="B210" s="36" t="s">
        <v>292</v>
      </c>
      <c r="C210" s="140" t="s">
        <v>41</v>
      </c>
      <c r="D210" s="140" t="s">
        <v>41</v>
      </c>
      <c r="E210" s="140" t="s">
        <v>41</v>
      </c>
      <c r="F210" s="140" t="s">
        <v>41</v>
      </c>
      <c r="G210" s="164"/>
      <c r="H210" s="16"/>
    </row>
    <row r="211">
      <c r="B211" s="120" t="s">
        <v>14</v>
      </c>
      <c r="C211" s="115" t="s">
        <v>323</v>
      </c>
      <c r="D211" s="167" t="s">
        <v>324</v>
      </c>
      <c r="E211" s="100" t="s">
        <v>320</v>
      </c>
      <c r="F211" s="143" t="s">
        <v>224</v>
      </c>
      <c r="G211" s="164"/>
      <c r="H211" s="16"/>
    </row>
    <row r="212">
      <c r="B212" s="120" t="s">
        <v>325</v>
      </c>
      <c r="C212" s="143" t="s">
        <v>224</v>
      </c>
      <c r="D212" s="143" t="s">
        <v>224</v>
      </c>
      <c r="E212" s="143" t="s">
        <v>224</v>
      </c>
      <c r="F212" s="143" t="s">
        <v>326</v>
      </c>
      <c r="G212" s="164"/>
      <c r="H212" s="16"/>
    </row>
    <row r="213">
      <c r="B213" s="37" t="s">
        <v>327</v>
      </c>
      <c r="C213" s="143" t="s">
        <v>224</v>
      </c>
      <c r="D213" s="143" t="s">
        <v>224</v>
      </c>
      <c r="E213" s="143" t="s">
        <v>224</v>
      </c>
      <c r="F213" s="143" t="s">
        <v>224</v>
      </c>
      <c r="G213" s="164"/>
      <c r="H213" s="72"/>
    </row>
    <row r="214">
      <c r="B214" s="55" t="s">
        <v>44</v>
      </c>
      <c r="C214" s="117" t="s">
        <v>306</v>
      </c>
      <c r="D214" s="135" t="s">
        <v>322</v>
      </c>
      <c r="E214" s="124" t="s">
        <v>200</v>
      </c>
      <c r="F214" s="124" t="s">
        <v>200</v>
      </c>
      <c r="G214" s="164"/>
      <c r="H214" s="72"/>
    </row>
    <row r="215">
      <c r="B215" s="38" t="s">
        <v>23</v>
      </c>
      <c r="C215" s="106" t="s">
        <v>328</v>
      </c>
      <c r="D215" s="135" t="s">
        <v>322</v>
      </c>
      <c r="E215" s="168"/>
      <c r="F215" s="107" t="s">
        <v>329</v>
      </c>
      <c r="G215" s="164"/>
      <c r="H215" s="72"/>
    </row>
    <row r="216">
      <c r="B216" s="22" t="s">
        <v>12</v>
      </c>
      <c r="C216" s="113" t="s">
        <v>329</v>
      </c>
      <c r="D216" s="106" t="s">
        <v>114</v>
      </c>
      <c r="E216" s="23"/>
      <c r="F216" s="107" t="s">
        <v>329</v>
      </c>
      <c r="G216" s="169"/>
      <c r="H216" s="16"/>
    </row>
    <row r="219">
      <c r="B219" s="3" t="s">
        <v>1</v>
      </c>
      <c r="C219" s="4" t="s">
        <v>25</v>
      </c>
      <c r="D219" s="4" t="s">
        <v>26</v>
      </c>
      <c r="E219" s="4" t="s">
        <v>27</v>
      </c>
      <c r="F219" s="4" t="s">
        <v>2</v>
      </c>
      <c r="G219" s="4" t="s">
        <v>3</v>
      </c>
      <c r="H219" s="134" t="s">
        <v>232</v>
      </c>
    </row>
    <row r="220">
      <c r="B220" s="9"/>
      <c r="C220" s="10" t="s">
        <v>330</v>
      </c>
      <c r="D220" s="10" t="s">
        <v>331</v>
      </c>
      <c r="E220" s="10" t="s">
        <v>332</v>
      </c>
      <c r="F220" s="10" t="s">
        <v>333</v>
      </c>
      <c r="G220" s="10" t="s">
        <v>334</v>
      </c>
      <c r="H220" s="10" t="s">
        <v>335</v>
      </c>
    </row>
    <row r="221">
      <c r="B221" s="11" t="s">
        <v>6</v>
      </c>
      <c r="C221" s="161" t="s">
        <v>336</v>
      </c>
      <c r="D221" s="115" t="s">
        <v>337</v>
      </c>
      <c r="E221" s="115" t="s">
        <v>338</v>
      </c>
      <c r="F221" s="170" t="s">
        <v>339</v>
      </c>
      <c r="G221" s="100" t="s">
        <v>340</v>
      </c>
      <c r="H221" s="16"/>
    </row>
    <row r="222">
      <c r="B222" s="104" t="s">
        <v>8</v>
      </c>
      <c r="C222" s="164"/>
      <c r="D222" s="145" t="s">
        <v>341</v>
      </c>
      <c r="E222" s="160" t="s">
        <v>342</v>
      </c>
      <c r="F222" s="160" t="s">
        <v>343</v>
      </c>
      <c r="G222" s="129" t="s">
        <v>344</v>
      </c>
      <c r="H222" s="16"/>
    </row>
    <row r="223">
      <c r="B223" s="55" t="s">
        <v>78</v>
      </c>
      <c r="C223" s="164"/>
      <c r="D223" s="129" t="s">
        <v>34</v>
      </c>
      <c r="E223" s="129" t="s">
        <v>34</v>
      </c>
      <c r="F223" s="129" t="s">
        <v>34</v>
      </c>
      <c r="G223" s="129" t="s">
        <v>34</v>
      </c>
      <c r="H223" s="151"/>
    </row>
    <row r="224">
      <c r="B224" s="165" t="s">
        <v>345</v>
      </c>
      <c r="C224" s="164"/>
      <c r="D224" s="100" t="s">
        <v>320</v>
      </c>
      <c r="E224" s="143" t="s">
        <v>224</v>
      </c>
      <c r="F224" s="100" t="s">
        <v>346</v>
      </c>
      <c r="G224" s="100" t="s">
        <v>320</v>
      </c>
      <c r="H224" s="76" t="s">
        <v>0</v>
      </c>
      <c r="J224" s="1"/>
    </row>
    <row r="225">
      <c r="B225" s="55" t="s">
        <v>17</v>
      </c>
      <c r="C225" s="164"/>
      <c r="D225" s="154" t="s">
        <v>347</v>
      </c>
      <c r="E225" s="160" t="s">
        <v>342</v>
      </c>
      <c r="F225" s="115" t="s">
        <v>348</v>
      </c>
      <c r="G225" s="129" t="s">
        <v>344</v>
      </c>
      <c r="H225" s="16"/>
    </row>
    <row r="226">
      <c r="B226" s="36" t="s">
        <v>292</v>
      </c>
      <c r="C226" s="164"/>
      <c r="D226" s="140" t="s">
        <v>41</v>
      </c>
      <c r="E226" s="140" t="s">
        <v>41</v>
      </c>
      <c r="F226" s="140" t="s">
        <v>41</v>
      </c>
      <c r="G226" s="101" t="s">
        <v>349</v>
      </c>
      <c r="H226" s="16"/>
    </row>
    <row r="227">
      <c r="B227" s="120" t="s">
        <v>14</v>
      </c>
      <c r="C227" s="164"/>
      <c r="D227" s="143" t="s">
        <v>224</v>
      </c>
      <c r="E227" s="126" t="s">
        <v>350</v>
      </c>
      <c r="F227" s="126" t="s">
        <v>350</v>
      </c>
      <c r="G227" s="101" t="s">
        <v>349</v>
      </c>
      <c r="H227" s="16"/>
    </row>
    <row r="228">
      <c r="B228" s="120" t="s">
        <v>325</v>
      </c>
      <c r="C228" s="164"/>
      <c r="D228" s="143" t="s">
        <v>224</v>
      </c>
      <c r="E228" s="171" t="s">
        <v>224</v>
      </c>
      <c r="F228" s="171" t="s">
        <v>224</v>
      </c>
      <c r="G228" s="52" t="s">
        <v>224</v>
      </c>
      <c r="H228" s="16"/>
    </row>
    <row r="229">
      <c r="B229" s="37" t="s">
        <v>327</v>
      </c>
      <c r="C229" s="164"/>
      <c r="D229" s="143" t="s">
        <v>224</v>
      </c>
      <c r="E229" s="143" t="s">
        <v>224</v>
      </c>
      <c r="F229" s="143" t="s">
        <v>224</v>
      </c>
      <c r="G229" s="143" t="s">
        <v>224</v>
      </c>
      <c r="H229" s="72"/>
    </row>
    <row r="230">
      <c r="B230" s="55" t="s">
        <v>44</v>
      </c>
      <c r="C230" s="164"/>
      <c r="D230" s="124" t="s">
        <v>200</v>
      </c>
      <c r="E230" s="172" t="s">
        <v>220</v>
      </c>
      <c r="F230" s="124" t="s">
        <v>351</v>
      </c>
      <c r="G230" s="124" t="s">
        <v>200</v>
      </c>
      <c r="H230" s="72"/>
    </row>
    <row r="231">
      <c r="B231" s="38" t="s">
        <v>23</v>
      </c>
      <c r="C231" s="164"/>
      <c r="D231" s="168"/>
      <c r="E231" s="106" t="s">
        <v>114</v>
      </c>
      <c r="F231" s="168"/>
      <c r="G231" s="21" t="s">
        <v>352</v>
      </c>
      <c r="H231" s="72"/>
    </row>
    <row r="232">
      <c r="B232" s="22" t="s">
        <v>12</v>
      </c>
      <c r="C232" s="169"/>
      <c r="D232" s="173"/>
      <c r="E232" s="107" t="s">
        <v>329</v>
      </c>
      <c r="F232" s="107" t="s">
        <v>329</v>
      </c>
      <c r="G232" s="21"/>
      <c r="H232" s="16"/>
    </row>
    <row r="235">
      <c r="B235" s="3" t="s">
        <v>1</v>
      </c>
      <c r="C235" s="4" t="s">
        <v>25</v>
      </c>
      <c r="D235" s="4" t="s">
        <v>26</v>
      </c>
      <c r="E235" s="4" t="s">
        <v>27</v>
      </c>
      <c r="F235" s="4" t="s">
        <v>2</v>
      </c>
      <c r="G235" s="4" t="s">
        <v>3</v>
      </c>
      <c r="H235" s="134" t="s">
        <v>232</v>
      </c>
    </row>
    <row r="236">
      <c r="B236" s="9"/>
      <c r="C236" s="10" t="s">
        <v>353</v>
      </c>
      <c r="D236" s="10" t="s">
        <v>354</v>
      </c>
      <c r="E236" s="10" t="s">
        <v>355</v>
      </c>
      <c r="F236" s="10" t="s">
        <v>356</v>
      </c>
      <c r="G236" s="10" t="s">
        <v>357</v>
      </c>
      <c r="H236" s="10" t="s">
        <v>358</v>
      </c>
    </row>
    <row r="237">
      <c r="B237" s="11" t="s">
        <v>6</v>
      </c>
      <c r="C237" s="129" t="s">
        <v>359</v>
      </c>
      <c r="D237" s="129" t="s">
        <v>360</v>
      </c>
      <c r="E237" s="100" t="s">
        <v>361</v>
      </c>
      <c r="F237" s="115" t="s">
        <v>362</v>
      </c>
      <c r="G237" s="107" t="s">
        <v>363</v>
      </c>
      <c r="H237" s="16"/>
    </row>
    <row r="238">
      <c r="B238" s="104" t="s">
        <v>8</v>
      </c>
      <c r="C238" s="45" t="s">
        <v>364</v>
      </c>
      <c r="D238" s="174" t="s">
        <v>365</v>
      </c>
      <c r="E238" s="21" t="s">
        <v>366</v>
      </c>
      <c r="F238" s="166" t="s">
        <v>367</v>
      </c>
      <c r="G238" s="175" t="s">
        <v>368</v>
      </c>
      <c r="H238" s="16"/>
    </row>
    <row r="239">
      <c r="B239" s="55" t="s">
        <v>78</v>
      </c>
      <c r="C239" s="21" t="s">
        <v>369</v>
      </c>
      <c r="D239" s="138" t="s">
        <v>370</v>
      </c>
      <c r="E239" s="138" t="s">
        <v>370</v>
      </c>
      <c r="F239" s="138" t="s">
        <v>370</v>
      </c>
      <c r="G239" s="138" t="s">
        <v>370</v>
      </c>
      <c r="H239" s="176"/>
    </row>
    <row r="240">
      <c r="B240" s="128" t="s">
        <v>371</v>
      </c>
      <c r="C240" s="129" t="s">
        <v>359</v>
      </c>
      <c r="D240" s="129" t="s">
        <v>372</v>
      </c>
      <c r="E240" s="129" t="s">
        <v>372</v>
      </c>
      <c r="F240" s="126" t="s">
        <v>373</v>
      </c>
      <c r="G240" s="92" t="s">
        <v>374</v>
      </c>
      <c r="H240" s="16"/>
      <c r="J240" s="1"/>
    </row>
    <row r="241" ht="30.0" customHeight="1">
      <c r="B241" s="55" t="s">
        <v>17</v>
      </c>
      <c r="C241" s="126" t="s">
        <v>375</v>
      </c>
      <c r="D241" s="126" t="s">
        <v>376</v>
      </c>
      <c r="E241" s="100" t="s">
        <v>361</v>
      </c>
      <c r="F241" s="115" t="s">
        <v>362</v>
      </c>
      <c r="G241" s="107" t="s">
        <v>377</v>
      </c>
      <c r="H241" s="16"/>
    </row>
    <row r="242">
      <c r="B242" s="36" t="s">
        <v>255</v>
      </c>
      <c r="C242" s="21" t="s">
        <v>378</v>
      </c>
      <c r="D242" s="135" t="s">
        <v>379</v>
      </c>
      <c r="E242" s="116" t="s">
        <v>380</v>
      </c>
      <c r="F242" s="140" t="s">
        <v>41</v>
      </c>
      <c r="G242" s="140" t="s">
        <v>41</v>
      </c>
      <c r="H242" s="16"/>
    </row>
    <row r="243">
      <c r="B243" s="120" t="s">
        <v>381</v>
      </c>
      <c r="C243" s="143" t="s">
        <v>224</v>
      </c>
      <c r="D243" s="143" t="s">
        <v>224</v>
      </c>
      <c r="E243" s="52" t="s">
        <v>224</v>
      </c>
      <c r="F243" s="140" t="s">
        <v>41</v>
      </c>
      <c r="G243" s="140" t="s">
        <v>41</v>
      </c>
      <c r="H243" s="16"/>
    </row>
    <row r="244">
      <c r="B244" s="120" t="s">
        <v>14</v>
      </c>
      <c r="C244" s="143" t="s">
        <v>224</v>
      </c>
      <c r="D244" s="143" t="s">
        <v>224</v>
      </c>
      <c r="E244" s="52" t="s">
        <v>224</v>
      </c>
      <c r="F244" s="52" t="s">
        <v>224</v>
      </c>
      <c r="G244" s="115" t="s">
        <v>382</v>
      </c>
      <c r="H244" s="16"/>
    </row>
    <row r="245">
      <c r="B245" s="120" t="s">
        <v>383</v>
      </c>
      <c r="C245" s="143" t="s">
        <v>224</v>
      </c>
      <c r="D245" s="143" t="s">
        <v>224</v>
      </c>
      <c r="E245" s="143" t="s">
        <v>224</v>
      </c>
      <c r="F245" s="143" t="s">
        <v>224</v>
      </c>
      <c r="G245" s="143" t="s">
        <v>224</v>
      </c>
      <c r="H245" s="16"/>
    </row>
    <row r="246">
      <c r="B246" s="37" t="s">
        <v>327</v>
      </c>
      <c r="C246" s="143" t="s">
        <v>224</v>
      </c>
      <c r="D246" s="143" t="s">
        <v>224</v>
      </c>
      <c r="E246" s="143" t="s">
        <v>224</v>
      </c>
      <c r="F246" s="143" t="s">
        <v>224</v>
      </c>
      <c r="G246" s="143" t="s">
        <v>224</v>
      </c>
      <c r="H246" s="72"/>
    </row>
    <row r="247">
      <c r="B247" s="55" t="s">
        <v>44</v>
      </c>
      <c r="C247" s="124" t="s">
        <v>200</v>
      </c>
      <c r="D247" s="124" t="s">
        <v>200</v>
      </c>
      <c r="E247" s="124" t="s">
        <v>200</v>
      </c>
      <c r="F247" s="168" t="s">
        <v>220</v>
      </c>
      <c r="G247" s="168" t="s">
        <v>220</v>
      </c>
      <c r="H247" s="72"/>
    </row>
    <row r="248">
      <c r="B248" s="38" t="s">
        <v>23</v>
      </c>
      <c r="C248" s="21" t="s">
        <v>38</v>
      </c>
      <c r="D248" s="21" t="s">
        <v>38</v>
      </c>
      <c r="E248" s="21" t="s">
        <v>38</v>
      </c>
      <c r="F248" s="99" t="s">
        <v>384</v>
      </c>
      <c r="G248" s="21" t="s">
        <v>38</v>
      </c>
      <c r="H248" s="72"/>
    </row>
    <row r="249">
      <c r="B249" s="22" t="s">
        <v>12</v>
      </c>
      <c r="C249" s="107" t="s">
        <v>329</v>
      </c>
      <c r="D249" s="45"/>
      <c r="E249" s="23"/>
      <c r="F249" s="23"/>
      <c r="G249" s="177"/>
      <c r="H249" s="16"/>
    </row>
    <row r="252">
      <c r="B252" s="3" t="s">
        <v>1</v>
      </c>
      <c r="C252" s="4" t="s">
        <v>25</v>
      </c>
      <c r="D252" s="4" t="s">
        <v>26</v>
      </c>
      <c r="E252" s="4" t="s">
        <v>27</v>
      </c>
      <c r="F252" s="4" t="s">
        <v>2</v>
      </c>
      <c r="G252" s="4" t="s">
        <v>3</v>
      </c>
      <c r="H252" s="134" t="s">
        <v>232</v>
      </c>
    </row>
    <row r="253">
      <c r="B253" s="9"/>
      <c r="C253" s="10" t="s">
        <v>385</v>
      </c>
      <c r="D253" s="10" t="s">
        <v>386</v>
      </c>
      <c r="E253" s="10" t="s">
        <v>387</v>
      </c>
      <c r="F253" s="10" t="s">
        <v>388</v>
      </c>
      <c r="G253" s="10" t="s">
        <v>389</v>
      </c>
      <c r="H253" s="10" t="s">
        <v>390</v>
      </c>
    </row>
    <row r="254">
      <c r="B254" s="11" t="s">
        <v>6</v>
      </c>
      <c r="C254" s="143" t="s">
        <v>224</v>
      </c>
      <c r="D254" s="143" t="s">
        <v>224</v>
      </c>
      <c r="E254" s="143" t="s">
        <v>224</v>
      </c>
      <c r="F254" s="143" t="s">
        <v>224</v>
      </c>
      <c r="G254" s="143" t="s">
        <v>224</v>
      </c>
      <c r="H254" s="16"/>
    </row>
    <row r="255">
      <c r="B255" s="104" t="s">
        <v>8</v>
      </c>
      <c r="C255" s="99" t="s">
        <v>391</v>
      </c>
      <c r="D255" s="178" t="s">
        <v>392</v>
      </c>
      <c r="E255" s="92" t="s">
        <v>393</v>
      </c>
      <c r="F255" s="92" t="s">
        <v>394</v>
      </c>
      <c r="G255" s="160" t="s">
        <v>395</v>
      </c>
      <c r="H255" s="16"/>
    </row>
    <row r="256">
      <c r="B256" s="55" t="s">
        <v>78</v>
      </c>
      <c r="C256" s="126" t="s">
        <v>396</v>
      </c>
      <c r="D256" s="143" t="s">
        <v>224</v>
      </c>
      <c r="E256" s="143" t="s">
        <v>224</v>
      </c>
      <c r="F256" s="138" t="s">
        <v>397</v>
      </c>
      <c r="G256" s="143" t="s">
        <v>224</v>
      </c>
      <c r="H256" s="176"/>
    </row>
    <row r="257">
      <c r="B257" s="128" t="s">
        <v>398</v>
      </c>
      <c r="C257" s="99" t="s">
        <v>399</v>
      </c>
      <c r="D257" s="138" t="s">
        <v>400</v>
      </c>
      <c r="E257" s="138" t="s">
        <v>400</v>
      </c>
      <c r="F257" s="138" t="s">
        <v>400</v>
      </c>
      <c r="G257" s="15" t="s">
        <v>33</v>
      </c>
      <c r="H257" s="16"/>
      <c r="J257" s="1"/>
    </row>
    <row r="258" ht="18.0" customHeight="1">
      <c r="B258" s="55" t="s">
        <v>17</v>
      </c>
      <c r="C258" s="115" t="s">
        <v>401</v>
      </c>
      <c r="D258" s="135" t="s">
        <v>402</v>
      </c>
      <c r="E258" s="92" t="s">
        <v>393</v>
      </c>
      <c r="F258" s="92" t="s">
        <v>394</v>
      </c>
      <c r="G258" s="115" t="s">
        <v>395</v>
      </c>
      <c r="H258" s="16"/>
    </row>
    <row r="259">
      <c r="B259" s="36" t="s">
        <v>255</v>
      </c>
      <c r="C259" s="143" t="s">
        <v>224</v>
      </c>
      <c r="D259" s="143" t="s">
        <v>224</v>
      </c>
      <c r="E259" s="143" t="s">
        <v>224</v>
      </c>
      <c r="F259" s="179" t="s">
        <v>403</v>
      </c>
      <c r="G259" s="171" t="s">
        <v>404</v>
      </c>
      <c r="H259" s="16"/>
      <c r="J259" s="173" t="s">
        <v>403</v>
      </c>
    </row>
    <row r="260">
      <c r="B260" s="120" t="s">
        <v>14</v>
      </c>
      <c r="C260" s="115" t="s">
        <v>401</v>
      </c>
      <c r="D260" s="135" t="s">
        <v>402</v>
      </c>
      <c r="E260" s="180" t="s">
        <v>405</v>
      </c>
      <c r="F260" s="115" t="s">
        <v>403</v>
      </c>
      <c r="G260" s="143" t="s">
        <v>224</v>
      </c>
      <c r="H260" s="16"/>
    </row>
    <row r="261">
      <c r="B261" s="120" t="s">
        <v>406</v>
      </c>
      <c r="C261" s="129" t="s">
        <v>372</v>
      </c>
      <c r="D261" s="171" t="s">
        <v>404</v>
      </c>
      <c r="E261" s="171" t="s">
        <v>404</v>
      </c>
      <c r="F261" s="171" t="s">
        <v>404</v>
      </c>
      <c r="G261" s="171" t="s">
        <v>404</v>
      </c>
      <c r="H261" s="16"/>
    </row>
    <row r="262">
      <c r="B262" s="37" t="s">
        <v>407</v>
      </c>
      <c r="C262" s="143" t="s">
        <v>224</v>
      </c>
      <c r="D262" s="181" t="s">
        <v>408</v>
      </c>
      <c r="E262" s="171" t="s">
        <v>404</v>
      </c>
      <c r="F262" s="171" t="s">
        <v>404</v>
      </c>
      <c r="G262" s="171" t="s">
        <v>404</v>
      </c>
      <c r="H262" s="72"/>
      <c r="J262" s="1" t="s">
        <v>409</v>
      </c>
    </row>
    <row r="263" ht="29.25" customHeight="1">
      <c r="B263" s="131" t="s">
        <v>410</v>
      </c>
      <c r="C263" s="182" t="s">
        <v>411</v>
      </c>
      <c r="D263" s="181" t="s">
        <v>408</v>
      </c>
      <c r="E263" s="171" t="s">
        <v>404</v>
      </c>
      <c r="F263" s="171" t="s">
        <v>412</v>
      </c>
      <c r="G263" s="181" t="s">
        <v>413</v>
      </c>
      <c r="H263" s="72"/>
    </row>
    <row r="264">
      <c r="B264" s="37" t="s">
        <v>414</v>
      </c>
      <c r="C264" s="143" t="s">
        <v>224</v>
      </c>
      <c r="D264" s="143" t="s">
        <v>224</v>
      </c>
      <c r="E264" s="143" t="s">
        <v>224</v>
      </c>
      <c r="F264" s="143" t="s">
        <v>224</v>
      </c>
      <c r="G264" s="143" t="s">
        <v>224</v>
      </c>
      <c r="H264" s="72"/>
    </row>
    <row r="265">
      <c r="B265" s="55" t="s">
        <v>44</v>
      </c>
      <c r="C265" s="21" t="s">
        <v>38</v>
      </c>
      <c r="D265" s="21" t="s">
        <v>38</v>
      </c>
      <c r="E265" s="124" t="s">
        <v>415</v>
      </c>
      <c r="F265" s="124" t="s">
        <v>415</v>
      </c>
      <c r="G265" s="124" t="s">
        <v>415</v>
      </c>
      <c r="H265" s="72"/>
    </row>
    <row r="266">
      <c r="B266" s="38" t="s">
        <v>23</v>
      </c>
      <c r="C266" s="21" t="s">
        <v>38</v>
      </c>
      <c r="D266" s="21" t="s">
        <v>38</v>
      </c>
      <c r="E266" s="21" t="s">
        <v>38</v>
      </c>
      <c r="F266" s="21" t="s">
        <v>38</v>
      </c>
      <c r="G266" s="21" t="s">
        <v>38</v>
      </c>
      <c r="H266" s="72"/>
    </row>
    <row r="267">
      <c r="B267" s="22" t="s">
        <v>12</v>
      </c>
      <c r="C267" s="45"/>
      <c r="D267" s="45"/>
      <c r="E267" s="23"/>
      <c r="F267" s="23"/>
      <c r="G267" s="183"/>
      <c r="H267" s="16"/>
    </row>
    <row r="270">
      <c r="B270" s="3" t="s">
        <v>1</v>
      </c>
      <c r="C270" s="4" t="s">
        <v>25</v>
      </c>
      <c r="D270" s="4" t="s">
        <v>26</v>
      </c>
      <c r="E270" s="4" t="s">
        <v>27</v>
      </c>
      <c r="F270" s="4" t="s">
        <v>2</v>
      </c>
      <c r="G270" s="4" t="s">
        <v>3</v>
      </c>
      <c r="H270" s="134" t="s">
        <v>232</v>
      </c>
    </row>
    <row r="271">
      <c r="B271" s="9"/>
      <c r="C271" s="10" t="s">
        <v>416</v>
      </c>
      <c r="D271" s="10" t="s">
        <v>417</v>
      </c>
      <c r="E271" s="10" t="s">
        <v>418</v>
      </c>
      <c r="F271" s="10" t="s">
        <v>419</v>
      </c>
      <c r="G271" s="10" t="s">
        <v>420</v>
      </c>
      <c r="H271" s="10"/>
    </row>
    <row r="272">
      <c r="B272" s="11" t="s">
        <v>6</v>
      </c>
      <c r="C272" s="143" t="s">
        <v>224</v>
      </c>
      <c r="D272" s="143" t="s">
        <v>224</v>
      </c>
      <c r="E272" s="154" t="s">
        <v>224</v>
      </c>
      <c r="F272" s="135" t="s">
        <v>421</v>
      </c>
      <c r="G272" s="184" t="s">
        <v>422</v>
      </c>
      <c r="H272" s="16"/>
    </row>
    <row r="273">
      <c r="B273" s="104" t="s">
        <v>8</v>
      </c>
      <c r="C273" s="185" t="s">
        <v>423</v>
      </c>
      <c r="D273" s="185" t="s">
        <v>423</v>
      </c>
      <c r="E273" s="115" t="s">
        <v>424</v>
      </c>
      <c r="F273" s="107" t="s">
        <v>425</v>
      </c>
      <c r="G273" s="164"/>
      <c r="H273" s="16"/>
    </row>
    <row r="274">
      <c r="B274" s="55" t="s">
        <v>78</v>
      </c>
      <c r="C274" s="56" t="s">
        <v>426</v>
      </c>
      <c r="D274" s="171" t="s">
        <v>404</v>
      </c>
      <c r="E274" s="171" t="s">
        <v>404</v>
      </c>
      <c r="F274" s="171" t="s">
        <v>404</v>
      </c>
      <c r="G274" s="164"/>
      <c r="H274" s="176"/>
    </row>
    <row r="275">
      <c r="B275" s="128" t="s">
        <v>427</v>
      </c>
      <c r="C275" s="181" t="s">
        <v>428</v>
      </c>
      <c r="D275" s="138" t="s">
        <v>224</v>
      </c>
      <c r="E275" s="154" t="s">
        <v>224</v>
      </c>
      <c r="F275" s="154" t="s">
        <v>224</v>
      </c>
      <c r="G275" s="164"/>
      <c r="H275" s="16"/>
      <c r="J275" s="1"/>
    </row>
    <row r="276" ht="18.0" customHeight="1">
      <c r="B276" s="55" t="s">
        <v>17</v>
      </c>
      <c r="C276" s="126" t="s">
        <v>429</v>
      </c>
      <c r="D276" s="154" t="s">
        <v>224</v>
      </c>
      <c r="E276" s="115" t="s">
        <v>424</v>
      </c>
      <c r="F276" s="154" t="s">
        <v>430</v>
      </c>
      <c r="G276" s="164"/>
      <c r="H276" s="16"/>
    </row>
    <row r="277">
      <c r="B277" s="36" t="s">
        <v>255</v>
      </c>
      <c r="C277" s="171" t="s">
        <v>404</v>
      </c>
      <c r="D277" s="171" t="s">
        <v>404</v>
      </c>
      <c r="E277" s="171" t="s">
        <v>431</v>
      </c>
      <c r="F277" s="171" t="s">
        <v>404</v>
      </c>
      <c r="G277" s="164"/>
      <c r="H277" s="16"/>
      <c r="J277" s="173" t="s">
        <v>403</v>
      </c>
    </row>
    <row r="278">
      <c r="B278" s="120" t="s">
        <v>14</v>
      </c>
      <c r="C278" s="126" t="s">
        <v>429</v>
      </c>
      <c r="D278" s="143" t="s">
        <v>224</v>
      </c>
      <c r="E278" s="154" t="s">
        <v>224</v>
      </c>
      <c r="F278" s="56" t="s">
        <v>430</v>
      </c>
      <c r="G278" s="164"/>
      <c r="H278" s="16"/>
    </row>
    <row r="279">
      <c r="B279" s="120" t="s">
        <v>406</v>
      </c>
      <c r="C279" s="171" t="s">
        <v>404</v>
      </c>
      <c r="D279" s="171" t="s">
        <v>404</v>
      </c>
      <c r="E279" s="171" t="s">
        <v>404</v>
      </c>
      <c r="F279" s="171" t="s">
        <v>404</v>
      </c>
      <c r="G279" s="164"/>
      <c r="H279" s="16"/>
    </row>
    <row r="280" ht="19.5" customHeight="1">
      <c r="B280" s="131" t="s">
        <v>410</v>
      </c>
      <c r="C280" s="171" t="s">
        <v>404</v>
      </c>
      <c r="D280" s="171" t="s">
        <v>404</v>
      </c>
      <c r="E280" s="171" t="s">
        <v>404</v>
      </c>
      <c r="F280" s="171" t="s">
        <v>404</v>
      </c>
      <c r="G280" s="164"/>
      <c r="H280" s="72"/>
    </row>
    <row r="281">
      <c r="B281" s="37" t="s">
        <v>432</v>
      </c>
      <c r="C281" s="143" t="s">
        <v>224</v>
      </c>
      <c r="D281" s="143" t="s">
        <v>224</v>
      </c>
      <c r="E281" s="143" t="s">
        <v>224</v>
      </c>
      <c r="F281" s="143" t="s">
        <v>224</v>
      </c>
      <c r="G281" s="164"/>
      <c r="H281" s="72"/>
    </row>
    <row r="282">
      <c r="B282" s="55" t="s">
        <v>44</v>
      </c>
      <c r="C282" s="124" t="s">
        <v>415</v>
      </c>
      <c r="D282" s="186"/>
      <c r="E282" s="172"/>
      <c r="F282" s="172"/>
      <c r="G282" s="164"/>
      <c r="H282" s="72"/>
    </row>
    <row r="283">
      <c r="B283" s="38" t="s">
        <v>23</v>
      </c>
      <c r="C283" s="21" t="s">
        <v>38</v>
      </c>
      <c r="D283" s="186"/>
      <c r="E283" s="186"/>
      <c r="F283" s="186"/>
      <c r="G283" s="164"/>
      <c r="H283" s="72"/>
    </row>
    <row r="284">
      <c r="B284" s="22" t="s">
        <v>12</v>
      </c>
      <c r="C284" s="187"/>
      <c r="D284" s="45" t="s">
        <v>433</v>
      </c>
      <c r="E284" s="107" t="s">
        <v>434</v>
      </c>
      <c r="F284" s="188"/>
      <c r="G284" s="169"/>
      <c r="H284" s="16"/>
    </row>
    <row r="285" ht="15.75" customHeight="1"/>
    <row r="286" ht="15.75" customHeight="1"/>
    <row r="287">
      <c r="B287" s="3" t="s">
        <v>1</v>
      </c>
      <c r="C287" s="4" t="s">
        <v>25</v>
      </c>
      <c r="D287" s="4" t="s">
        <v>26</v>
      </c>
      <c r="E287" s="4" t="s">
        <v>27</v>
      </c>
      <c r="F287" s="4" t="s">
        <v>2</v>
      </c>
      <c r="G287" s="4" t="s">
        <v>3</v>
      </c>
      <c r="H287" s="134" t="s">
        <v>232</v>
      </c>
    </row>
    <row r="288">
      <c r="B288" s="9"/>
      <c r="C288" s="10" t="s">
        <v>435</v>
      </c>
      <c r="D288" s="10" t="s">
        <v>436</v>
      </c>
      <c r="E288" s="10" t="s">
        <v>437</v>
      </c>
      <c r="F288" s="10" t="s">
        <v>438</v>
      </c>
      <c r="G288" s="10" t="s">
        <v>439</v>
      </c>
      <c r="H288" s="10"/>
    </row>
    <row r="289">
      <c r="B289" s="11" t="s">
        <v>6</v>
      </c>
      <c r="C289" s="143" t="s">
        <v>224</v>
      </c>
      <c r="D289" s="143" t="s">
        <v>440</v>
      </c>
      <c r="E289" s="56" t="s">
        <v>441</v>
      </c>
      <c r="F289" s="56" t="s">
        <v>441</v>
      </c>
      <c r="G289" s="115" t="s">
        <v>442</v>
      </c>
      <c r="H289" s="16"/>
    </row>
    <row r="290">
      <c r="B290" s="104" t="s">
        <v>443</v>
      </c>
      <c r="C290" s="189" t="s">
        <v>444</v>
      </c>
      <c r="D290" s="189" t="s">
        <v>444</v>
      </c>
      <c r="E290" s="115" t="s">
        <v>445</v>
      </c>
      <c r="F290" s="94" t="s">
        <v>446</v>
      </c>
      <c r="G290" s="143" t="s">
        <v>224</v>
      </c>
      <c r="H290" s="16"/>
    </row>
    <row r="291">
      <c r="B291" s="55" t="s">
        <v>78</v>
      </c>
      <c r="C291" s="171" t="s">
        <v>404</v>
      </c>
      <c r="D291" s="171" t="s">
        <v>404</v>
      </c>
      <c r="E291" s="190" t="s">
        <v>447</v>
      </c>
      <c r="F291" s="56" t="s">
        <v>397</v>
      </c>
      <c r="G291" s="56" t="s">
        <v>397</v>
      </c>
      <c r="H291" s="16"/>
    </row>
    <row r="292">
      <c r="B292" s="128" t="s">
        <v>448</v>
      </c>
      <c r="C292" s="143" t="s">
        <v>449</v>
      </c>
      <c r="D292" s="143" t="s">
        <v>449</v>
      </c>
      <c r="E292" s="143" t="s">
        <v>449</v>
      </c>
      <c r="F292" s="143" t="s">
        <v>449</v>
      </c>
      <c r="G292" s="143" t="s">
        <v>449</v>
      </c>
      <c r="H292" s="16"/>
    </row>
    <row r="293">
      <c r="B293" s="55" t="s">
        <v>17</v>
      </c>
      <c r="C293" s="56" t="s">
        <v>430</v>
      </c>
      <c r="D293" s="143" t="s">
        <v>224</v>
      </c>
      <c r="E293" s="56" t="s">
        <v>441</v>
      </c>
      <c r="F293" s="56" t="s">
        <v>441</v>
      </c>
      <c r="G293" s="45" t="s">
        <v>450</v>
      </c>
      <c r="H293" s="16"/>
    </row>
    <row r="294">
      <c r="B294" s="36" t="s">
        <v>255</v>
      </c>
      <c r="C294" s="171" t="s">
        <v>451</v>
      </c>
      <c r="D294" s="143" t="s">
        <v>224</v>
      </c>
      <c r="E294" s="181" t="s">
        <v>452</v>
      </c>
      <c r="F294" s="52" t="s">
        <v>453</v>
      </c>
      <c r="G294" s="115" t="s">
        <v>442</v>
      </c>
      <c r="H294" s="16"/>
    </row>
    <row r="295">
      <c r="B295" s="120" t="s">
        <v>454</v>
      </c>
      <c r="C295" s="56" t="s">
        <v>430</v>
      </c>
      <c r="D295" s="191" t="s">
        <v>455</v>
      </c>
      <c r="E295" s="192" t="s">
        <v>456</v>
      </c>
      <c r="F295" s="154" t="s">
        <v>446</v>
      </c>
      <c r="G295" s="143" t="s">
        <v>224</v>
      </c>
      <c r="H295" s="16"/>
    </row>
    <row r="296">
      <c r="B296" s="120" t="s">
        <v>406</v>
      </c>
      <c r="C296" s="171" t="s">
        <v>404</v>
      </c>
      <c r="D296" s="171" t="s">
        <v>404</v>
      </c>
      <c r="E296" s="171" t="s">
        <v>404</v>
      </c>
      <c r="F296" s="124" t="s">
        <v>444</v>
      </c>
      <c r="G296" s="124" t="s">
        <v>444</v>
      </c>
      <c r="H296" s="16"/>
    </row>
    <row r="297">
      <c r="B297" s="131" t="s">
        <v>410</v>
      </c>
      <c r="C297" s="171" t="s">
        <v>404</v>
      </c>
      <c r="D297" s="171" t="s">
        <v>404</v>
      </c>
      <c r="E297" s="171" t="s">
        <v>404</v>
      </c>
      <c r="F297" s="171" t="s">
        <v>404</v>
      </c>
      <c r="G297" s="171" t="s">
        <v>404</v>
      </c>
      <c r="H297" s="72"/>
    </row>
    <row r="298">
      <c r="B298" s="37" t="s">
        <v>457</v>
      </c>
      <c r="C298" s="143" t="s">
        <v>224</v>
      </c>
      <c r="D298" s="143" t="s">
        <v>224</v>
      </c>
      <c r="E298" s="143" t="s">
        <v>224</v>
      </c>
      <c r="F298" s="143" t="s">
        <v>224</v>
      </c>
      <c r="G298" s="143" t="s">
        <v>458</v>
      </c>
      <c r="H298" s="72"/>
      <c r="I298" s="1" t="s">
        <v>459</v>
      </c>
    </row>
    <row r="299">
      <c r="B299" s="55" t="s">
        <v>44</v>
      </c>
      <c r="C299" s="39"/>
      <c r="D299" s="21"/>
      <c r="E299" s="39"/>
      <c r="F299" s="39"/>
      <c r="G299" s="45"/>
      <c r="H299" s="72"/>
    </row>
    <row r="300">
      <c r="B300" s="38" t="s">
        <v>23</v>
      </c>
      <c r="C300" s="21"/>
      <c r="D300" s="21"/>
      <c r="E300" s="21"/>
      <c r="F300" s="21"/>
      <c r="G300" s="45"/>
      <c r="H300" s="72"/>
    </row>
    <row r="301">
      <c r="B301" s="22" t="s">
        <v>12</v>
      </c>
      <c r="C301" s="45"/>
      <c r="D301" s="45"/>
      <c r="E301" s="45"/>
      <c r="F301" s="23"/>
      <c r="G301" s="45"/>
      <c r="H301" s="16"/>
    </row>
    <row r="304">
      <c r="B304" s="3" t="s">
        <v>1</v>
      </c>
      <c r="C304" s="4" t="s">
        <v>25</v>
      </c>
      <c r="D304" s="4" t="s">
        <v>26</v>
      </c>
      <c r="E304" s="4" t="s">
        <v>27</v>
      </c>
      <c r="F304" s="4" t="s">
        <v>2</v>
      </c>
      <c r="G304" s="4" t="s">
        <v>3</v>
      </c>
      <c r="H304" s="134" t="s">
        <v>232</v>
      </c>
    </row>
    <row r="305">
      <c r="B305" s="9"/>
      <c r="C305" s="10" t="s">
        <v>460</v>
      </c>
      <c r="D305" s="10" t="s">
        <v>461</v>
      </c>
      <c r="E305" s="10" t="s">
        <v>462</v>
      </c>
      <c r="F305" s="10" t="s">
        <v>463</v>
      </c>
      <c r="G305" s="10" t="s">
        <v>464</v>
      </c>
      <c r="H305" s="10"/>
    </row>
    <row r="306">
      <c r="B306" s="11" t="s">
        <v>6</v>
      </c>
      <c r="C306" s="143" t="s">
        <v>224</v>
      </c>
      <c r="D306" s="143" t="s">
        <v>224</v>
      </c>
      <c r="E306" s="135" t="s">
        <v>465</v>
      </c>
      <c r="F306" s="143" t="s">
        <v>224</v>
      </c>
      <c r="G306" s="45" t="s">
        <v>466</v>
      </c>
      <c r="H306" s="16"/>
    </row>
    <row r="307">
      <c r="B307" s="104" t="s">
        <v>8</v>
      </c>
      <c r="C307" s="154" t="s">
        <v>467</v>
      </c>
      <c r="D307" s="145" t="s">
        <v>468</v>
      </c>
      <c r="E307" s="45" t="s">
        <v>469</v>
      </c>
      <c r="F307" s="185" t="s">
        <v>423</v>
      </c>
      <c r="G307" s="107" t="s">
        <v>470</v>
      </c>
      <c r="H307" s="16"/>
    </row>
    <row r="308">
      <c r="B308" s="55" t="s">
        <v>471</v>
      </c>
      <c r="C308" s="129" t="s">
        <v>472</v>
      </c>
      <c r="D308" s="143" t="s">
        <v>473</v>
      </c>
      <c r="E308" s="143" t="s">
        <v>473</v>
      </c>
      <c r="F308" s="143" t="s">
        <v>473</v>
      </c>
      <c r="G308" s="193" t="s">
        <v>220</v>
      </c>
      <c r="H308" s="129" t="s">
        <v>472</v>
      </c>
    </row>
    <row r="309">
      <c r="B309" s="165" t="s">
        <v>474</v>
      </c>
      <c r="C309" s="129" t="s">
        <v>472</v>
      </c>
      <c r="D309" s="143" t="s">
        <v>224</v>
      </c>
      <c r="E309" s="194" t="s">
        <v>475</v>
      </c>
      <c r="F309" s="171" t="s">
        <v>476</v>
      </c>
      <c r="G309" s="171" t="s">
        <v>476</v>
      </c>
      <c r="H309" s="16"/>
    </row>
    <row r="310">
      <c r="B310" s="128" t="s">
        <v>448</v>
      </c>
      <c r="C310" s="143" t="s">
        <v>449</v>
      </c>
      <c r="D310" s="143" t="s">
        <v>449</v>
      </c>
      <c r="E310" s="143" t="s">
        <v>449</v>
      </c>
      <c r="F310" s="143" t="s">
        <v>449</v>
      </c>
      <c r="G310" s="143" t="s">
        <v>449</v>
      </c>
      <c r="H310" s="16"/>
    </row>
    <row r="311">
      <c r="B311" s="55" t="s">
        <v>17</v>
      </c>
      <c r="C311" s="143" t="s">
        <v>224</v>
      </c>
      <c r="D311" s="115" t="s">
        <v>477</v>
      </c>
      <c r="E311" s="115" t="s">
        <v>478</v>
      </c>
      <c r="F311" s="115" t="s">
        <v>477</v>
      </c>
      <c r="G311" s="92" t="s">
        <v>479</v>
      </c>
      <c r="H311" s="16"/>
    </row>
    <row r="312">
      <c r="B312" s="36" t="s">
        <v>255</v>
      </c>
      <c r="C312" s="106" t="s">
        <v>480</v>
      </c>
      <c r="D312" s="143" t="s">
        <v>224</v>
      </c>
      <c r="E312" s="194" t="s">
        <v>475</v>
      </c>
      <c r="F312" s="124" t="s">
        <v>481</v>
      </c>
      <c r="G312" s="171" t="s">
        <v>476</v>
      </c>
      <c r="H312" s="16"/>
    </row>
    <row r="313">
      <c r="B313" s="120" t="s">
        <v>14</v>
      </c>
      <c r="C313" s="143" t="s">
        <v>449</v>
      </c>
      <c r="D313" s="135" t="s">
        <v>477</v>
      </c>
      <c r="E313" s="143" t="s">
        <v>449</v>
      </c>
      <c r="F313" s="143" t="s">
        <v>449</v>
      </c>
      <c r="G313" s="143" t="s">
        <v>449</v>
      </c>
      <c r="H313" s="16"/>
    </row>
    <row r="314">
      <c r="B314" s="120" t="s">
        <v>482</v>
      </c>
      <c r="C314" s="124" t="s">
        <v>444</v>
      </c>
      <c r="D314" s="143" t="s">
        <v>224</v>
      </c>
      <c r="E314" s="194" t="s">
        <v>475</v>
      </c>
      <c r="F314" s="171" t="s">
        <v>476</v>
      </c>
      <c r="G314" s="171" t="s">
        <v>476</v>
      </c>
      <c r="H314" s="16"/>
    </row>
    <row r="315">
      <c r="B315" s="131" t="s">
        <v>410</v>
      </c>
      <c r="C315" s="182" t="s">
        <v>483</v>
      </c>
      <c r="D315" s="143" t="s">
        <v>224</v>
      </c>
      <c r="E315" s="143" t="s">
        <v>224</v>
      </c>
      <c r="F315" s="39" t="s">
        <v>220</v>
      </c>
      <c r="G315" s="143" t="s">
        <v>224</v>
      </c>
      <c r="H315" s="72"/>
    </row>
    <row r="316">
      <c r="B316" s="37" t="s">
        <v>457</v>
      </c>
      <c r="C316" s="143" t="s">
        <v>224</v>
      </c>
      <c r="D316" s="143" t="s">
        <v>224</v>
      </c>
      <c r="E316" s="143" t="s">
        <v>224</v>
      </c>
      <c r="F316" s="143" t="s">
        <v>224</v>
      </c>
      <c r="G316" s="143" t="s">
        <v>484</v>
      </c>
      <c r="H316" s="72"/>
    </row>
    <row r="317">
      <c r="B317" s="55" t="s">
        <v>44</v>
      </c>
      <c r="C317" s="39"/>
      <c r="D317" s="39"/>
      <c r="E317" s="124" t="s">
        <v>351</v>
      </c>
      <c r="F317" s="168"/>
      <c r="G317" s="168"/>
      <c r="H317" s="72"/>
    </row>
    <row r="318">
      <c r="B318" s="38" t="s">
        <v>23</v>
      </c>
      <c r="C318" s="154" t="s">
        <v>467</v>
      </c>
      <c r="D318" s="21" t="s">
        <v>38</v>
      </c>
      <c r="E318" s="92"/>
      <c r="F318" s="99" t="s">
        <v>485</v>
      </c>
      <c r="G318" s="45"/>
      <c r="H318" s="72"/>
    </row>
    <row r="319">
      <c r="B319" s="22" t="s">
        <v>12</v>
      </c>
      <c r="C319" s="56" t="s">
        <v>486</v>
      </c>
      <c r="D319" s="143" t="s">
        <v>473</v>
      </c>
      <c r="E319" s="143" t="s">
        <v>473</v>
      </c>
      <c r="F319" s="143" t="s">
        <v>473</v>
      </c>
      <c r="G319" s="107" t="s">
        <v>487</v>
      </c>
      <c r="H319" s="16"/>
    </row>
    <row r="322">
      <c r="B322" s="3" t="s">
        <v>1</v>
      </c>
      <c r="C322" s="4" t="s">
        <v>25</v>
      </c>
      <c r="D322" s="4" t="s">
        <v>26</v>
      </c>
      <c r="E322" s="4" t="s">
        <v>27</v>
      </c>
      <c r="F322" s="4" t="s">
        <v>2</v>
      </c>
      <c r="G322" s="4" t="s">
        <v>3</v>
      </c>
      <c r="H322" s="134" t="s">
        <v>232</v>
      </c>
    </row>
    <row r="323">
      <c r="B323" s="9"/>
      <c r="C323" s="10" t="s">
        <v>488</v>
      </c>
      <c r="D323" s="10" t="s">
        <v>489</v>
      </c>
      <c r="E323" s="10" t="s">
        <v>490</v>
      </c>
      <c r="F323" s="10" t="s">
        <v>491</v>
      </c>
      <c r="G323" s="10" t="s">
        <v>492</v>
      </c>
      <c r="H323" s="10"/>
    </row>
    <row r="324">
      <c r="B324" s="11" t="s">
        <v>6</v>
      </c>
      <c r="C324" s="180" t="s">
        <v>493</v>
      </c>
      <c r="D324" s="195" t="s">
        <v>494</v>
      </c>
      <c r="E324" s="189" t="s">
        <v>375</v>
      </c>
      <c r="F324" s="189" t="s">
        <v>375</v>
      </c>
      <c r="G324" s="115" t="s">
        <v>495</v>
      </c>
      <c r="H324" s="16"/>
    </row>
    <row r="325">
      <c r="B325" s="104" t="s">
        <v>443</v>
      </c>
      <c r="C325" s="92" t="s">
        <v>496</v>
      </c>
      <c r="D325" s="189" t="s">
        <v>34</v>
      </c>
      <c r="E325" s="126" t="s">
        <v>497</v>
      </c>
      <c r="F325" s="126" t="s">
        <v>444</v>
      </c>
      <c r="G325" s="126" t="s">
        <v>444</v>
      </c>
      <c r="H325" s="16"/>
    </row>
    <row r="326">
      <c r="B326" s="55" t="s">
        <v>498</v>
      </c>
      <c r="C326" s="143" t="s">
        <v>499</v>
      </c>
      <c r="D326" s="143" t="s">
        <v>499</v>
      </c>
      <c r="E326" s="143" t="s">
        <v>499</v>
      </c>
      <c r="F326" s="56" t="s">
        <v>500</v>
      </c>
      <c r="G326" s="143" t="s">
        <v>501</v>
      </c>
      <c r="H326" s="176"/>
    </row>
    <row r="327">
      <c r="B327" s="128" t="s">
        <v>448</v>
      </c>
      <c r="C327" s="143" t="s">
        <v>449</v>
      </c>
      <c r="D327" s="143" t="s">
        <v>449</v>
      </c>
      <c r="E327" s="143" t="s">
        <v>449</v>
      </c>
      <c r="F327" s="143" t="s">
        <v>449</v>
      </c>
      <c r="G327" s="143" t="s">
        <v>449</v>
      </c>
      <c r="H327" s="16"/>
    </row>
    <row r="328">
      <c r="B328" s="55" t="s">
        <v>17</v>
      </c>
      <c r="C328" s="92" t="s">
        <v>502</v>
      </c>
      <c r="D328" s="115" t="s">
        <v>494</v>
      </c>
      <c r="E328" s="143" t="s">
        <v>224</v>
      </c>
      <c r="F328" s="115" t="s">
        <v>503</v>
      </c>
      <c r="G328" s="115" t="s">
        <v>503</v>
      </c>
      <c r="H328" s="16"/>
    </row>
    <row r="329">
      <c r="B329" s="36" t="s">
        <v>255</v>
      </c>
      <c r="C329" s="143" t="s">
        <v>224</v>
      </c>
      <c r="D329" s="143" t="s">
        <v>224</v>
      </c>
      <c r="E329" s="126" t="s">
        <v>497</v>
      </c>
      <c r="F329" s="126" t="s">
        <v>497</v>
      </c>
      <c r="G329" s="115" t="s">
        <v>495</v>
      </c>
      <c r="H329" s="16"/>
    </row>
    <row r="330">
      <c r="B330" s="120" t="s">
        <v>454</v>
      </c>
      <c r="C330" s="143" t="s">
        <v>449</v>
      </c>
      <c r="D330" s="92" t="s">
        <v>496</v>
      </c>
      <c r="E330" s="19" t="s">
        <v>504</v>
      </c>
      <c r="F330" s="56" t="s">
        <v>505</v>
      </c>
      <c r="G330" s="56" t="s">
        <v>505</v>
      </c>
      <c r="H330" s="16"/>
    </row>
    <row r="331">
      <c r="B331" s="120" t="s">
        <v>482</v>
      </c>
      <c r="C331" s="106" t="s">
        <v>506</v>
      </c>
      <c r="D331" s="106" t="s">
        <v>506</v>
      </c>
      <c r="E331" s="106" t="s">
        <v>506</v>
      </c>
      <c r="F331" s="106" t="s">
        <v>506</v>
      </c>
      <c r="G331" s="106" t="s">
        <v>506</v>
      </c>
      <c r="H331" s="16"/>
    </row>
    <row r="332">
      <c r="B332" s="131" t="s">
        <v>410</v>
      </c>
      <c r="C332" s="143" t="s">
        <v>224</v>
      </c>
      <c r="D332" s="143" t="s">
        <v>224</v>
      </c>
      <c r="E332" s="143" t="s">
        <v>224</v>
      </c>
      <c r="F332" s="143" t="s">
        <v>224</v>
      </c>
      <c r="G332" s="143" t="s">
        <v>224</v>
      </c>
      <c r="H332" s="72"/>
    </row>
    <row r="333">
      <c r="B333" s="37" t="s">
        <v>457</v>
      </c>
      <c r="C333" s="143" t="s">
        <v>484</v>
      </c>
      <c r="D333" s="143" t="s">
        <v>224</v>
      </c>
      <c r="E333" s="143" t="s">
        <v>507</v>
      </c>
      <c r="F333" s="143" t="s">
        <v>224</v>
      </c>
      <c r="G333" s="143" t="s">
        <v>224</v>
      </c>
      <c r="H333" s="72"/>
    </row>
    <row r="334">
      <c r="B334" s="55" t="s">
        <v>44</v>
      </c>
      <c r="C334" s="39"/>
      <c r="D334" s="21"/>
      <c r="E334" s="39"/>
      <c r="F334" s="124" t="s">
        <v>508</v>
      </c>
      <c r="G334" s="124" t="s">
        <v>508</v>
      </c>
      <c r="H334" s="72"/>
    </row>
    <row r="335">
      <c r="B335" s="38" t="s">
        <v>23</v>
      </c>
      <c r="C335" s="92" t="s">
        <v>502</v>
      </c>
      <c r="D335" s="21"/>
      <c r="E335" s="21"/>
      <c r="F335" s="21"/>
      <c r="G335" s="45"/>
      <c r="H335" s="72"/>
    </row>
    <row r="336">
      <c r="B336" s="196" t="s">
        <v>509</v>
      </c>
      <c r="C336" s="56" t="s">
        <v>510</v>
      </c>
      <c r="D336" s="129" t="s">
        <v>472</v>
      </c>
      <c r="E336" s="129" t="s">
        <v>472</v>
      </c>
      <c r="F336" s="78" t="s">
        <v>511</v>
      </c>
      <c r="G336" s="143" t="s">
        <v>501</v>
      </c>
      <c r="H336" s="16"/>
    </row>
    <row r="339">
      <c r="B339" s="3" t="s">
        <v>1</v>
      </c>
      <c r="C339" s="4" t="s">
        <v>25</v>
      </c>
      <c r="D339" s="4" t="s">
        <v>26</v>
      </c>
      <c r="E339" s="4" t="s">
        <v>27</v>
      </c>
      <c r="F339" s="4" t="s">
        <v>2</v>
      </c>
      <c r="G339" s="4" t="s">
        <v>3</v>
      </c>
      <c r="H339" s="134" t="s">
        <v>232</v>
      </c>
    </row>
    <row r="340">
      <c r="B340" s="9"/>
      <c r="C340" s="10" t="s">
        <v>512</v>
      </c>
      <c r="D340" s="10" t="s">
        <v>513</v>
      </c>
      <c r="E340" s="10" t="s">
        <v>514</v>
      </c>
      <c r="F340" s="10" t="s">
        <v>515</v>
      </c>
      <c r="G340" s="10" t="s">
        <v>516</v>
      </c>
      <c r="H340" s="10"/>
    </row>
    <row r="341">
      <c r="B341" s="11" t="s">
        <v>6</v>
      </c>
      <c r="C341" s="189" t="s">
        <v>375</v>
      </c>
      <c r="D341" s="195" t="s">
        <v>517</v>
      </c>
      <c r="E341" s="189" t="s">
        <v>375</v>
      </c>
      <c r="F341" s="110" t="s">
        <v>503</v>
      </c>
      <c r="G341" s="110" t="s">
        <v>503</v>
      </c>
      <c r="H341" s="16"/>
    </row>
    <row r="342">
      <c r="B342" s="104" t="s">
        <v>8</v>
      </c>
      <c r="C342" s="115" t="s">
        <v>518</v>
      </c>
      <c r="D342" s="135" t="s">
        <v>519</v>
      </c>
      <c r="E342" s="126" t="s">
        <v>520</v>
      </c>
      <c r="F342" s="115" t="s">
        <v>521</v>
      </c>
      <c r="G342" s="115" t="s">
        <v>522</v>
      </c>
      <c r="H342" s="16"/>
    </row>
    <row r="343">
      <c r="B343" s="55" t="s">
        <v>78</v>
      </c>
      <c r="C343" s="143" t="s">
        <v>523</v>
      </c>
      <c r="D343" s="124" t="s">
        <v>524</v>
      </c>
      <c r="E343" s="129" t="s">
        <v>525</v>
      </c>
      <c r="F343" s="129" t="s">
        <v>525</v>
      </c>
      <c r="G343" s="143" t="s">
        <v>526</v>
      </c>
      <c r="H343" s="176"/>
    </row>
    <row r="344">
      <c r="B344" s="128" t="s">
        <v>527</v>
      </c>
      <c r="C344" s="143" t="s">
        <v>449</v>
      </c>
      <c r="D344" s="52" t="s">
        <v>449</v>
      </c>
      <c r="E344" s="143" t="s">
        <v>449</v>
      </c>
      <c r="F344" s="143" t="s">
        <v>449</v>
      </c>
      <c r="G344" s="143" t="s">
        <v>449</v>
      </c>
      <c r="H344" s="16"/>
    </row>
    <row r="345">
      <c r="B345" s="55" t="s">
        <v>17</v>
      </c>
      <c r="C345" s="115" t="s">
        <v>518</v>
      </c>
      <c r="D345" s="115" t="s">
        <v>503</v>
      </c>
      <c r="E345" s="115" t="s">
        <v>528</v>
      </c>
      <c r="F345" s="115" t="s">
        <v>521</v>
      </c>
      <c r="G345" s="115" t="s">
        <v>528</v>
      </c>
      <c r="H345" s="16"/>
    </row>
    <row r="346">
      <c r="B346" s="120" t="s">
        <v>255</v>
      </c>
      <c r="C346" s="197" t="s">
        <v>529</v>
      </c>
      <c r="D346" s="114" t="s">
        <v>517</v>
      </c>
      <c r="E346" s="115" t="s">
        <v>530</v>
      </c>
      <c r="F346" s="115" t="s">
        <v>531</v>
      </c>
      <c r="G346" s="198" t="s">
        <v>532</v>
      </c>
      <c r="H346" s="16"/>
    </row>
    <row r="347">
      <c r="B347" s="120" t="s">
        <v>14</v>
      </c>
      <c r="C347" s="143" t="s">
        <v>449</v>
      </c>
      <c r="D347" s="143" t="s">
        <v>449</v>
      </c>
      <c r="E347" s="143" t="s">
        <v>449</v>
      </c>
      <c r="F347" s="143" t="s">
        <v>449</v>
      </c>
      <c r="G347" s="143" t="s">
        <v>449</v>
      </c>
      <c r="H347" s="16"/>
      <c r="J347" s="1" t="s">
        <v>533</v>
      </c>
    </row>
    <row r="348">
      <c r="B348" s="120" t="s">
        <v>534</v>
      </c>
      <c r="C348" s="106" t="s">
        <v>506</v>
      </c>
      <c r="D348" s="106" t="s">
        <v>506</v>
      </c>
      <c r="E348" s="106" t="s">
        <v>506</v>
      </c>
      <c r="F348" s="106" t="s">
        <v>506</v>
      </c>
      <c r="G348" s="106" t="s">
        <v>506</v>
      </c>
      <c r="H348" s="16"/>
    </row>
    <row r="349">
      <c r="B349" s="131" t="s">
        <v>410</v>
      </c>
      <c r="C349" s="143" t="s">
        <v>224</v>
      </c>
      <c r="D349" s="143" t="s">
        <v>224</v>
      </c>
      <c r="E349" s="143" t="s">
        <v>224</v>
      </c>
      <c r="F349" s="143" t="s">
        <v>224</v>
      </c>
      <c r="G349" s="143" t="s">
        <v>224</v>
      </c>
      <c r="H349" s="72"/>
    </row>
    <row r="350">
      <c r="B350" s="37" t="s">
        <v>457</v>
      </c>
      <c r="C350" s="143" t="s">
        <v>224</v>
      </c>
      <c r="D350" s="143" t="s">
        <v>224</v>
      </c>
      <c r="E350" s="143" t="s">
        <v>224</v>
      </c>
      <c r="F350" s="143" t="s">
        <v>224</v>
      </c>
      <c r="G350" s="143" t="s">
        <v>224</v>
      </c>
      <c r="H350" s="72"/>
    </row>
    <row r="351">
      <c r="B351" s="55" t="s">
        <v>44</v>
      </c>
      <c r="C351" s="124" t="s">
        <v>508</v>
      </c>
      <c r="D351" s="124" t="s">
        <v>508</v>
      </c>
      <c r="E351" s="124" t="s">
        <v>508</v>
      </c>
      <c r="F351" s="124" t="s">
        <v>508</v>
      </c>
      <c r="G351" s="124" t="s">
        <v>508</v>
      </c>
      <c r="H351" s="72"/>
    </row>
    <row r="352">
      <c r="B352" s="38" t="s">
        <v>23</v>
      </c>
      <c r="C352" s="45"/>
      <c r="D352" s="21"/>
      <c r="E352" s="21"/>
      <c r="F352" s="21"/>
      <c r="G352" s="45"/>
      <c r="H352" s="72"/>
    </row>
    <row r="353">
      <c r="B353" s="196" t="s">
        <v>12</v>
      </c>
      <c r="C353" s="107" t="s">
        <v>535</v>
      </c>
      <c r="D353" s="78" t="s">
        <v>536</v>
      </c>
      <c r="E353" s="78"/>
      <c r="F353" s="78"/>
      <c r="G353" s="45"/>
      <c r="H353" s="16"/>
    </row>
    <row r="355">
      <c r="B355" s="3" t="s">
        <v>1</v>
      </c>
      <c r="C355" s="4" t="s">
        <v>25</v>
      </c>
      <c r="D355" s="4" t="s">
        <v>26</v>
      </c>
      <c r="E355" s="4" t="s">
        <v>27</v>
      </c>
      <c r="F355" s="4" t="s">
        <v>2</v>
      </c>
      <c r="G355" s="4" t="s">
        <v>3</v>
      </c>
      <c r="H355" s="134" t="s">
        <v>232</v>
      </c>
    </row>
    <row r="356">
      <c r="B356" s="9"/>
      <c r="C356" s="10" t="s">
        <v>537</v>
      </c>
      <c r="D356" s="10" t="s">
        <v>538</v>
      </c>
      <c r="E356" s="10" t="s">
        <v>539</v>
      </c>
      <c r="F356" s="10" t="s">
        <v>540</v>
      </c>
      <c r="G356" s="10" t="s">
        <v>541</v>
      </c>
      <c r="H356" s="10"/>
    </row>
    <row r="357">
      <c r="B357" s="11" t="s">
        <v>6</v>
      </c>
      <c r="C357" s="199" t="s">
        <v>542</v>
      </c>
      <c r="D357" s="115" t="s">
        <v>530</v>
      </c>
      <c r="E357" s="110" t="s">
        <v>503</v>
      </c>
      <c r="F357" s="115" t="s">
        <v>543</v>
      </c>
      <c r="G357" s="143" t="s">
        <v>224</v>
      </c>
      <c r="H357" s="16"/>
    </row>
    <row r="358">
      <c r="B358" s="104" t="s">
        <v>8</v>
      </c>
      <c r="C358" s="164"/>
      <c r="D358" s="200" t="s">
        <v>444</v>
      </c>
      <c r="E358" s="115" t="s">
        <v>544</v>
      </c>
      <c r="F358" s="115" t="s">
        <v>545</v>
      </c>
      <c r="G358" s="115" t="s">
        <v>528</v>
      </c>
      <c r="H358" s="16"/>
    </row>
    <row r="359">
      <c r="B359" s="55" t="s">
        <v>78</v>
      </c>
      <c r="C359" s="164"/>
      <c r="D359" s="129" t="s">
        <v>546</v>
      </c>
      <c r="E359" s="129" t="s">
        <v>546</v>
      </c>
      <c r="F359" s="129" t="s">
        <v>546</v>
      </c>
      <c r="G359" s="129" t="s">
        <v>546</v>
      </c>
      <c r="H359" s="176"/>
    </row>
    <row r="360">
      <c r="B360" s="128" t="s">
        <v>527</v>
      </c>
      <c r="C360" s="164"/>
      <c r="D360" s="143" t="s">
        <v>449</v>
      </c>
      <c r="E360" s="143" t="s">
        <v>449</v>
      </c>
      <c r="F360" s="143" t="s">
        <v>449</v>
      </c>
      <c r="G360" s="143" t="s">
        <v>449</v>
      </c>
      <c r="H360" s="16"/>
    </row>
    <row r="361">
      <c r="B361" s="55" t="s">
        <v>17</v>
      </c>
      <c r="C361" s="164"/>
      <c r="D361" s="143" t="s">
        <v>224</v>
      </c>
      <c r="E361" s="115" t="s">
        <v>544</v>
      </c>
      <c r="F361" s="45" t="s">
        <v>547</v>
      </c>
      <c r="G361" s="143" t="s">
        <v>224</v>
      </c>
      <c r="H361" s="16"/>
    </row>
    <row r="362">
      <c r="B362" s="120" t="s">
        <v>255</v>
      </c>
      <c r="C362" s="164"/>
      <c r="D362" s="115" t="s">
        <v>530</v>
      </c>
      <c r="E362" s="106" t="s">
        <v>548</v>
      </c>
      <c r="F362" s="114" t="s">
        <v>549</v>
      </c>
      <c r="G362" s="115" t="s">
        <v>530</v>
      </c>
      <c r="H362" s="16"/>
    </row>
    <row r="363">
      <c r="B363" s="120" t="s">
        <v>14</v>
      </c>
      <c r="C363" s="164"/>
      <c r="D363" s="143" t="s">
        <v>550</v>
      </c>
      <c r="E363" s="143" t="s">
        <v>449</v>
      </c>
      <c r="F363" s="143" t="s">
        <v>449</v>
      </c>
      <c r="G363" s="143" t="s">
        <v>449</v>
      </c>
      <c r="H363" s="16"/>
    </row>
    <row r="364">
      <c r="B364" s="120" t="s">
        <v>551</v>
      </c>
      <c r="C364" s="164"/>
      <c r="D364" s="106" t="s">
        <v>506</v>
      </c>
      <c r="E364" s="106" t="s">
        <v>506</v>
      </c>
      <c r="F364" s="106" t="s">
        <v>506</v>
      </c>
      <c r="G364" s="106" t="s">
        <v>506</v>
      </c>
      <c r="H364" s="16"/>
    </row>
    <row r="365">
      <c r="B365" s="131" t="s">
        <v>410</v>
      </c>
      <c r="C365" s="164"/>
      <c r="D365" s="143" t="s">
        <v>224</v>
      </c>
      <c r="E365" s="143" t="s">
        <v>224</v>
      </c>
      <c r="F365" s="143" t="s">
        <v>224</v>
      </c>
      <c r="G365" s="143" t="s">
        <v>224</v>
      </c>
      <c r="H365" s="72"/>
    </row>
    <row r="366">
      <c r="B366" s="37" t="s">
        <v>457</v>
      </c>
      <c r="C366" s="164"/>
      <c r="D366" s="143" t="s">
        <v>224</v>
      </c>
      <c r="E366" s="143" t="s">
        <v>224</v>
      </c>
      <c r="F366" s="143" t="s">
        <v>224</v>
      </c>
      <c r="G366" s="143" t="s">
        <v>224</v>
      </c>
      <c r="H366" s="72"/>
    </row>
    <row r="367">
      <c r="B367" s="55" t="s">
        <v>44</v>
      </c>
      <c r="C367" s="164"/>
      <c r="D367" s="124" t="s">
        <v>508</v>
      </c>
      <c r="E367" s="124" t="s">
        <v>508</v>
      </c>
      <c r="F367" s="114" t="s">
        <v>549</v>
      </c>
      <c r="G367" s="39" t="s">
        <v>220</v>
      </c>
      <c r="H367" s="72"/>
    </row>
    <row r="368">
      <c r="B368" s="38" t="s">
        <v>23</v>
      </c>
      <c r="C368" s="164"/>
      <c r="D368" s="99" t="s">
        <v>552</v>
      </c>
      <c r="E368" s="21" t="s">
        <v>220</v>
      </c>
      <c r="F368" s="21" t="s">
        <v>553</v>
      </c>
      <c r="G368" s="99" t="s">
        <v>554</v>
      </c>
      <c r="H368" s="72"/>
    </row>
    <row r="369">
      <c r="B369" s="196" t="s">
        <v>12</v>
      </c>
      <c r="C369" s="169"/>
      <c r="D369" s="99" t="s">
        <v>555</v>
      </c>
      <c r="E369" s="99" t="s">
        <v>536</v>
      </c>
      <c r="F369" s="99" t="s">
        <v>554</v>
      </c>
      <c r="G369" s="99" t="s">
        <v>554</v>
      </c>
      <c r="H369" s="16"/>
    </row>
    <row r="370">
      <c r="G370" s="1" t="s">
        <v>556</v>
      </c>
      <c r="Q370" s="1" t="s">
        <v>557</v>
      </c>
      <c r="R370" s="1" t="s">
        <v>558</v>
      </c>
    </row>
    <row r="372">
      <c r="B372" s="3" t="s">
        <v>1</v>
      </c>
      <c r="C372" s="4" t="s">
        <v>25</v>
      </c>
      <c r="D372" s="4" t="s">
        <v>26</v>
      </c>
      <c r="E372" s="4" t="s">
        <v>27</v>
      </c>
      <c r="F372" s="4" t="s">
        <v>2</v>
      </c>
      <c r="G372" s="4" t="s">
        <v>3</v>
      </c>
      <c r="H372" s="134" t="s">
        <v>232</v>
      </c>
    </row>
    <row r="373">
      <c r="B373" s="9"/>
      <c r="C373" s="10" t="s">
        <v>559</v>
      </c>
      <c r="D373" s="10" t="s">
        <v>560</v>
      </c>
      <c r="E373" s="10" t="s">
        <v>561</v>
      </c>
      <c r="F373" s="10" t="s">
        <v>562</v>
      </c>
      <c r="G373" s="10" t="s">
        <v>563</v>
      </c>
      <c r="H373" s="10"/>
    </row>
    <row r="374">
      <c r="B374" s="11" t="s">
        <v>6</v>
      </c>
      <c r="C374" s="114" t="s">
        <v>564</v>
      </c>
      <c r="D374" s="129" t="s">
        <v>298</v>
      </c>
      <c r="E374" s="45" t="s">
        <v>565</v>
      </c>
      <c r="F374" s="56" t="s">
        <v>566</v>
      </c>
      <c r="G374" s="115" t="s">
        <v>567</v>
      </c>
      <c r="H374" s="16"/>
    </row>
    <row r="375">
      <c r="B375" s="104" t="s">
        <v>8</v>
      </c>
      <c r="C375" s="115" t="s">
        <v>568</v>
      </c>
      <c r="D375" s="43" t="s">
        <v>449</v>
      </c>
      <c r="E375" s="43" t="s">
        <v>449</v>
      </c>
      <c r="F375" s="114" t="s">
        <v>569</v>
      </c>
      <c r="G375" s="114" t="s">
        <v>569</v>
      </c>
      <c r="H375" s="16"/>
    </row>
    <row r="376">
      <c r="B376" s="55" t="s">
        <v>78</v>
      </c>
      <c r="C376" s="129" t="s">
        <v>472</v>
      </c>
      <c r="D376" s="129" t="s">
        <v>546</v>
      </c>
      <c r="E376" s="129" t="s">
        <v>546</v>
      </c>
      <c r="F376" s="201" t="s">
        <v>282</v>
      </c>
      <c r="G376" s="201"/>
      <c r="H376" s="176"/>
    </row>
    <row r="377">
      <c r="B377" s="128" t="s">
        <v>527</v>
      </c>
      <c r="C377" s="143" t="s">
        <v>570</v>
      </c>
      <c r="D377" s="143" t="s">
        <v>449</v>
      </c>
      <c r="E377" s="143" t="s">
        <v>449</v>
      </c>
      <c r="F377" s="143" t="s">
        <v>449</v>
      </c>
      <c r="G377" s="143" t="s">
        <v>449</v>
      </c>
      <c r="H377" s="16"/>
    </row>
    <row r="378">
      <c r="B378" s="55" t="s">
        <v>17</v>
      </c>
      <c r="C378" s="114" t="s">
        <v>568</v>
      </c>
      <c r="D378" s="56" t="s">
        <v>571</v>
      </c>
      <c r="E378" s="56" t="s">
        <v>571</v>
      </c>
      <c r="F378" s="115" t="s">
        <v>569</v>
      </c>
      <c r="G378" s="114" t="s">
        <v>569</v>
      </c>
      <c r="H378" s="16"/>
    </row>
    <row r="379">
      <c r="B379" s="120" t="s">
        <v>255</v>
      </c>
      <c r="C379" s="114" t="s">
        <v>564</v>
      </c>
      <c r="D379" s="106" t="s">
        <v>506</v>
      </c>
      <c r="E379" s="106" t="s">
        <v>506</v>
      </c>
      <c r="F379" s="106" t="s">
        <v>506</v>
      </c>
      <c r="G379" s="106" t="s">
        <v>506</v>
      </c>
      <c r="H379" s="16"/>
    </row>
    <row r="380">
      <c r="B380" s="120" t="s">
        <v>14</v>
      </c>
      <c r="C380" s="143" t="s">
        <v>449</v>
      </c>
      <c r="D380" s="143" t="s">
        <v>449</v>
      </c>
      <c r="E380" s="52" t="s">
        <v>449</v>
      </c>
      <c r="F380" s="143" t="s">
        <v>449</v>
      </c>
      <c r="G380" s="143" t="s">
        <v>449</v>
      </c>
      <c r="H380" s="16"/>
    </row>
    <row r="381">
      <c r="B381" s="120" t="s">
        <v>551</v>
      </c>
      <c r="C381" s="106" t="s">
        <v>506</v>
      </c>
      <c r="D381" s="106" t="s">
        <v>506</v>
      </c>
      <c r="E381" s="106" t="s">
        <v>506</v>
      </c>
      <c r="F381" s="106" t="s">
        <v>506</v>
      </c>
      <c r="G381" s="106" t="s">
        <v>506</v>
      </c>
      <c r="H381" s="16"/>
    </row>
    <row r="382">
      <c r="B382" s="131" t="s">
        <v>410</v>
      </c>
      <c r="C382" s="143" t="s">
        <v>224</v>
      </c>
      <c r="D382" s="143" t="s">
        <v>224</v>
      </c>
      <c r="E382" s="52" t="s">
        <v>224</v>
      </c>
      <c r="F382" s="143" t="s">
        <v>224</v>
      </c>
      <c r="G382" s="143" t="s">
        <v>224</v>
      </c>
      <c r="H382" s="72"/>
    </row>
    <row r="383">
      <c r="B383" s="37" t="s">
        <v>572</v>
      </c>
      <c r="C383" s="143" t="s">
        <v>224</v>
      </c>
      <c r="D383" s="143" t="s">
        <v>224</v>
      </c>
      <c r="E383" s="143" t="s">
        <v>224</v>
      </c>
      <c r="F383" s="143" t="s">
        <v>224</v>
      </c>
      <c r="G383" s="143" t="s">
        <v>224</v>
      </c>
      <c r="H383" s="72"/>
    </row>
    <row r="384">
      <c r="B384" s="55" t="s">
        <v>44</v>
      </c>
      <c r="C384" s="124" t="s">
        <v>573</v>
      </c>
      <c r="D384" s="124" t="s">
        <v>573</v>
      </c>
      <c r="E384" s="124" t="s">
        <v>573</v>
      </c>
      <c r="F384" s="124" t="s">
        <v>573</v>
      </c>
      <c r="G384" s="124" t="s">
        <v>573</v>
      </c>
      <c r="H384" s="72"/>
    </row>
    <row r="385">
      <c r="B385" s="38" t="s">
        <v>23</v>
      </c>
      <c r="C385" s="39"/>
      <c r="D385" s="21"/>
      <c r="E385" s="21" t="s">
        <v>574</v>
      </c>
      <c r="F385" s="21"/>
      <c r="G385" s="45"/>
      <c r="H385" s="72"/>
    </row>
    <row r="386">
      <c r="B386" s="196" t="s">
        <v>12</v>
      </c>
      <c r="C386" s="39"/>
      <c r="D386" s="129" t="s">
        <v>298</v>
      </c>
      <c r="E386" s="99" t="s">
        <v>575</v>
      </c>
      <c r="F386" s="23"/>
      <c r="G386" s="45"/>
      <c r="H386" s="16"/>
    </row>
    <row r="389">
      <c r="B389" s="3" t="s">
        <v>1</v>
      </c>
      <c r="C389" s="4" t="s">
        <v>25</v>
      </c>
      <c r="D389" s="4" t="s">
        <v>26</v>
      </c>
      <c r="E389" s="4" t="s">
        <v>27</v>
      </c>
      <c r="F389" s="4" t="s">
        <v>2</v>
      </c>
      <c r="G389" s="4" t="s">
        <v>3</v>
      </c>
      <c r="H389" s="134" t="s">
        <v>232</v>
      </c>
    </row>
    <row r="390">
      <c r="B390" s="9"/>
      <c r="C390" s="10" t="s">
        <v>576</v>
      </c>
      <c r="D390" s="10" t="s">
        <v>577</v>
      </c>
      <c r="E390" s="10" t="s">
        <v>578</v>
      </c>
      <c r="F390" s="10" t="s">
        <v>579</v>
      </c>
      <c r="G390" s="10" t="s">
        <v>580</v>
      </c>
      <c r="H390" s="10"/>
    </row>
    <row r="391">
      <c r="B391" s="11" t="s">
        <v>6</v>
      </c>
      <c r="C391" s="114" t="s">
        <v>581</v>
      </c>
      <c r="D391" s="115" t="s">
        <v>582</v>
      </c>
      <c r="E391" s="101" t="s">
        <v>583</v>
      </c>
      <c r="F391" s="101" t="s">
        <v>583</v>
      </c>
      <c r="G391" s="115" t="s">
        <v>584</v>
      </c>
      <c r="H391" s="16"/>
    </row>
    <row r="392">
      <c r="B392" s="104" t="s">
        <v>8</v>
      </c>
      <c r="C392" s="115" t="s">
        <v>528</v>
      </c>
      <c r="D392" s="124" t="s">
        <v>585</v>
      </c>
      <c r="E392" s="202" t="s">
        <v>586</v>
      </c>
      <c r="F392" s="193" t="s">
        <v>587</v>
      </c>
      <c r="G392" s="39" t="s">
        <v>588</v>
      </c>
      <c r="H392" s="16"/>
    </row>
    <row r="393">
      <c r="B393" s="55" t="s">
        <v>78</v>
      </c>
      <c r="C393" s="138" t="s">
        <v>589</v>
      </c>
      <c r="D393" s="138" t="s">
        <v>589</v>
      </c>
      <c r="E393" s="138" t="s">
        <v>589</v>
      </c>
      <c r="F393" s="143" t="s">
        <v>224</v>
      </c>
      <c r="G393" s="203" t="s">
        <v>590</v>
      </c>
      <c r="H393" s="176"/>
    </row>
    <row r="394">
      <c r="B394" s="128" t="s">
        <v>527</v>
      </c>
      <c r="C394" s="143" t="s">
        <v>449</v>
      </c>
      <c r="D394" s="143" t="s">
        <v>449</v>
      </c>
      <c r="E394" s="143" t="s">
        <v>449</v>
      </c>
      <c r="F394" s="143" t="s">
        <v>449</v>
      </c>
      <c r="G394" s="143" t="s">
        <v>449</v>
      </c>
      <c r="H394" s="16"/>
    </row>
    <row r="395">
      <c r="B395" s="55" t="s">
        <v>591</v>
      </c>
      <c r="C395" s="124" t="s">
        <v>592</v>
      </c>
      <c r="D395" s="124" t="s">
        <v>592</v>
      </c>
      <c r="E395" s="124" t="s">
        <v>593</v>
      </c>
      <c r="F395" s="124" t="s">
        <v>592</v>
      </c>
      <c r="G395" s="124" t="s">
        <v>592</v>
      </c>
      <c r="H395" s="16"/>
    </row>
    <row r="396">
      <c r="B396" s="120" t="s">
        <v>255</v>
      </c>
      <c r="C396" s="114" t="s">
        <v>581</v>
      </c>
      <c r="D396" s="115" t="s">
        <v>594</v>
      </c>
      <c r="E396" s="100" t="s">
        <v>583</v>
      </c>
      <c r="F396" s="143" t="s">
        <v>224</v>
      </c>
      <c r="G396" s="45"/>
      <c r="H396" s="16"/>
    </row>
    <row r="397">
      <c r="B397" s="120" t="s">
        <v>14</v>
      </c>
      <c r="C397" s="143" t="s">
        <v>449</v>
      </c>
      <c r="D397" s="143" t="s">
        <v>449</v>
      </c>
      <c r="E397" s="143" t="s">
        <v>449</v>
      </c>
      <c r="F397" s="143" t="s">
        <v>449</v>
      </c>
      <c r="G397" s="143" t="s">
        <v>449</v>
      </c>
      <c r="H397" s="16"/>
    </row>
    <row r="398">
      <c r="B398" s="120" t="s">
        <v>551</v>
      </c>
      <c r="C398" s="118" t="s">
        <v>595</v>
      </c>
      <c r="D398" s="143" t="s">
        <v>224</v>
      </c>
      <c r="E398" s="143" t="s">
        <v>224</v>
      </c>
      <c r="F398" s="143" t="s">
        <v>224</v>
      </c>
      <c r="G398" s="143" t="s">
        <v>224</v>
      </c>
      <c r="H398" s="16"/>
    </row>
    <row r="399">
      <c r="B399" s="131" t="s">
        <v>410</v>
      </c>
      <c r="C399" s="143" t="s">
        <v>224</v>
      </c>
      <c r="D399" s="143" t="s">
        <v>224</v>
      </c>
      <c r="E399" s="143" t="s">
        <v>224</v>
      </c>
      <c r="F399" s="143" t="s">
        <v>224</v>
      </c>
      <c r="G399" s="143" t="s">
        <v>224</v>
      </c>
      <c r="H399" s="72"/>
    </row>
    <row r="400">
      <c r="B400" s="37" t="s">
        <v>596</v>
      </c>
      <c r="C400" s="143" t="s">
        <v>224</v>
      </c>
      <c r="D400" s="143" t="s">
        <v>224</v>
      </c>
      <c r="E400" s="143" t="s">
        <v>224</v>
      </c>
      <c r="F400" s="143" t="s">
        <v>224</v>
      </c>
      <c r="G400" s="143" t="s">
        <v>597</v>
      </c>
      <c r="H400" s="72"/>
    </row>
    <row r="401">
      <c r="B401" s="55" t="s">
        <v>44</v>
      </c>
      <c r="C401" s="124" t="s">
        <v>598</v>
      </c>
      <c r="D401" s="124" t="s">
        <v>598</v>
      </c>
      <c r="E401" s="124" t="s">
        <v>598</v>
      </c>
      <c r="F401" s="124" t="s">
        <v>598</v>
      </c>
      <c r="G401" s="124" t="s">
        <v>598</v>
      </c>
      <c r="H401" s="72"/>
    </row>
    <row r="402">
      <c r="B402" s="38" t="s">
        <v>23</v>
      </c>
      <c r="C402" s="39"/>
      <c r="D402" s="21"/>
      <c r="E402" s="21" t="s">
        <v>599</v>
      </c>
      <c r="F402" s="21"/>
      <c r="G402" s="45"/>
      <c r="H402" s="72"/>
    </row>
    <row r="403">
      <c r="B403" s="196" t="s">
        <v>12</v>
      </c>
      <c r="C403" s="106" t="s">
        <v>600</v>
      </c>
      <c r="D403" s="21"/>
      <c r="E403" s="203" t="s">
        <v>220</v>
      </c>
      <c r="F403" s="23"/>
      <c r="G403" s="45" t="s">
        <v>601</v>
      </c>
      <c r="H403" s="16"/>
    </row>
    <row r="406">
      <c r="B406" s="3" t="s">
        <v>1</v>
      </c>
      <c r="C406" s="4" t="s">
        <v>25</v>
      </c>
      <c r="D406" s="4" t="s">
        <v>26</v>
      </c>
      <c r="E406" s="4" t="s">
        <v>27</v>
      </c>
      <c r="F406" s="4" t="s">
        <v>2</v>
      </c>
      <c r="G406" s="4" t="s">
        <v>3</v>
      </c>
      <c r="H406" s="134" t="s">
        <v>232</v>
      </c>
    </row>
    <row r="407">
      <c r="B407" s="9"/>
      <c r="C407" s="10" t="s">
        <v>602</v>
      </c>
      <c r="D407" s="10" t="s">
        <v>603</v>
      </c>
      <c r="E407" s="10" t="s">
        <v>604</v>
      </c>
      <c r="F407" s="10" t="s">
        <v>605</v>
      </c>
      <c r="G407" s="10" t="s">
        <v>606</v>
      </c>
      <c r="H407" s="10"/>
    </row>
    <row r="408">
      <c r="B408" s="11" t="s">
        <v>6</v>
      </c>
      <c r="C408" s="204" t="s">
        <v>607</v>
      </c>
      <c r="D408" s="115" t="s">
        <v>608</v>
      </c>
      <c r="E408" s="115" t="s">
        <v>584</v>
      </c>
      <c r="F408" s="115" t="s">
        <v>609</v>
      </c>
      <c r="G408" s="115" t="s">
        <v>610</v>
      </c>
      <c r="H408" s="16"/>
    </row>
    <row r="409">
      <c r="B409" s="104" t="s">
        <v>8</v>
      </c>
      <c r="C409" s="115" t="s">
        <v>611</v>
      </c>
      <c r="D409" s="107" t="s">
        <v>612</v>
      </c>
      <c r="E409" s="101" t="s">
        <v>613</v>
      </c>
      <c r="F409" s="115" t="s">
        <v>614</v>
      </c>
      <c r="G409" s="115" t="s">
        <v>528</v>
      </c>
      <c r="H409" s="16"/>
    </row>
    <row r="410">
      <c r="B410" s="55" t="s">
        <v>615</v>
      </c>
      <c r="C410" s="138" t="s">
        <v>616</v>
      </c>
      <c r="D410" s="138" t="s">
        <v>616</v>
      </c>
      <c r="E410" s="138" t="s">
        <v>616</v>
      </c>
      <c r="F410" s="138" t="s">
        <v>616</v>
      </c>
      <c r="G410" s="21"/>
      <c r="H410" s="176"/>
    </row>
    <row r="411">
      <c r="B411" s="128" t="s">
        <v>527</v>
      </c>
      <c r="C411" s="143" t="s">
        <v>449</v>
      </c>
      <c r="D411" s="143" t="s">
        <v>449</v>
      </c>
      <c r="E411" s="143" t="s">
        <v>449</v>
      </c>
      <c r="F411" s="143" t="s">
        <v>449</v>
      </c>
      <c r="G411" s="143" t="s">
        <v>449</v>
      </c>
      <c r="H411" s="16"/>
    </row>
    <row r="412">
      <c r="B412" s="55" t="s">
        <v>591</v>
      </c>
      <c r="C412" s="124" t="s">
        <v>592</v>
      </c>
      <c r="D412" s="124" t="s">
        <v>592</v>
      </c>
      <c r="E412" s="124" t="s">
        <v>592</v>
      </c>
      <c r="F412" s="124" t="s">
        <v>592</v>
      </c>
      <c r="G412" s="124" t="s">
        <v>592</v>
      </c>
      <c r="H412" s="16"/>
    </row>
    <row r="413">
      <c r="B413" s="120" t="s">
        <v>255</v>
      </c>
      <c r="C413" s="117" t="s">
        <v>617</v>
      </c>
      <c r="D413" s="115" t="s">
        <v>608</v>
      </c>
      <c r="E413" s="101" t="s">
        <v>613</v>
      </c>
      <c r="F413" s="115" t="s">
        <v>609</v>
      </c>
      <c r="G413" s="115" t="s">
        <v>610</v>
      </c>
      <c r="H413" s="16"/>
    </row>
    <row r="414">
      <c r="B414" s="120" t="s">
        <v>618</v>
      </c>
      <c r="C414" s="117" t="s">
        <v>617</v>
      </c>
      <c r="D414" s="143" t="s">
        <v>224</v>
      </c>
      <c r="E414" s="143" t="s">
        <v>224</v>
      </c>
      <c r="F414" s="205" t="s">
        <v>619</v>
      </c>
      <c r="G414" s="205" t="s">
        <v>619</v>
      </c>
      <c r="H414" s="16"/>
    </row>
    <row r="415">
      <c r="B415" s="120" t="s">
        <v>551</v>
      </c>
      <c r="C415" s="143" t="s">
        <v>224</v>
      </c>
      <c r="D415" s="143" t="s">
        <v>224</v>
      </c>
      <c r="E415" s="143" t="s">
        <v>224</v>
      </c>
      <c r="F415" s="143" t="s">
        <v>224</v>
      </c>
      <c r="G415" s="143" t="s">
        <v>224</v>
      </c>
      <c r="H415" s="16"/>
    </row>
    <row r="416">
      <c r="B416" s="131" t="s">
        <v>410</v>
      </c>
      <c r="C416" s="143" t="s">
        <v>224</v>
      </c>
      <c r="D416" s="143" t="s">
        <v>224</v>
      </c>
      <c r="E416" s="143" t="s">
        <v>224</v>
      </c>
      <c r="F416" s="143" t="s">
        <v>224</v>
      </c>
      <c r="G416" s="143" t="s">
        <v>224</v>
      </c>
      <c r="H416" s="72"/>
    </row>
    <row r="417">
      <c r="B417" s="37" t="s">
        <v>596</v>
      </c>
      <c r="C417" s="143" t="s">
        <v>597</v>
      </c>
      <c r="D417" s="143" t="s">
        <v>597</v>
      </c>
      <c r="E417" s="143" t="s">
        <v>597</v>
      </c>
      <c r="F417" s="143" t="s">
        <v>224</v>
      </c>
      <c r="G417" s="143" t="s">
        <v>224</v>
      </c>
      <c r="H417" s="72"/>
    </row>
    <row r="418">
      <c r="B418" s="55" t="s">
        <v>44</v>
      </c>
      <c r="C418" s="124" t="s">
        <v>598</v>
      </c>
      <c r="D418" s="124" t="s">
        <v>598</v>
      </c>
      <c r="E418" s="124" t="s">
        <v>598</v>
      </c>
      <c r="F418" s="124" t="s">
        <v>598</v>
      </c>
      <c r="G418" s="101" t="s">
        <v>620</v>
      </c>
      <c r="H418" s="72"/>
    </row>
    <row r="419">
      <c r="B419" s="38" t="s">
        <v>23</v>
      </c>
      <c r="C419" s="39" t="s">
        <v>38</v>
      </c>
      <c r="D419" s="106" t="s">
        <v>621</v>
      </c>
      <c r="E419" s="106" t="s">
        <v>621</v>
      </c>
      <c r="F419" s="21"/>
      <c r="G419" s="45"/>
      <c r="H419" s="72"/>
    </row>
    <row r="420">
      <c r="B420" s="196" t="s">
        <v>12</v>
      </c>
      <c r="C420" s="39" t="s">
        <v>622</v>
      </c>
      <c r="D420" s="106" t="s">
        <v>621</v>
      </c>
      <c r="E420" s="106" t="s">
        <v>621</v>
      </c>
      <c r="F420" s="23"/>
      <c r="G420" s="101" t="s">
        <v>623</v>
      </c>
      <c r="H420" s="16"/>
    </row>
    <row r="423">
      <c r="B423" s="3" t="s">
        <v>1</v>
      </c>
      <c r="C423" s="4" t="s">
        <v>25</v>
      </c>
      <c r="D423" s="4" t="s">
        <v>26</v>
      </c>
      <c r="E423" s="4" t="s">
        <v>27</v>
      </c>
      <c r="F423" s="4" t="s">
        <v>2</v>
      </c>
      <c r="G423" s="4" t="s">
        <v>3</v>
      </c>
      <c r="H423" s="134" t="s">
        <v>232</v>
      </c>
    </row>
    <row r="424">
      <c r="B424" s="9"/>
      <c r="C424" s="10" t="s">
        <v>624</v>
      </c>
      <c r="D424" s="10" t="s">
        <v>625</v>
      </c>
      <c r="E424" s="10" t="s">
        <v>626</v>
      </c>
      <c r="F424" s="10" t="s">
        <v>627</v>
      </c>
      <c r="G424" s="10" t="s">
        <v>628</v>
      </c>
      <c r="H424" s="10" t="s">
        <v>629</v>
      </c>
    </row>
    <row r="425">
      <c r="B425" s="11" t="s">
        <v>6</v>
      </c>
      <c r="C425" s="126" t="s">
        <v>630</v>
      </c>
      <c r="D425" s="100" t="s">
        <v>631</v>
      </c>
      <c r="E425" s="100" t="s">
        <v>632</v>
      </c>
      <c r="F425" s="129" t="s">
        <v>633</v>
      </c>
      <c r="G425" s="129" t="s">
        <v>633</v>
      </c>
      <c r="H425" s="76"/>
    </row>
    <row r="426">
      <c r="B426" s="104" t="s">
        <v>443</v>
      </c>
      <c r="C426" s="115" t="s">
        <v>528</v>
      </c>
      <c r="D426" s="99" t="s">
        <v>634</v>
      </c>
      <c r="E426" s="100" t="s">
        <v>635</v>
      </c>
      <c r="F426" s="100" t="s">
        <v>635</v>
      </c>
      <c r="G426" s="100" t="s">
        <v>636</v>
      </c>
      <c r="H426" s="16"/>
    </row>
    <row r="427">
      <c r="B427" s="55" t="s">
        <v>78</v>
      </c>
      <c r="C427" s="203" t="s">
        <v>220</v>
      </c>
      <c r="D427" s="100" t="s">
        <v>637</v>
      </c>
      <c r="E427" s="100" t="s">
        <v>637</v>
      </c>
      <c r="F427" s="100" t="s">
        <v>637</v>
      </c>
      <c r="G427" s="201"/>
      <c r="H427" s="176"/>
    </row>
    <row r="428">
      <c r="B428" s="128" t="s">
        <v>42</v>
      </c>
      <c r="C428" s="143" t="s">
        <v>449</v>
      </c>
      <c r="D428" s="143" t="s">
        <v>449</v>
      </c>
      <c r="E428" s="52" t="s">
        <v>449</v>
      </c>
      <c r="F428" s="100" t="s">
        <v>613</v>
      </c>
      <c r="G428" s="100" t="s">
        <v>638</v>
      </c>
      <c r="H428" s="16"/>
    </row>
    <row r="429">
      <c r="B429" s="55" t="s">
        <v>17</v>
      </c>
      <c r="C429" s="124" t="s">
        <v>592</v>
      </c>
      <c r="D429" s="100" t="s">
        <v>637</v>
      </c>
      <c r="E429" s="100" t="s">
        <v>637</v>
      </c>
      <c r="F429" s="100" t="s">
        <v>637</v>
      </c>
      <c r="G429" s="129" t="s">
        <v>639</v>
      </c>
      <c r="H429" s="16"/>
    </row>
    <row r="430">
      <c r="A430" s="206"/>
      <c r="B430" s="67" t="s">
        <v>640</v>
      </c>
      <c r="C430" s="124" t="s">
        <v>592</v>
      </c>
      <c r="D430" s="124" t="s">
        <v>592</v>
      </c>
      <c r="E430" s="124" t="s">
        <v>592</v>
      </c>
      <c r="F430" s="124" t="s">
        <v>592</v>
      </c>
      <c r="G430" s="124" t="s">
        <v>592</v>
      </c>
      <c r="H430" s="207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>
      <c r="B431" s="120" t="s">
        <v>255</v>
      </c>
      <c r="C431" s="143" t="s">
        <v>224</v>
      </c>
      <c r="D431" s="143" t="s">
        <v>224</v>
      </c>
      <c r="E431" s="208" t="s">
        <v>641</v>
      </c>
      <c r="F431" s="208" t="s">
        <v>641</v>
      </c>
      <c r="G431" s="143" t="s">
        <v>224</v>
      </c>
      <c r="H431" s="16"/>
    </row>
    <row r="432">
      <c r="B432" s="120" t="s">
        <v>642</v>
      </c>
      <c r="C432" s="143" t="s">
        <v>224</v>
      </c>
      <c r="D432" s="143" t="s">
        <v>224</v>
      </c>
      <c r="E432" s="143" t="s">
        <v>224</v>
      </c>
      <c r="F432" s="143" t="s">
        <v>224</v>
      </c>
      <c r="G432" s="100" t="s">
        <v>638</v>
      </c>
      <c r="H432" s="16"/>
    </row>
    <row r="433">
      <c r="B433" s="120" t="s">
        <v>643</v>
      </c>
      <c r="C433" s="52" t="s">
        <v>644</v>
      </c>
      <c r="D433" s="143" t="s">
        <v>224</v>
      </c>
      <c r="E433" s="52" t="s">
        <v>224</v>
      </c>
      <c r="F433" s="143" t="s">
        <v>224</v>
      </c>
      <c r="G433" s="143" t="s">
        <v>224</v>
      </c>
      <c r="H433" s="16"/>
    </row>
    <row r="434">
      <c r="B434" s="131" t="s">
        <v>645</v>
      </c>
      <c r="C434" s="143" t="s">
        <v>224</v>
      </c>
      <c r="D434" s="143" t="s">
        <v>224</v>
      </c>
      <c r="E434" s="143" t="s">
        <v>224</v>
      </c>
      <c r="F434" s="143" t="s">
        <v>224</v>
      </c>
      <c r="G434" s="143" t="s">
        <v>224</v>
      </c>
      <c r="H434" s="72"/>
    </row>
    <row r="435">
      <c r="B435" s="37" t="s">
        <v>596</v>
      </c>
      <c r="C435" s="143" t="s">
        <v>224</v>
      </c>
      <c r="D435" s="143" t="s">
        <v>224</v>
      </c>
      <c r="E435" s="143" t="s">
        <v>224</v>
      </c>
      <c r="F435" s="143" t="s">
        <v>224</v>
      </c>
      <c r="G435" s="143" t="s">
        <v>224</v>
      </c>
      <c r="H435" s="72"/>
    </row>
    <row r="436">
      <c r="B436" s="55" t="s">
        <v>44</v>
      </c>
      <c r="C436" s="124" t="s">
        <v>598</v>
      </c>
      <c r="D436" s="124" t="s">
        <v>598</v>
      </c>
      <c r="E436" s="124" t="s">
        <v>598</v>
      </c>
      <c r="F436" s="124" t="s">
        <v>598</v>
      </c>
      <c r="G436" s="124" t="s">
        <v>598</v>
      </c>
      <c r="H436" s="72"/>
    </row>
    <row r="437">
      <c r="B437" s="38" t="s">
        <v>23</v>
      </c>
      <c r="C437" s="209"/>
      <c r="D437" s="21"/>
      <c r="E437" s="99" t="s">
        <v>599</v>
      </c>
      <c r="F437" s="21"/>
      <c r="G437" s="45"/>
      <c r="H437" s="72"/>
    </row>
    <row r="438">
      <c r="B438" s="196" t="s">
        <v>646</v>
      </c>
      <c r="C438" s="99" t="s">
        <v>647</v>
      </c>
      <c r="D438" s="99" t="s">
        <v>648</v>
      </c>
      <c r="E438" s="99" t="s">
        <v>599</v>
      </c>
      <c r="F438" s="52" t="s">
        <v>649</v>
      </c>
      <c r="G438" s="52" t="s">
        <v>649</v>
      </c>
      <c r="H438" s="42" t="s">
        <v>649</v>
      </c>
    </row>
    <row r="441">
      <c r="B441" s="3" t="s">
        <v>1</v>
      </c>
      <c r="C441" s="4" t="s">
        <v>25</v>
      </c>
      <c r="D441" s="4" t="s">
        <v>26</v>
      </c>
      <c r="E441" s="4" t="s">
        <v>27</v>
      </c>
      <c r="F441" s="4" t="s">
        <v>2</v>
      </c>
      <c r="G441" s="4" t="s">
        <v>3</v>
      </c>
      <c r="H441" s="134" t="s">
        <v>232</v>
      </c>
      <c r="I441" s="134" t="s">
        <v>650</v>
      </c>
      <c r="J441" s="210"/>
    </row>
    <row r="442">
      <c r="B442" s="9"/>
      <c r="C442" s="10" t="s">
        <v>651</v>
      </c>
      <c r="D442" s="10" t="s">
        <v>652</v>
      </c>
      <c r="E442" s="10" t="s">
        <v>653</v>
      </c>
      <c r="F442" s="10" t="s">
        <v>654</v>
      </c>
      <c r="G442" s="10" t="s">
        <v>655</v>
      </c>
      <c r="H442" s="10"/>
      <c r="I442" s="10" t="s">
        <v>656</v>
      </c>
      <c r="J442" s="211"/>
    </row>
    <row r="443">
      <c r="B443" s="11" t="s">
        <v>6</v>
      </c>
      <c r="C443" s="129" t="s">
        <v>657</v>
      </c>
      <c r="D443" s="21" t="s">
        <v>658</v>
      </c>
      <c r="E443" s="92" t="s">
        <v>659</v>
      </c>
      <c r="F443" s="19" t="s">
        <v>660</v>
      </c>
      <c r="G443" s="92" t="s">
        <v>661</v>
      </c>
      <c r="H443" s="16"/>
      <c r="I443" s="1" t="s">
        <v>662</v>
      </c>
    </row>
    <row r="444">
      <c r="B444" s="104" t="s">
        <v>8</v>
      </c>
      <c r="C444" s="101" t="s">
        <v>663</v>
      </c>
      <c r="D444" s="189" t="s">
        <v>664</v>
      </c>
      <c r="E444" s="126" t="s">
        <v>664</v>
      </c>
      <c r="F444" s="114" t="s">
        <v>665</v>
      </c>
      <c r="G444" s="39" t="s">
        <v>666</v>
      </c>
      <c r="H444" s="16"/>
      <c r="I444" s="1" t="s">
        <v>667</v>
      </c>
    </row>
    <row r="445">
      <c r="B445" s="55" t="s">
        <v>78</v>
      </c>
      <c r="C445" s="143" t="s">
        <v>668</v>
      </c>
      <c r="D445" s="52" t="s">
        <v>668</v>
      </c>
      <c r="E445" s="52" t="s">
        <v>668</v>
      </c>
      <c r="F445" s="129" t="s">
        <v>639</v>
      </c>
      <c r="G445" s="129" t="s">
        <v>639</v>
      </c>
      <c r="H445" s="176"/>
      <c r="I445" s="1" t="s">
        <v>669</v>
      </c>
      <c r="J445" s="1"/>
    </row>
    <row r="446">
      <c r="B446" s="128" t="s">
        <v>670</v>
      </c>
      <c r="C446" s="101" t="s">
        <v>663</v>
      </c>
      <c r="D446" s="101" t="s">
        <v>663</v>
      </c>
      <c r="E446" s="92" t="s">
        <v>659</v>
      </c>
      <c r="F446" s="92" t="s">
        <v>661</v>
      </c>
      <c r="G446" s="45"/>
      <c r="H446" s="16"/>
    </row>
    <row r="447">
      <c r="B447" s="55" t="s">
        <v>88</v>
      </c>
      <c r="C447" s="129" t="s">
        <v>639</v>
      </c>
      <c r="D447" s="129" t="s">
        <v>639</v>
      </c>
      <c r="E447" s="81" t="s">
        <v>671</v>
      </c>
      <c r="F447" s="81" t="s">
        <v>672</v>
      </c>
      <c r="G447" s="46" t="s">
        <v>673</v>
      </c>
      <c r="H447" s="16"/>
    </row>
    <row r="448">
      <c r="B448" s="120" t="s">
        <v>255</v>
      </c>
      <c r="C448" s="208" t="s">
        <v>674</v>
      </c>
      <c r="D448" s="208" t="s">
        <v>675</v>
      </c>
      <c r="E448" s="208" t="s">
        <v>675</v>
      </c>
      <c r="F448" s="208" t="s">
        <v>675</v>
      </c>
      <c r="G448" s="208" t="s">
        <v>675</v>
      </c>
      <c r="H448" s="16"/>
    </row>
    <row r="449">
      <c r="B449" s="120" t="s">
        <v>14</v>
      </c>
      <c r="C449" s="143" t="s">
        <v>668</v>
      </c>
      <c r="D449" s="208" t="s">
        <v>675</v>
      </c>
      <c r="E449" s="208" t="s">
        <v>676</v>
      </c>
      <c r="F449" s="208" t="s">
        <v>676</v>
      </c>
      <c r="G449" s="208" t="s">
        <v>676</v>
      </c>
      <c r="H449" s="16"/>
    </row>
    <row r="450">
      <c r="B450" s="120" t="s">
        <v>677</v>
      </c>
      <c r="C450" s="143" t="s">
        <v>668</v>
      </c>
      <c r="D450" s="143" t="s">
        <v>668</v>
      </c>
      <c r="E450" s="143" t="s">
        <v>668</v>
      </c>
      <c r="F450" s="92" t="s">
        <v>661</v>
      </c>
      <c r="G450" s="144"/>
      <c r="H450" s="16"/>
    </row>
    <row r="451">
      <c r="B451" s="120" t="s">
        <v>678</v>
      </c>
      <c r="C451" s="143" t="s">
        <v>224</v>
      </c>
      <c r="D451" s="171" t="s">
        <v>679</v>
      </c>
      <c r="E451" s="171" t="s">
        <v>679</v>
      </c>
      <c r="F451" s="171" t="s">
        <v>679</v>
      </c>
      <c r="G451" s="144"/>
      <c r="H451" s="16"/>
    </row>
    <row r="452">
      <c r="B452" s="131" t="s">
        <v>680</v>
      </c>
      <c r="C452" s="143" t="s">
        <v>224</v>
      </c>
      <c r="D452" s="144" t="s">
        <v>641</v>
      </c>
      <c r="E452" s="171" t="s">
        <v>679</v>
      </c>
      <c r="F452" s="171" t="s">
        <v>679</v>
      </c>
      <c r="G452" s="144"/>
      <c r="H452" s="16"/>
    </row>
    <row r="453">
      <c r="B453" s="131" t="s">
        <v>681</v>
      </c>
      <c r="C453" s="143" t="s">
        <v>224</v>
      </c>
      <c r="D453" s="143" t="s">
        <v>224</v>
      </c>
      <c r="E453" s="143" t="s">
        <v>224</v>
      </c>
      <c r="F453" s="143" t="s">
        <v>224</v>
      </c>
      <c r="G453" s="143" t="s">
        <v>224</v>
      </c>
      <c r="H453" s="72"/>
    </row>
    <row r="454">
      <c r="B454" s="37" t="s">
        <v>682</v>
      </c>
      <c r="C454" s="143" t="s">
        <v>683</v>
      </c>
      <c r="D454" s="143" t="s">
        <v>683</v>
      </c>
      <c r="E454" s="143" t="s">
        <v>683</v>
      </c>
      <c r="F454" s="182" t="s">
        <v>684</v>
      </c>
      <c r="G454" s="182" t="s">
        <v>684</v>
      </c>
      <c r="H454" s="72"/>
    </row>
    <row r="455">
      <c r="B455" s="55" t="s">
        <v>44</v>
      </c>
      <c r="C455" s="124" t="s">
        <v>598</v>
      </c>
      <c r="D455" s="124" t="s">
        <v>598</v>
      </c>
      <c r="E455" s="124" t="s">
        <v>598</v>
      </c>
      <c r="F455" s="124" t="s">
        <v>685</v>
      </c>
      <c r="G455" s="124" t="s">
        <v>685</v>
      </c>
      <c r="H455" s="72"/>
    </row>
    <row r="456">
      <c r="B456" s="38" t="s">
        <v>23</v>
      </c>
      <c r="D456" s="21"/>
      <c r="E456" s="21"/>
      <c r="F456" s="21"/>
      <c r="G456" s="45"/>
      <c r="H456" s="72"/>
    </row>
    <row r="457">
      <c r="B457" s="196" t="s">
        <v>12</v>
      </c>
      <c r="C457" s="47"/>
      <c r="D457" s="21"/>
      <c r="E457" s="99" t="s">
        <v>686</v>
      </c>
      <c r="F457" s="99" t="s">
        <v>686</v>
      </c>
      <c r="G457" s="99" t="s">
        <v>686</v>
      </c>
      <c r="H457" s="16"/>
    </row>
    <row r="458">
      <c r="E458" s="212" t="s">
        <v>556</v>
      </c>
    </row>
    <row r="460">
      <c r="B460" s="3" t="s">
        <v>1</v>
      </c>
      <c r="C460" s="4" t="s">
        <v>25</v>
      </c>
      <c r="D460" s="4" t="s">
        <v>26</v>
      </c>
      <c r="E460" s="4" t="s">
        <v>27</v>
      </c>
      <c r="F460" s="4" t="s">
        <v>2</v>
      </c>
      <c r="G460" s="4" t="s">
        <v>3</v>
      </c>
      <c r="H460" s="134" t="s">
        <v>232</v>
      </c>
      <c r="I460" s="134" t="s">
        <v>650</v>
      </c>
    </row>
    <row r="461">
      <c r="B461" s="9"/>
      <c r="C461" s="10" t="s">
        <v>687</v>
      </c>
      <c r="D461" s="10" t="s">
        <v>688</v>
      </c>
      <c r="E461" s="10" t="s">
        <v>689</v>
      </c>
      <c r="F461" s="10" t="s">
        <v>690</v>
      </c>
      <c r="G461" s="10" t="s">
        <v>691</v>
      </c>
      <c r="H461" s="10"/>
      <c r="I461" s="10" t="s">
        <v>656</v>
      </c>
    </row>
    <row r="462">
      <c r="B462" s="11" t="s">
        <v>6</v>
      </c>
      <c r="C462" s="108" t="s">
        <v>692</v>
      </c>
      <c r="D462" s="108" t="s">
        <v>692</v>
      </c>
      <c r="E462" s="108" t="s">
        <v>692</v>
      </c>
      <c r="F462" s="108" t="s">
        <v>692</v>
      </c>
      <c r="G462" s="108" t="s">
        <v>692</v>
      </c>
      <c r="H462" s="16"/>
      <c r="I462" s="1" t="s">
        <v>662</v>
      </c>
    </row>
    <row r="463">
      <c r="B463" s="104" t="s">
        <v>8</v>
      </c>
      <c r="C463" s="47"/>
      <c r="D463" s="81" t="s">
        <v>672</v>
      </c>
      <c r="E463" s="168"/>
      <c r="F463" s="108"/>
      <c r="G463" s="108"/>
      <c r="H463" s="16"/>
      <c r="I463" s="1" t="s">
        <v>667</v>
      </c>
    </row>
    <row r="464">
      <c r="B464" s="55" t="s">
        <v>78</v>
      </c>
      <c r="C464" s="143" t="s">
        <v>668</v>
      </c>
      <c r="D464" s="143" t="s">
        <v>668</v>
      </c>
      <c r="E464" s="143" t="s">
        <v>668</v>
      </c>
      <c r="F464" s="195" t="s">
        <v>693</v>
      </c>
      <c r="G464" s="101" t="s">
        <v>693</v>
      </c>
      <c r="H464" s="176"/>
      <c r="I464" s="1" t="s">
        <v>669</v>
      </c>
    </row>
    <row r="465">
      <c r="B465" s="128" t="s">
        <v>527</v>
      </c>
      <c r="C465" s="213"/>
      <c r="D465" s="213"/>
      <c r="E465" s="92" t="s">
        <v>659</v>
      </c>
      <c r="F465" s="213"/>
      <c r="G465" s="213"/>
      <c r="H465" s="16"/>
    </row>
    <row r="466">
      <c r="B466" s="55" t="s">
        <v>88</v>
      </c>
      <c r="C466" s="81" t="s">
        <v>672</v>
      </c>
      <c r="D466" s="47" t="s">
        <v>694</v>
      </c>
      <c r="E466" s="168"/>
      <c r="F466" s="108"/>
      <c r="G466" s="108"/>
      <c r="H466" s="16"/>
    </row>
    <row r="467">
      <c r="B467" s="120" t="s">
        <v>255</v>
      </c>
      <c r="C467" s="214"/>
      <c r="D467" s="215"/>
      <c r="E467" s="216"/>
      <c r="F467" s="217"/>
      <c r="G467" s="215"/>
      <c r="H467" s="16"/>
    </row>
    <row r="468">
      <c r="B468" s="120" t="s">
        <v>618</v>
      </c>
      <c r="C468" s="217"/>
      <c r="D468" s="213"/>
      <c r="E468" s="168"/>
      <c r="F468" s="217"/>
      <c r="G468" s="213"/>
      <c r="H468" s="16"/>
    </row>
    <row r="469">
      <c r="B469" s="120" t="s">
        <v>551</v>
      </c>
      <c r="C469" s="168"/>
      <c r="D469" s="168"/>
      <c r="E469" s="168"/>
      <c r="F469" s="168"/>
      <c r="G469" s="168"/>
      <c r="H469" s="16"/>
    </row>
    <row r="470">
      <c r="B470" s="131" t="s">
        <v>410</v>
      </c>
      <c r="C470" s="213"/>
      <c r="D470" s="213"/>
      <c r="E470" s="213"/>
      <c r="F470" s="213"/>
      <c r="G470" s="213"/>
      <c r="H470" s="72"/>
    </row>
    <row r="471">
      <c r="B471" s="37" t="s">
        <v>695</v>
      </c>
      <c r="C471" s="213"/>
      <c r="D471" s="213"/>
      <c r="E471" s="213"/>
      <c r="F471" s="213"/>
      <c r="G471" s="213"/>
      <c r="H471" s="72"/>
    </row>
    <row r="472">
      <c r="B472" s="55" t="s">
        <v>44</v>
      </c>
      <c r="C472" s="124" t="s">
        <v>685</v>
      </c>
      <c r="D472" s="124" t="s">
        <v>685</v>
      </c>
      <c r="E472" s="124" t="s">
        <v>685</v>
      </c>
      <c r="F472" s="124" t="s">
        <v>685</v>
      </c>
      <c r="G472" s="124" t="s">
        <v>685</v>
      </c>
      <c r="H472" s="72"/>
    </row>
    <row r="473">
      <c r="B473" s="38" t="s">
        <v>23</v>
      </c>
      <c r="C473" s="218"/>
      <c r="D473" s="201"/>
      <c r="E473" s="201"/>
      <c r="F473" s="201"/>
      <c r="G473" s="215"/>
      <c r="H473" s="72"/>
    </row>
    <row r="474">
      <c r="B474" s="196" t="s">
        <v>12</v>
      </c>
      <c r="C474" s="81" t="s">
        <v>696</v>
      </c>
      <c r="D474" s="201"/>
      <c r="E474" s="201" t="s">
        <v>697</v>
      </c>
      <c r="F474" s="201" t="s">
        <v>697</v>
      </c>
      <c r="G474" s="201" t="s">
        <v>697</v>
      </c>
      <c r="H474" s="16"/>
    </row>
    <row r="477">
      <c r="B477" s="3" t="s">
        <v>1</v>
      </c>
      <c r="C477" s="4" t="s">
        <v>25</v>
      </c>
      <c r="D477" s="4" t="s">
        <v>26</v>
      </c>
      <c r="E477" s="4" t="s">
        <v>27</v>
      </c>
      <c r="F477" s="4" t="s">
        <v>2</v>
      </c>
      <c r="G477" s="4" t="s">
        <v>3</v>
      </c>
      <c r="H477" s="134" t="s">
        <v>232</v>
      </c>
      <c r="I477" s="134" t="s">
        <v>650</v>
      </c>
    </row>
    <row r="478">
      <c r="B478" s="9"/>
      <c r="C478" s="10" t="s">
        <v>698</v>
      </c>
      <c r="D478" s="10" t="s">
        <v>699</v>
      </c>
      <c r="E478" s="10" t="s">
        <v>700</v>
      </c>
      <c r="F478" s="10" t="s">
        <v>701</v>
      </c>
      <c r="G478" s="10" t="s">
        <v>702</v>
      </c>
      <c r="H478" s="10"/>
      <c r="I478" s="10" t="s">
        <v>656</v>
      </c>
    </row>
    <row r="479">
      <c r="B479" s="11" t="s">
        <v>6</v>
      </c>
      <c r="C479" s="108" t="s">
        <v>692</v>
      </c>
      <c r="D479" s="108" t="s">
        <v>692</v>
      </c>
      <c r="E479" s="108" t="s">
        <v>692</v>
      </c>
      <c r="F479" s="108" t="s">
        <v>692</v>
      </c>
      <c r="G479" s="108" t="s">
        <v>692</v>
      </c>
      <c r="H479" s="16"/>
      <c r="I479" s="1" t="s">
        <v>662</v>
      </c>
    </row>
    <row r="480">
      <c r="B480" s="104" t="s">
        <v>8</v>
      </c>
      <c r="C480" s="47"/>
      <c r="D480" s="215"/>
      <c r="E480" s="168"/>
      <c r="F480" s="108"/>
      <c r="G480" s="108"/>
      <c r="H480" s="16"/>
      <c r="I480" s="1" t="s">
        <v>667</v>
      </c>
    </row>
    <row r="481">
      <c r="B481" s="55" t="s">
        <v>78</v>
      </c>
      <c r="C481" s="213"/>
      <c r="D481" s="213"/>
      <c r="E481" s="213"/>
      <c r="F481" s="213"/>
      <c r="G481" s="108"/>
      <c r="H481" s="176"/>
      <c r="I481" s="1" t="s">
        <v>669</v>
      </c>
    </row>
    <row r="482">
      <c r="B482" s="128" t="s">
        <v>527</v>
      </c>
      <c r="C482" s="213"/>
      <c r="D482" s="213"/>
      <c r="E482" s="213"/>
      <c r="F482" s="213"/>
      <c r="G482" s="213"/>
      <c r="H482" s="16"/>
    </row>
    <row r="483">
      <c r="B483" s="55" t="s">
        <v>88</v>
      </c>
      <c r="C483" s="47"/>
      <c r="D483" s="168"/>
      <c r="E483" s="168"/>
      <c r="F483" s="108"/>
      <c r="G483" s="108"/>
      <c r="H483" s="16"/>
    </row>
    <row r="484">
      <c r="B484" s="120" t="s">
        <v>255</v>
      </c>
      <c r="C484" s="214"/>
      <c r="D484" s="215"/>
      <c r="E484" s="216"/>
      <c r="F484" s="217"/>
      <c r="G484" s="215"/>
      <c r="H484" s="16"/>
    </row>
    <row r="485">
      <c r="B485" s="120" t="s">
        <v>618</v>
      </c>
      <c r="C485" s="217"/>
      <c r="D485" s="213"/>
      <c r="E485" s="168"/>
      <c r="F485" s="217"/>
      <c r="G485" s="213"/>
      <c r="H485" s="16"/>
    </row>
    <row r="486">
      <c r="B486" s="120" t="s">
        <v>551</v>
      </c>
      <c r="C486" s="168"/>
      <c r="D486" s="168"/>
      <c r="E486" s="168"/>
      <c r="F486" s="168"/>
      <c r="G486" s="168"/>
      <c r="H486" s="16"/>
    </row>
    <row r="487">
      <c r="B487" s="131" t="s">
        <v>410</v>
      </c>
      <c r="C487" s="213"/>
      <c r="D487" s="213"/>
      <c r="E487" s="213"/>
      <c r="F487" s="213"/>
      <c r="G487" s="213"/>
      <c r="H487" s="72"/>
    </row>
    <row r="488">
      <c r="B488" s="37" t="s">
        <v>695</v>
      </c>
      <c r="C488" s="213"/>
      <c r="D488" s="213"/>
      <c r="E488" s="213"/>
      <c r="F488" s="213"/>
      <c r="G488" s="213"/>
      <c r="H488" s="72"/>
    </row>
    <row r="489">
      <c r="B489" s="55" t="s">
        <v>44</v>
      </c>
      <c r="C489" s="168"/>
      <c r="D489" s="168"/>
      <c r="E489" s="168"/>
      <c r="F489" s="168"/>
      <c r="G489" s="168"/>
      <c r="H489" s="72"/>
    </row>
    <row r="490">
      <c r="B490" s="38" t="s">
        <v>23</v>
      </c>
      <c r="C490" s="218"/>
      <c r="D490" s="201"/>
      <c r="E490" s="201"/>
      <c r="F490" s="201"/>
      <c r="G490" s="215"/>
      <c r="H490" s="72"/>
    </row>
    <row r="491">
      <c r="B491" s="196" t="s">
        <v>12</v>
      </c>
      <c r="C491" s="108"/>
      <c r="D491" s="201"/>
      <c r="E491" s="201"/>
      <c r="F491" s="87"/>
      <c r="G491" s="215"/>
      <c r="H491" s="16"/>
    </row>
    <row r="494">
      <c r="B494" s="3" t="s">
        <v>1</v>
      </c>
      <c r="C494" s="4" t="s">
        <v>25</v>
      </c>
      <c r="D494" s="4" t="s">
        <v>26</v>
      </c>
      <c r="E494" s="4" t="s">
        <v>27</v>
      </c>
      <c r="F494" s="4" t="s">
        <v>2</v>
      </c>
      <c r="G494" s="4" t="s">
        <v>3</v>
      </c>
      <c r="H494" s="134" t="s">
        <v>232</v>
      </c>
      <c r="I494" s="134" t="s">
        <v>650</v>
      </c>
    </row>
    <row r="495">
      <c r="B495" s="9"/>
      <c r="C495" s="10" t="s">
        <v>703</v>
      </c>
      <c r="D495" s="10" t="s">
        <v>704</v>
      </c>
      <c r="E495" s="10" t="s">
        <v>705</v>
      </c>
      <c r="F495" s="10" t="s">
        <v>706</v>
      </c>
      <c r="G495" s="10" t="s">
        <v>707</v>
      </c>
      <c r="H495" s="10"/>
      <c r="I495" s="10" t="s">
        <v>656</v>
      </c>
    </row>
    <row r="496">
      <c r="B496" s="11" t="s">
        <v>6</v>
      </c>
      <c r="C496" s="214"/>
      <c r="D496" s="216"/>
      <c r="E496" s="216"/>
      <c r="F496" s="216"/>
      <c r="G496" s="216"/>
      <c r="H496" s="16"/>
      <c r="I496" s="1" t="s">
        <v>662</v>
      </c>
    </row>
    <row r="497">
      <c r="B497" s="104" t="s">
        <v>8</v>
      </c>
      <c r="C497" s="47"/>
      <c r="D497" s="215"/>
      <c r="E497" s="168"/>
      <c r="F497" s="108"/>
      <c r="G497" s="108"/>
      <c r="H497" s="16"/>
      <c r="I497" s="1" t="s">
        <v>667</v>
      </c>
    </row>
    <row r="498">
      <c r="B498" s="55" t="s">
        <v>78</v>
      </c>
      <c r="C498" s="143" t="s">
        <v>708</v>
      </c>
      <c r="D498" s="143" t="s">
        <v>708</v>
      </c>
      <c r="E498" s="143" t="s">
        <v>708</v>
      </c>
      <c r="F498" s="143" t="s">
        <v>708</v>
      </c>
      <c r="G498" s="108"/>
      <c r="H498" s="176"/>
      <c r="I498" s="1" t="s">
        <v>669</v>
      </c>
    </row>
    <row r="499">
      <c r="B499" s="128" t="s">
        <v>527</v>
      </c>
      <c r="C499" s="213"/>
      <c r="D499" s="213"/>
      <c r="E499" s="213"/>
      <c r="F499" s="213"/>
      <c r="G499" s="213"/>
      <c r="H499" s="16"/>
    </row>
    <row r="500">
      <c r="B500" s="55" t="s">
        <v>88</v>
      </c>
      <c r="C500" s="47"/>
      <c r="D500" s="168"/>
      <c r="E500" s="168"/>
      <c r="F500" s="108"/>
      <c r="G500" s="108"/>
      <c r="H500" s="16"/>
    </row>
    <row r="501">
      <c r="B501" s="120" t="s">
        <v>255</v>
      </c>
      <c r="C501" s="214"/>
      <c r="D501" s="215"/>
      <c r="E501" s="216"/>
      <c r="F501" s="217"/>
      <c r="G501" s="215"/>
      <c r="H501" s="16"/>
    </row>
    <row r="502">
      <c r="B502" s="120" t="s">
        <v>618</v>
      </c>
      <c r="C502" s="217" t="s">
        <v>709</v>
      </c>
      <c r="D502" s="217" t="s">
        <v>709</v>
      </c>
      <c r="E502" s="217" t="s">
        <v>709</v>
      </c>
      <c r="F502" s="217" t="s">
        <v>709</v>
      </c>
      <c r="G502" s="217" t="s">
        <v>709</v>
      </c>
      <c r="H502" s="16"/>
    </row>
    <row r="503">
      <c r="B503" s="120" t="s">
        <v>551</v>
      </c>
      <c r="C503" s="168"/>
      <c r="D503" s="168"/>
      <c r="E503" s="168"/>
      <c r="F503" s="168"/>
      <c r="G503" s="168"/>
      <c r="H503" s="16"/>
    </row>
    <row r="504">
      <c r="B504" s="131" t="s">
        <v>410</v>
      </c>
      <c r="C504" s="213"/>
      <c r="D504" s="213"/>
      <c r="E504" s="213"/>
      <c r="F504" s="213"/>
      <c r="G504" s="213"/>
      <c r="H504" s="72"/>
    </row>
    <row r="505">
      <c r="B505" s="37" t="s">
        <v>695</v>
      </c>
      <c r="C505" s="213"/>
      <c r="D505" s="213"/>
      <c r="E505" s="213"/>
      <c r="F505" s="213"/>
      <c r="G505" s="213"/>
      <c r="H505" s="72"/>
    </row>
    <row r="506">
      <c r="B506" s="55" t="s">
        <v>44</v>
      </c>
      <c r="C506" s="168"/>
      <c r="D506" s="168"/>
      <c r="E506" s="168"/>
      <c r="F506" s="168"/>
      <c r="G506" s="168"/>
      <c r="H506" s="72"/>
    </row>
    <row r="507">
      <c r="B507" s="38" t="s">
        <v>23</v>
      </c>
      <c r="C507" s="218"/>
      <c r="D507" s="201"/>
      <c r="E507" s="201"/>
      <c r="F507" s="201"/>
      <c r="G507" s="215"/>
      <c r="H507" s="72"/>
    </row>
    <row r="508">
      <c r="B508" s="196" t="s">
        <v>12</v>
      </c>
      <c r="C508" s="108"/>
      <c r="D508" s="201"/>
      <c r="E508" s="201"/>
      <c r="F508" s="87"/>
      <c r="G508" s="215"/>
      <c r="H508" s="16"/>
    </row>
  </sheetData>
  <mergeCells count="43">
    <mergeCell ref="B3:B4"/>
    <mergeCell ref="C5:D5"/>
    <mergeCell ref="C6:D6"/>
    <mergeCell ref="C9:D9"/>
    <mergeCell ref="C10:D10"/>
    <mergeCell ref="C11:D11"/>
    <mergeCell ref="C12:D12"/>
    <mergeCell ref="C13:D13"/>
    <mergeCell ref="C14:D14"/>
    <mergeCell ref="C15:D15"/>
    <mergeCell ref="B19:B20"/>
    <mergeCell ref="B36:B37"/>
    <mergeCell ref="B53:B54"/>
    <mergeCell ref="B69:B70"/>
    <mergeCell ref="B202:B203"/>
    <mergeCell ref="G204:G216"/>
    <mergeCell ref="B219:B220"/>
    <mergeCell ref="C221:C232"/>
    <mergeCell ref="B235:B236"/>
    <mergeCell ref="B84:B85"/>
    <mergeCell ref="B99:B100"/>
    <mergeCell ref="B114:B115"/>
    <mergeCell ref="B130:B131"/>
    <mergeCell ref="B146:B147"/>
    <mergeCell ref="B164:B165"/>
    <mergeCell ref="B184:B185"/>
    <mergeCell ref="B252:B253"/>
    <mergeCell ref="B270:B271"/>
    <mergeCell ref="G272:G284"/>
    <mergeCell ref="B287:B288"/>
    <mergeCell ref="B304:B305"/>
    <mergeCell ref="B322:B323"/>
    <mergeCell ref="B339:B340"/>
    <mergeCell ref="B460:B461"/>
    <mergeCell ref="B477:B478"/>
    <mergeCell ref="B494:B495"/>
    <mergeCell ref="B355:B356"/>
    <mergeCell ref="C357:C369"/>
    <mergeCell ref="B372:B373"/>
    <mergeCell ref="B389:B390"/>
    <mergeCell ref="B406:B407"/>
    <mergeCell ref="B423:B424"/>
    <mergeCell ref="B441:B4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88"/>
    <col customWidth="1" min="3" max="3" width="12.88"/>
    <col customWidth="1" min="8" max="8" width="5.0"/>
    <col customWidth="1" min="9" max="9" width="23.0"/>
    <col customWidth="1" min="12" max="12" width="13.5"/>
    <col customWidth="1" min="13" max="13" width="16.38"/>
  </cols>
  <sheetData>
    <row r="1">
      <c r="A1" s="219">
        <v>4.0</v>
      </c>
      <c r="H1" s="220" t="s">
        <v>710</v>
      </c>
      <c r="I1" s="221"/>
      <c r="J1" s="221"/>
      <c r="K1" s="221"/>
      <c r="L1" s="221"/>
      <c r="M1" s="13"/>
    </row>
    <row r="2">
      <c r="A2" s="219" t="s">
        <v>711</v>
      </c>
      <c r="B2" s="222" t="s">
        <v>712</v>
      </c>
      <c r="C2" s="223" t="s">
        <v>713</v>
      </c>
      <c r="D2" s="223" t="s">
        <v>714</v>
      </c>
      <c r="E2" s="222" t="s">
        <v>715</v>
      </c>
      <c r="H2" s="224" t="s">
        <v>711</v>
      </c>
      <c r="I2" s="225" t="s">
        <v>712</v>
      </c>
      <c r="J2" s="224" t="s">
        <v>713</v>
      </c>
      <c r="K2" s="224" t="s">
        <v>714</v>
      </c>
      <c r="L2" s="225" t="s">
        <v>715</v>
      </c>
      <c r="M2" s="224" t="s">
        <v>716</v>
      </c>
    </row>
    <row r="3">
      <c r="A3" s="51">
        <v>1.0</v>
      </c>
      <c r="B3" s="226" t="s">
        <v>717</v>
      </c>
      <c r="C3" s="226" t="s">
        <v>718</v>
      </c>
      <c r="D3" s="226" t="s">
        <v>719</v>
      </c>
      <c r="E3" s="226">
        <v>6.0</v>
      </c>
      <c r="H3" s="51">
        <v>1.0</v>
      </c>
      <c r="I3" s="227" t="s">
        <v>720</v>
      </c>
      <c r="J3" s="51"/>
      <c r="K3" s="51"/>
      <c r="L3" s="51"/>
      <c r="M3" s="228"/>
    </row>
    <row r="4">
      <c r="A4" s="51">
        <v>2.0</v>
      </c>
      <c r="B4" s="226"/>
      <c r="C4" s="226"/>
      <c r="D4" s="226"/>
      <c r="E4" s="226"/>
      <c r="H4" s="51">
        <v>2.0</v>
      </c>
      <c r="I4" s="227" t="s">
        <v>721</v>
      </c>
      <c r="J4" s="51"/>
      <c r="K4" s="51"/>
      <c r="L4" s="51"/>
      <c r="M4" s="228"/>
    </row>
    <row r="5">
      <c r="A5" s="51">
        <v>3.0</v>
      </c>
      <c r="B5" s="226"/>
      <c r="C5" s="226"/>
      <c r="D5" s="226"/>
      <c r="E5" s="226"/>
      <c r="H5" s="51">
        <v>3.0</v>
      </c>
      <c r="I5" s="227" t="s">
        <v>722</v>
      </c>
      <c r="J5" s="51"/>
      <c r="K5" s="51"/>
      <c r="L5" s="51"/>
      <c r="M5" s="228"/>
    </row>
    <row r="6">
      <c r="A6" s="51">
        <v>4.0</v>
      </c>
      <c r="B6" s="226"/>
      <c r="C6" s="226"/>
      <c r="D6" s="226"/>
      <c r="E6" s="226"/>
      <c r="H6" s="51">
        <v>4.0</v>
      </c>
      <c r="I6" s="227" t="s">
        <v>723</v>
      </c>
      <c r="J6" s="51"/>
      <c r="K6" s="51"/>
      <c r="L6" s="51"/>
      <c r="M6" s="228"/>
    </row>
    <row r="7">
      <c r="A7" s="51">
        <v>5.0</v>
      </c>
      <c r="B7" s="226"/>
      <c r="C7" s="226"/>
      <c r="D7" s="226"/>
      <c r="E7" s="226"/>
      <c r="F7" s="1"/>
      <c r="H7" s="51">
        <v>5.0</v>
      </c>
      <c r="I7" s="227" t="s">
        <v>724</v>
      </c>
      <c r="J7" s="51"/>
      <c r="K7" s="51"/>
      <c r="L7" s="51"/>
      <c r="M7" s="228"/>
    </row>
    <row r="8">
      <c r="A8" s="51">
        <v>6.0</v>
      </c>
      <c r="B8" s="226"/>
      <c r="C8" s="226"/>
      <c r="D8" s="226"/>
      <c r="E8" s="226"/>
      <c r="H8" s="51">
        <v>6.0</v>
      </c>
      <c r="I8" s="227" t="s">
        <v>725</v>
      </c>
      <c r="J8" s="51"/>
      <c r="K8" s="51"/>
      <c r="L8" s="51"/>
      <c r="M8" s="228"/>
    </row>
    <row r="9">
      <c r="A9" s="51">
        <v>7.0</v>
      </c>
      <c r="B9" s="226"/>
      <c r="C9" s="226"/>
      <c r="D9" s="226"/>
      <c r="E9" s="226"/>
      <c r="H9" s="51">
        <v>7.0</v>
      </c>
      <c r="I9" s="227" t="s">
        <v>726</v>
      </c>
      <c r="J9" s="51"/>
      <c r="K9" s="51"/>
      <c r="L9" s="51"/>
      <c r="M9" s="228"/>
    </row>
    <row r="10">
      <c r="A10" s="51">
        <v>8.0</v>
      </c>
      <c r="B10" s="226"/>
      <c r="C10" s="226"/>
      <c r="D10" s="226"/>
      <c r="E10" s="226"/>
      <c r="H10" s="51">
        <v>8.0</v>
      </c>
      <c r="I10" s="227" t="s">
        <v>727</v>
      </c>
      <c r="J10" s="51" t="s">
        <v>728</v>
      </c>
      <c r="K10" s="51" t="s">
        <v>729</v>
      </c>
      <c r="L10" s="51">
        <v>5.0</v>
      </c>
      <c r="M10" s="228"/>
    </row>
    <row r="11">
      <c r="A11" s="51">
        <v>9.0</v>
      </c>
      <c r="B11" s="226"/>
      <c r="C11" s="226"/>
      <c r="D11" s="226"/>
      <c r="E11" s="226"/>
      <c r="F11" s="1"/>
      <c r="H11" s="51">
        <v>9.0</v>
      </c>
      <c r="I11" s="227" t="s">
        <v>730</v>
      </c>
      <c r="J11" s="51"/>
      <c r="K11" s="51"/>
      <c r="L11" s="51"/>
      <c r="M11" s="228"/>
    </row>
    <row r="12">
      <c r="A12" s="51">
        <v>10.0</v>
      </c>
      <c r="B12" s="226"/>
      <c r="C12" s="226"/>
      <c r="D12" s="226"/>
      <c r="E12" s="226"/>
      <c r="H12" s="51">
        <v>10.0</v>
      </c>
      <c r="I12" s="227" t="s">
        <v>731</v>
      </c>
      <c r="J12" s="51"/>
      <c r="K12" s="51"/>
      <c r="L12" s="51"/>
      <c r="M12" s="228"/>
    </row>
    <row r="13">
      <c r="A13" s="51">
        <v>11.0</v>
      </c>
      <c r="B13" s="226"/>
      <c r="C13" s="226"/>
      <c r="D13" s="226"/>
      <c r="E13" s="226"/>
      <c r="H13" s="51">
        <v>11.0</v>
      </c>
      <c r="I13" s="227" t="s">
        <v>732</v>
      </c>
      <c r="J13" s="51"/>
      <c r="K13" s="51"/>
      <c r="L13" s="51"/>
      <c r="M13" s="228"/>
    </row>
    <row r="14">
      <c r="A14" s="51">
        <v>12.0</v>
      </c>
      <c r="B14" s="226"/>
      <c r="C14" s="226"/>
      <c r="D14" s="226"/>
      <c r="E14" s="226"/>
      <c r="H14" s="51">
        <v>12.0</v>
      </c>
      <c r="I14" s="227" t="s">
        <v>733</v>
      </c>
      <c r="J14" s="51"/>
      <c r="K14" s="51"/>
      <c r="L14" s="51"/>
      <c r="M14" s="228"/>
    </row>
    <row r="15">
      <c r="A15" s="51">
        <v>13.0</v>
      </c>
      <c r="B15" s="226"/>
      <c r="C15" s="226"/>
      <c r="D15" s="226"/>
      <c r="E15" s="226"/>
      <c r="H15" s="51">
        <v>13.0</v>
      </c>
      <c r="I15" s="227" t="s">
        <v>734</v>
      </c>
      <c r="J15" s="51"/>
      <c r="K15" s="51"/>
      <c r="L15" s="51"/>
      <c r="M15" s="228"/>
    </row>
    <row r="16">
      <c r="A16" s="51">
        <v>14.0</v>
      </c>
      <c r="B16" s="226"/>
      <c r="C16" s="226"/>
      <c r="D16" s="226"/>
      <c r="E16" s="226"/>
      <c r="H16" s="51">
        <v>14.0</v>
      </c>
      <c r="I16" s="227" t="s">
        <v>735</v>
      </c>
      <c r="J16" s="51"/>
      <c r="K16" s="51"/>
      <c r="L16" s="51"/>
      <c r="M16" s="228"/>
    </row>
    <row r="17">
      <c r="A17" s="51">
        <v>15.0</v>
      </c>
      <c r="B17" s="226"/>
      <c r="C17" s="226"/>
      <c r="D17" s="226"/>
      <c r="E17" s="226"/>
      <c r="H17" s="51">
        <v>15.0</v>
      </c>
      <c r="I17" s="227" t="s">
        <v>736</v>
      </c>
      <c r="J17" s="47"/>
      <c r="K17" s="47"/>
      <c r="L17" s="47"/>
      <c r="M17" s="228"/>
    </row>
    <row r="18">
      <c r="A18" s="51">
        <v>16.0</v>
      </c>
      <c r="B18" s="226"/>
      <c r="C18" s="226"/>
      <c r="D18" s="226"/>
      <c r="E18" s="226"/>
      <c r="H18" s="51">
        <v>16.0</v>
      </c>
      <c r="I18" s="227" t="s">
        <v>737</v>
      </c>
      <c r="J18" s="47"/>
      <c r="K18" s="47"/>
      <c r="L18" s="47"/>
      <c r="M18" s="228"/>
    </row>
    <row r="19">
      <c r="A19" s="51">
        <v>17.0</v>
      </c>
      <c r="B19" s="77"/>
      <c r="C19" s="77"/>
      <c r="D19" s="77"/>
      <c r="E19" s="77"/>
      <c r="H19" s="51">
        <v>17.0</v>
      </c>
      <c r="I19" s="227" t="s">
        <v>738</v>
      </c>
      <c r="J19" s="229"/>
      <c r="K19" s="229"/>
      <c r="L19" s="229"/>
      <c r="M19" s="228"/>
    </row>
    <row r="20">
      <c r="A20" s="51">
        <v>18.0</v>
      </c>
      <c r="B20" s="77"/>
      <c r="C20" s="77"/>
      <c r="D20" s="77"/>
      <c r="E20" s="77"/>
      <c r="H20" s="51">
        <v>18.0</v>
      </c>
      <c r="I20" s="227" t="s">
        <v>739</v>
      </c>
      <c r="J20" s="229"/>
      <c r="K20" s="229"/>
      <c r="L20" s="229"/>
      <c r="M20" s="228"/>
    </row>
    <row r="21">
      <c r="A21" s="51">
        <v>19.0</v>
      </c>
      <c r="B21" s="77"/>
      <c r="C21" s="77"/>
      <c r="D21" s="77"/>
      <c r="E21" s="77"/>
      <c r="H21" s="51">
        <v>19.0</v>
      </c>
      <c r="I21" s="227" t="s">
        <v>740</v>
      </c>
      <c r="J21" s="47" t="s">
        <v>741</v>
      </c>
      <c r="K21" s="47" t="s">
        <v>742</v>
      </c>
      <c r="L21" s="47">
        <v>10.0</v>
      </c>
      <c r="M21" s="228"/>
    </row>
    <row r="22">
      <c r="A22" s="51">
        <v>20.0</v>
      </c>
      <c r="B22" s="77"/>
      <c r="C22" s="77"/>
      <c r="D22" s="77"/>
      <c r="E22" s="77"/>
      <c r="H22" s="51">
        <v>20.0</v>
      </c>
      <c r="I22" s="227" t="s">
        <v>743</v>
      </c>
      <c r="J22" s="229"/>
      <c r="K22" s="229"/>
      <c r="L22" s="229"/>
      <c r="M22" s="228"/>
    </row>
    <row r="23">
      <c r="A23" s="51">
        <v>21.0</v>
      </c>
      <c r="B23" s="77"/>
      <c r="C23" s="77"/>
      <c r="D23" s="77"/>
      <c r="E23" s="77"/>
      <c r="H23" s="51">
        <v>21.0</v>
      </c>
      <c r="I23" s="227" t="s">
        <v>744</v>
      </c>
      <c r="J23" s="229"/>
      <c r="K23" s="229"/>
      <c r="L23" s="229"/>
      <c r="M23" s="228"/>
    </row>
    <row r="24">
      <c r="A24" s="51">
        <v>22.0</v>
      </c>
      <c r="B24" s="77"/>
      <c r="C24" s="77"/>
      <c r="D24" s="77"/>
      <c r="E24" s="77"/>
      <c r="H24" s="51">
        <v>22.0</v>
      </c>
      <c r="I24" s="227" t="s">
        <v>745</v>
      </c>
      <c r="J24" s="229"/>
      <c r="K24" s="229"/>
      <c r="L24" s="229"/>
      <c r="M24" s="228"/>
    </row>
    <row r="25">
      <c r="A25" s="51">
        <v>23.0</v>
      </c>
      <c r="B25" s="77"/>
      <c r="C25" s="77"/>
      <c r="D25" s="77"/>
      <c r="E25" s="77"/>
      <c r="H25" s="51">
        <v>23.0</v>
      </c>
      <c r="I25" s="227" t="s">
        <v>746</v>
      </c>
      <c r="J25" s="229"/>
      <c r="K25" s="229"/>
      <c r="L25" s="229"/>
      <c r="M25" s="228"/>
    </row>
    <row r="26">
      <c r="A26" s="51">
        <v>24.0</v>
      </c>
      <c r="B26" s="77"/>
      <c r="C26" s="77"/>
      <c r="D26" s="77"/>
      <c r="E26" s="77"/>
      <c r="H26" s="51">
        <v>24.0</v>
      </c>
      <c r="I26" s="227" t="s">
        <v>44</v>
      </c>
      <c r="J26" s="229"/>
      <c r="K26" s="229"/>
      <c r="L26" s="229"/>
      <c r="M26" s="228"/>
    </row>
    <row r="27">
      <c r="A27" s="51">
        <v>25.0</v>
      </c>
      <c r="B27" s="77"/>
      <c r="C27" s="77"/>
      <c r="D27" s="77"/>
      <c r="E27" s="77"/>
      <c r="H27" s="51">
        <v>25.0</v>
      </c>
      <c r="I27" s="227" t="s">
        <v>747</v>
      </c>
      <c r="J27" s="47" t="s">
        <v>748</v>
      </c>
      <c r="K27" s="47" t="s">
        <v>749</v>
      </c>
      <c r="L27" s="47">
        <v>5.0</v>
      </c>
      <c r="M27" s="228"/>
    </row>
    <row r="28">
      <c r="A28" s="51">
        <v>26.0</v>
      </c>
      <c r="B28" s="77"/>
      <c r="C28" s="77"/>
      <c r="D28" s="77"/>
      <c r="E28" s="77"/>
      <c r="H28" s="51">
        <v>26.0</v>
      </c>
      <c r="I28" s="227" t="s">
        <v>750</v>
      </c>
      <c r="J28" s="229"/>
      <c r="K28" s="229"/>
      <c r="L28" s="229"/>
      <c r="M28" s="228"/>
    </row>
    <row r="29">
      <c r="A29" s="230"/>
      <c r="H29" s="51">
        <v>27.0</v>
      </c>
      <c r="I29" s="227" t="s">
        <v>751</v>
      </c>
      <c r="J29" s="229"/>
      <c r="K29" s="229"/>
      <c r="L29" s="229"/>
      <c r="M29" s="228"/>
    </row>
    <row r="30">
      <c r="A30" s="230"/>
      <c r="H30" s="51">
        <v>28.0</v>
      </c>
      <c r="I30" s="227" t="s">
        <v>752</v>
      </c>
      <c r="J30" s="229"/>
      <c r="K30" s="229"/>
      <c r="L30" s="229"/>
      <c r="M30" s="228"/>
    </row>
    <row r="31">
      <c r="A31" s="230"/>
      <c r="H31" s="51">
        <v>29.0</v>
      </c>
      <c r="I31" s="227" t="s">
        <v>753</v>
      </c>
      <c r="J31" s="228"/>
      <c r="K31" s="228"/>
      <c r="L31" s="228"/>
      <c r="M31" s="228"/>
    </row>
    <row r="32">
      <c r="A32" s="230"/>
      <c r="H32" s="51">
        <v>30.0</v>
      </c>
      <c r="I32" s="227" t="s">
        <v>754</v>
      </c>
      <c r="J32" s="228"/>
      <c r="K32" s="228"/>
      <c r="L32" s="228"/>
      <c r="M32" s="228"/>
    </row>
    <row r="33">
      <c r="A33" s="230"/>
      <c r="H33" s="51">
        <v>31.0</v>
      </c>
      <c r="I33" s="227" t="s">
        <v>755</v>
      </c>
      <c r="J33" s="228"/>
      <c r="K33" s="228"/>
      <c r="L33" s="228"/>
      <c r="M33" s="228"/>
    </row>
    <row r="34">
      <c r="A34" s="230"/>
      <c r="H34" s="51">
        <v>32.0</v>
      </c>
      <c r="I34" s="227" t="s">
        <v>756</v>
      </c>
      <c r="J34" s="228"/>
      <c r="K34" s="228"/>
      <c r="L34" s="228"/>
      <c r="M34" s="228"/>
    </row>
    <row r="35">
      <c r="A35" s="230"/>
      <c r="H35" s="51">
        <v>33.0</v>
      </c>
      <c r="I35" s="227" t="s">
        <v>757</v>
      </c>
      <c r="J35" s="51" t="s">
        <v>758</v>
      </c>
      <c r="K35" s="51" t="s">
        <v>759</v>
      </c>
      <c r="L35" s="51">
        <v>4.0</v>
      </c>
      <c r="M35" s="228"/>
    </row>
    <row r="36">
      <c r="A36" s="230"/>
      <c r="H36" s="51">
        <v>34.0</v>
      </c>
      <c r="I36" s="227" t="s">
        <v>760</v>
      </c>
      <c r="J36" s="228"/>
      <c r="K36" s="228"/>
      <c r="L36" s="228"/>
      <c r="M36" s="228"/>
    </row>
    <row r="37">
      <c r="A37" s="230"/>
      <c r="H37" s="51">
        <v>35.0</v>
      </c>
      <c r="I37" s="227" t="s">
        <v>761</v>
      </c>
      <c r="J37" s="228"/>
      <c r="K37" s="228"/>
      <c r="L37" s="228"/>
      <c r="M37" s="228"/>
    </row>
    <row r="38">
      <c r="A38" s="230"/>
      <c r="H38" s="51">
        <v>36.0</v>
      </c>
      <c r="I38" s="227" t="s">
        <v>762</v>
      </c>
      <c r="J38" s="228"/>
      <c r="K38" s="228"/>
      <c r="L38" s="228"/>
      <c r="M38" s="228"/>
    </row>
    <row r="39">
      <c r="A39" s="230"/>
      <c r="H39" s="51">
        <v>37.0</v>
      </c>
      <c r="I39" s="227" t="s">
        <v>763</v>
      </c>
      <c r="J39" s="228"/>
      <c r="K39" s="228"/>
      <c r="L39" s="228"/>
      <c r="M39" s="228"/>
    </row>
    <row r="40">
      <c r="A40" s="230"/>
      <c r="H40" s="51">
        <v>38.0</v>
      </c>
      <c r="I40" s="227" t="s">
        <v>764</v>
      </c>
      <c r="J40" s="228"/>
      <c r="K40" s="228"/>
      <c r="L40" s="228"/>
      <c r="M40" s="228"/>
    </row>
    <row r="41">
      <c r="A41" s="230"/>
      <c r="H41" s="51">
        <v>39.0</v>
      </c>
      <c r="I41" s="227" t="s">
        <v>765</v>
      </c>
      <c r="J41" s="228"/>
      <c r="K41" s="228"/>
      <c r="L41" s="228"/>
      <c r="M41" s="228"/>
    </row>
    <row r="42">
      <c r="A42" s="230"/>
      <c r="H42" s="51">
        <v>40.0</v>
      </c>
      <c r="I42" s="227" t="s">
        <v>766</v>
      </c>
      <c r="J42" s="228"/>
      <c r="K42" s="228"/>
      <c r="L42" s="228"/>
      <c r="M42" s="228"/>
    </row>
    <row r="43">
      <c r="A43" s="230"/>
      <c r="H43" s="51">
        <v>41.0</v>
      </c>
      <c r="I43" s="227" t="s">
        <v>767</v>
      </c>
      <c r="J43" s="231" t="s">
        <v>768</v>
      </c>
      <c r="K43" s="231" t="s">
        <v>769</v>
      </c>
      <c r="L43" s="51">
        <v>8.0</v>
      </c>
      <c r="M43" s="228"/>
    </row>
    <row r="44">
      <c r="A44" s="230"/>
      <c r="H44" s="51">
        <v>42.0</v>
      </c>
      <c r="I44" s="227" t="s">
        <v>770</v>
      </c>
      <c r="J44" s="228"/>
      <c r="K44" s="228"/>
      <c r="L44" s="228"/>
      <c r="M44" s="228"/>
    </row>
    <row r="45">
      <c r="A45" s="230"/>
      <c r="H45" s="51">
        <v>43.0</v>
      </c>
      <c r="I45" s="227" t="s">
        <v>771</v>
      </c>
      <c r="J45" s="228"/>
      <c r="K45" s="228"/>
      <c r="L45" s="228"/>
      <c r="M45" s="228"/>
    </row>
    <row r="46">
      <c r="A46" s="230"/>
      <c r="H46" s="51">
        <v>44.0</v>
      </c>
      <c r="I46" s="227" t="s">
        <v>772</v>
      </c>
      <c r="J46" s="228"/>
      <c r="K46" s="228"/>
      <c r="L46" s="228"/>
      <c r="M46" s="228"/>
    </row>
    <row r="47">
      <c r="A47" s="230"/>
      <c r="H47" s="51">
        <v>45.0</v>
      </c>
      <c r="I47" s="227" t="s">
        <v>773</v>
      </c>
      <c r="J47" s="231" t="s">
        <v>774</v>
      </c>
      <c r="K47" s="231" t="s">
        <v>775</v>
      </c>
      <c r="L47" s="51">
        <v>7.0</v>
      </c>
      <c r="M47" s="228"/>
    </row>
    <row r="48">
      <c r="A48" s="230"/>
      <c r="H48" s="51">
        <v>46.0</v>
      </c>
      <c r="I48" s="227" t="s">
        <v>776</v>
      </c>
      <c r="J48" s="228"/>
      <c r="K48" s="228"/>
      <c r="L48" s="228"/>
      <c r="M48" s="228"/>
    </row>
    <row r="49">
      <c r="A49" s="230"/>
      <c r="H49" s="51">
        <v>47.0</v>
      </c>
      <c r="I49" s="227" t="s">
        <v>777</v>
      </c>
      <c r="J49" s="228"/>
      <c r="K49" s="228"/>
      <c r="L49" s="228"/>
      <c r="M49" s="228"/>
    </row>
    <row r="50">
      <c r="A50" s="230"/>
      <c r="H50" s="51">
        <v>48.0</v>
      </c>
      <c r="I50" s="227" t="s">
        <v>778</v>
      </c>
      <c r="J50" s="228"/>
      <c r="K50" s="228"/>
      <c r="L50" s="228"/>
      <c r="M50" s="228"/>
    </row>
    <row r="51">
      <c r="A51" s="230"/>
      <c r="H51" s="51">
        <v>49.0</v>
      </c>
      <c r="I51" s="227" t="s">
        <v>779</v>
      </c>
      <c r="J51" s="228"/>
      <c r="K51" s="228"/>
      <c r="L51" s="228"/>
      <c r="M51" s="228"/>
    </row>
    <row r="52">
      <c r="A52" s="230"/>
      <c r="H52" s="51">
        <v>50.0</v>
      </c>
      <c r="I52" s="227" t="s">
        <v>780</v>
      </c>
      <c r="J52" s="228"/>
      <c r="K52" s="228"/>
      <c r="L52" s="228"/>
      <c r="M52" s="51" t="s">
        <v>781</v>
      </c>
    </row>
    <row r="53">
      <c r="A53" s="230"/>
      <c r="H53" s="51">
        <v>51.0</v>
      </c>
      <c r="I53" s="227" t="s">
        <v>782</v>
      </c>
      <c r="J53" s="231" t="s">
        <v>783</v>
      </c>
      <c r="K53" s="231" t="s">
        <v>784</v>
      </c>
      <c r="L53" s="51">
        <v>5.0</v>
      </c>
      <c r="M53" s="228"/>
    </row>
    <row r="54">
      <c r="A54" s="230"/>
      <c r="H54" s="51">
        <v>52.0</v>
      </c>
      <c r="I54" s="227" t="s">
        <v>785</v>
      </c>
      <c r="J54" s="228"/>
      <c r="K54" s="228"/>
      <c r="L54" s="228"/>
      <c r="M54" s="228"/>
    </row>
    <row r="55">
      <c r="A55" s="230"/>
      <c r="H55" s="51">
        <v>53.0</v>
      </c>
      <c r="I55" s="227" t="s">
        <v>786</v>
      </c>
      <c r="J55" s="228"/>
      <c r="K55" s="228"/>
      <c r="L55" s="228"/>
      <c r="M55" s="228"/>
    </row>
    <row r="56">
      <c r="A56" s="230"/>
      <c r="H56" s="51">
        <v>54.0</v>
      </c>
      <c r="I56" s="232"/>
      <c r="J56" s="228"/>
      <c r="K56" s="228"/>
      <c r="L56" s="228"/>
      <c r="M56" s="228"/>
    </row>
    <row r="57">
      <c r="A57" s="230"/>
      <c r="H57" s="51">
        <v>55.0</v>
      </c>
      <c r="I57" s="77"/>
      <c r="J57" s="228"/>
      <c r="K57" s="228"/>
      <c r="L57" s="228"/>
      <c r="M57" s="228"/>
    </row>
    <row r="58">
      <c r="A58" s="230"/>
      <c r="H58" s="230"/>
      <c r="J58" s="230"/>
      <c r="K58" s="230"/>
      <c r="L58" s="230"/>
      <c r="M58" s="230"/>
    </row>
    <row r="59">
      <c r="A59" s="230"/>
      <c r="H59" s="230"/>
      <c r="J59" s="230"/>
      <c r="K59" s="230"/>
      <c r="L59" s="230"/>
      <c r="M59" s="230"/>
    </row>
    <row r="60">
      <c r="A60" s="230"/>
      <c r="H60" s="230"/>
      <c r="J60" s="230"/>
      <c r="K60" s="230"/>
      <c r="L60" s="230"/>
      <c r="M60" s="230"/>
    </row>
    <row r="61">
      <c r="A61" s="230"/>
      <c r="H61" s="230"/>
      <c r="J61" s="230"/>
      <c r="K61" s="230"/>
      <c r="L61" s="230"/>
      <c r="M61" s="230"/>
    </row>
    <row r="62">
      <c r="A62" s="230"/>
      <c r="H62" s="230"/>
      <c r="J62" s="230"/>
      <c r="K62" s="230"/>
      <c r="L62" s="230"/>
      <c r="M62" s="230"/>
    </row>
    <row r="63">
      <c r="A63" s="230"/>
      <c r="H63" s="230"/>
      <c r="J63" s="230"/>
      <c r="K63" s="230"/>
      <c r="L63" s="230"/>
      <c r="M63" s="230"/>
    </row>
    <row r="64">
      <c r="A64" s="230"/>
      <c r="H64" s="230"/>
      <c r="J64" s="230"/>
      <c r="K64" s="230"/>
      <c r="L64" s="230"/>
      <c r="M64" s="230"/>
    </row>
    <row r="65">
      <c r="A65" s="230"/>
      <c r="H65" s="230"/>
      <c r="J65" s="230"/>
      <c r="K65" s="230"/>
      <c r="L65" s="230"/>
      <c r="M65" s="230"/>
    </row>
    <row r="66">
      <c r="A66" s="230"/>
      <c r="H66" s="230"/>
      <c r="J66" s="230"/>
      <c r="K66" s="230"/>
      <c r="L66" s="230"/>
      <c r="M66" s="230"/>
    </row>
    <row r="67">
      <c r="A67" s="230"/>
      <c r="H67" s="230"/>
      <c r="J67" s="230"/>
      <c r="K67" s="230"/>
      <c r="L67" s="230"/>
      <c r="M67" s="230"/>
    </row>
    <row r="68">
      <c r="A68" s="230"/>
      <c r="H68" s="230"/>
      <c r="J68" s="230"/>
      <c r="K68" s="230"/>
      <c r="L68" s="230"/>
      <c r="M68" s="230"/>
    </row>
    <row r="69">
      <c r="A69" s="230"/>
      <c r="H69" s="230"/>
      <c r="J69" s="230"/>
      <c r="K69" s="230"/>
      <c r="L69" s="230"/>
      <c r="M69" s="230"/>
    </row>
    <row r="70">
      <c r="A70" s="230"/>
      <c r="H70" s="230"/>
      <c r="J70" s="230"/>
      <c r="K70" s="230"/>
      <c r="L70" s="230"/>
      <c r="M70" s="230"/>
    </row>
    <row r="71">
      <c r="A71" s="230"/>
      <c r="H71" s="230"/>
      <c r="J71" s="230"/>
      <c r="K71" s="230"/>
      <c r="L71" s="230"/>
      <c r="M71" s="230"/>
    </row>
    <row r="72">
      <c r="A72" s="230"/>
      <c r="H72" s="230"/>
      <c r="J72" s="230"/>
      <c r="K72" s="230"/>
      <c r="L72" s="230"/>
      <c r="M72" s="230"/>
    </row>
    <row r="73">
      <c r="A73" s="230"/>
      <c r="H73" s="230"/>
      <c r="J73" s="230"/>
      <c r="K73" s="230"/>
      <c r="L73" s="230"/>
      <c r="M73" s="230"/>
    </row>
    <row r="74">
      <c r="A74" s="230"/>
      <c r="H74" s="230"/>
      <c r="J74" s="230"/>
      <c r="K74" s="230"/>
      <c r="L74" s="230"/>
      <c r="M74" s="230"/>
    </row>
    <row r="75">
      <c r="A75" s="230"/>
      <c r="H75" s="230"/>
      <c r="J75" s="230"/>
      <c r="K75" s="230"/>
      <c r="L75" s="230"/>
      <c r="M75" s="230"/>
    </row>
    <row r="76">
      <c r="A76" s="230"/>
      <c r="H76" s="230"/>
      <c r="J76" s="230"/>
      <c r="K76" s="230"/>
      <c r="L76" s="230"/>
      <c r="M76" s="230"/>
    </row>
    <row r="77">
      <c r="A77" s="230"/>
      <c r="H77" s="230"/>
      <c r="J77" s="230"/>
      <c r="K77" s="230"/>
      <c r="L77" s="230"/>
      <c r="M77" s="230"/>
    </row>
    <row r="78">
      <c r="A78" s="230"/>
      <c r="H78" s="230"/>
      <c r="J78" s="230"/>
      <c r="K78" s="230"/>
      <c r="L78" s="230"/>
      <c r="M78" s="230"/>
    </row>
    <row r="79">
      <c r="A79" s="230"/>
      <c r="H79" s="230"/>
      <c r="J79" s="230"/>
      <c r="K79" s="230"/>
      <c r="L79" s="230"/>
      <c r="M79" s="230"/>
    </row>
    <row r="80">
      <c r="A80" s="230"/>
      <c r="H80" s="230"/>
      <c r="J80" s="230"/>
      <c r="K80" s="230"/>
      <c r="L80" s="230"/>
      <c r="M80" s="230"/>
    </row>
    <row r="81">
      <c r="A81" s="230"/>
      <c r="H81" s="230"/>
      <c r="J81" s="230"/>
      <c r="K81" s="230"/>
      <c r="L81" s="230"/>
      <c r="M81" s="230"/>
    </row>
    <row r="82">
      <c r="A82" s="230"/>
      <c r="H82" s="230"/>
      <c r="J82" s="230"/>
      <c r="K82" s="230"/>
      <c r="L82" s="230"/>
      <c r="M82" s="230"/>
    </row>
    <row r="83">
      <c r="A83" s="230"/>
      <c r="H83" s="230"/>
      <c r="J83" s="230"/>
      <c r="K83" s="230"/>
      <c r="L83" s="230"/>
      <c r="M83" s="230"/>
    </row>
    <row r="84">
      <c r="A84" s="230"/>
      <c r="H84" s="230"/>
      <c r="J84" s="230"/>
      <c r="K84" s="230"/>
      <c r="L84" s="230"/>
      <c r="M84" s="230"/>
    </row>
    <row r="85">
      <c r="A85" s="230"/>
      <c r="H85" s="230"/>
      <c r="J85" s="230"/>
      <c r="K85" s="230"/>
      <c r="L85" s="230"/>
      <c r="M85" s="230"/>
    </row>
    <row r="86">
      <c r="A86" s="230"/>
      <c r="H86" s="230"/>
      <c r="J86" s="230"/>
      <c r="K86" s="230"/>
      <c r="L86" s="230"/>
      <c r="M86" s="230"/>
    </row>
    <row r="87">
      <c r="A87" s="230"/>
      <c r="H87" s="230"/>
      <c r="J87" s="230"/>
      <c r="K87" s="230"/>
      <c r="L87" s="230"/>
      <c r="M87" s="230"/>
    </row>
    <row r="88">
      <c r="A88" s="230"/>
      <c r="H88" s="230"/>
      <c r="J88" s="230"/>
      <c r="K88" s="230"/>
      <c r="L88" s="230"/>
      <c r="M88" s="230"/>
    </row>
    <row r="89">
      <c r="A89" s="230"/>
      <c r="J89" s="230"/>
      <c r="K89" s="230"/>
      <c r="L89" s="230"/>
      <c r="M89" s="230"/>
    </row>
    <row r="90">
      <c r="A90" s="230"/>
      <c r="J90" s="230"/>
      <c r="K90" s="230"/>
      <c r="L90" s="230"/>
      <c r="M90" s="230"/>
    </row>
    <row r="91">
      <c r="A91" s="230"/>
      <c r="J91" s="230"/>
      <c r="K91" s="230"/>
      <c r="L91" s="230"/>
      <c r="M91" s="230"/>
    </row>
    <row r="92">
      <c r="A92" s="230"/>
      <c r="J92" s="230"/>
      <c r="K92" s="230"/>
      <c r="L92" s="230"/>
      <c r="M92" s="230"/>
    </row>
    <row r="93">
      <c r="A93" s="230"/>
      <c r="J93" s="230"/>
      <c r="K93" s="230"/>
      <c r="L93" s="230"/>
      <c r="M93" s="230"/>
    </row>
    <row r="94">
      <c r="A94" s="230"/>
      <c r="J94" s="230"/>
      <c r="K94" s="230"/>
      <c r="L94" s="230"/>
      <c r="M94" s="230"/>
    </row>
    <row r="95">
      <c r="A95" s="230"/>
      <c r="J95" s="230"/>
      <c r="K95" s="230"/>
      <c r="L95" s="230"/>
      <c r="M95" s="230"/>
    </row>
    <row r="96">
      <c r="A96" s="230"/>
      <c r="J96" s="230"/>
      <c r="K96" s="230"/>
      <c r="L96" s="230"/>
      <c r="M96" s="230"/>
    </row>
    <row r="97">
      <c r="A97" s="230"/>
      <c r="J97" s="230"/>
      <c r="K97" s="230"/>
      <c r="L97" s="230"/>
      <c r="M97" s="230"/>
    </row>
    <row r="98">
      <c r="A98" s="230"/>
      <c r="J98" s="230"/>
      <c r="K98" s="230"/>
      <c r="L98" s="230"/>
      <c r="M98" s="230"/>
    </row>
    <row r="99">
      <c r="A99" s="230"/>
      <c r="J99" s="230"/>
      <c r="K99" s="230"/>
      <c r="L99" s="230"/>
      <c r="M99" s="230"/>
    </row>
    <row r="100">
      <c r="A100" s="230"/>
      <c r="J100" s="230"/>
      <c r="K100" s="230"/>
      <c r="L100" s="230"/>
      <c r="M100" s="230"/>
    </row>
    <row r="101">
      <c r="A101" s="230"/>
      <c r="J101" s="230"/>
      <c r="K101" s="230"/>
      <c r="L101" s="230"/>
      <c r="M101" s="230"/>
    </row>
    <row r="102">
      <c r="A102" s="230"/>
      <c r="J102" s="230"/>
      <c r="K102" s="230"/>
      <c r="L102" s="230"/>
      <c r="M102" s="230"/>
    </row>
    <row r="103">
      <c r="A103" s="230"/>
      <c r="J103" s="230"/>
      <c r="K103" s="230"/>
      <c r="L103" s="230"/>
      <c r="M103" s="230"/>
    </row>
    <row r="104">
      <c r="A104" s="230"/>
      <c r="J104" s="230"/>
      <c r="K104" s="230"/>
      <c r="L104" s="230"/>
      <c r="M104" s="230"/>
    </row>
    <row r="105">
      <c r="A105" s="230"/>
      <c r="J105" s="230"/>
      <c r="K105" s="230"/>
      <c r="L105" s="230"/>
      <c r="M105" s="230"/>
    </row>
    <row r="106">
      <c r="A106" s="230"/>
      <c r="J106" s="230"/>
      <c r="K106" s="230"/>
      <c r="L106" s="230"/>
      <c r="M106" s="230"/>
    </row>
    <row r="107">
      <c r="A107" s="230"/>
      <c r="J107" s="230"/>
      <c r="K107" s="230"/>
      <c r="L107" s="230"/>
      <c r="M107" s="230"/>
    </row>
    <row r="108">
      <c r="A108" s="230"/>
      <c r="J108" s="230"/>
      <c r="K108" s="230"/>
      <c r="L108" s="230"/>
      <c r="M108" s="230"/>
    </row>
    <row r="109">
      <c r="A109" s="230"/>
      <c r="J109" s="230"/>
      <c r="K109" s="230"/>
      <c r="L109" s="230"/>
      <c r="M109" s="230"/>
    </row>
    <row r="110">
      <c r="A110" s="230"/>
      <c r="J110" s="230"/>
      <c r="K110" s="230"/>
      <c r="L110" s="230"/>
      <c r="M110" s="230"/>
    </row>
    <row r="111">
      <c r="A111" s="230"/>
      <c r="J111" s="230"/>
      <c r="K111" s="230"/>
      <c r="L111" s="230"/>
      <c r="M111" s="230"/>
    </row>
    <row r="112">
      <c r="A112" s="230"/>
      <c r="J112" s="230"/>
      <c r="K112" s="230"/>
      <c r="L112" s="230"/>
      <c r="M112" s="230"/>
    </row>
    <row r="113">
      <c r="A113" s="230"/>
      <c r="J113" s="230"/>
      <c r="K113" s="230"/>
      <c r="L113" s="230"/>
      <c r="M113" s="230"/>
    </row>
    <row r="114">
      <c r="A114" s="230"/>
      <c r="J114" s="230"/>
      <c r="K114" s="230"/>
      <c r="L114" s="230"/>
      <c r="M114" s="230"/>
    </row>
    <row r="115">
      <c r="A115" s="230"/>
      <c r="J115" s="230"/>
      <c r="K115" s="230"/>
      <c r="L115" s="230"/>
      <c r="M115" s="230"/>
    </row>
    <row r="116">
      <c r="A116" s="230"/>
      <c r="J116" s="230"/>
      <c r="K116" s="230"/>
      <c r="L116" s="230"/>
      <c r="M116" s="230"/>
    </row>
    <row r="117">
      <c r="A117" s="230"/>
      <c r="J117" s="230"/>
      <c r="K117" s="230"/>
      <c r="L117" s="230"/>
      <c r="M117" s="230"/>
    </row>
    <row r="118">
      <c r="A118" s="230"/>
      <c r="J118" s="230"/>
      <c r="K118" s="230"/>
      <c r="L118" s="230"/>
      <c r="M118" s="230"/>
    </row>
    <row r="119">
      <c r="A119" s="230"/>
      <c r="J119" s="230"/>
      <c r="K119" s="230"/>
      <c r="L119" s="230"/>
      <c r="M119" s="230"/>
    </row>
    <row r="120">
      <c r="A120" s="230"/>
      <c r="J120" s="230"/>
      <c r="K120" s="230"/>
      <c r="L120" s="230"/>
      <c r="M120" s="230"/>
    </row>
    <row r="121">
      <c r="A121" s="230"/>
      <c r="J121" s="230"/>
      <c r="K121" s="230"/>
      <c r="L121" s="230"/>
      <c r="M121" s="230"/>
    </row>
    <row r="122">
      <c r="A122" s="230"/>
      <c r="J122" s="230"/>
      <c r="K122" s="230"/>
      <c r="L122" s="230"/>
      <c r="M122" s="230"/>
    </row>
    <row r="123">
      <c r="A123" s="230"/>
      <c r="J123" s="230"/>
      <c r="K123" s="230"/>
      <c r="L123" s="230"/>
      <c r="M123" s="230"/>
    </row>
    <row r="124">
      <c r="A124" s="230"/>
      <c r="J124" s="230"/>
      <c r="K124" s="230"/>
      <c r="L124" s="230"/>
      <c r="M124" s="230"/>
    </row>
    <row r="125">
      <c r="A125" s="230"/>
      <c r="J125" s="230"/>
      <c r="K125" s="230"/>
      <c r="L125" s="230"/>
      <c r="M125" s="230"/>
    </row>
    <row r="126">
      <c r="A126" s="230"/>
      <c r="J126" s="230"/>
      <c r="K126" s="230"/>
      <c r="L126" s="230"/>
      <c r="M126" s="230"/>
    </row>
    <row r="127">
      <c r="A127" s="230"/>
      <c r="J127" s="230"/>
      <c r="K127" s="230"/>
      <c r="L127" s="230"/>
      <c r="M127" s="230"/>
    </row>
    <row r="128">
      <c r="A128" s="230"/>
      <c r="J128" s="230"/>
      <c r="K128" s="230"/>
      <c r="L128" s="230"/>
      <c r="M128" s="230"/>
    </row>
    <row r="129">
      <c r="A129" s="230"/>
      <c r="J129" s="230"/>
      <c r="K129" s="230"/>
      <c r="L129" s="230"/>
      <c r="M129" s="230"/>
    </row>
    <row r="130">
      <c r="A130" s="230"/>
      <c r="J130" s="230"/>
      <c r="K130" s="230"/>
      <c r="L130" s="230"/>
      <c r="M130" s="230"/>
    </row>
    <row r="131">
      <c r="A131" s="230"/>
      <c r="J131" s="230"/>
      <c r="K131" s="230"/>
      <c r="L131" s="230"/>
      <c r="M131" s="230"/>
    </row>
    <row r="132">
      <c r="A132" s="230"/>
      <c r="J132" s="230"/>
      <c r="K132" s="230"/>
      <c r="L132" s="230"/>
      <c r="M132" s="230"/>
    </row>
    <row r="133">
      <c r="A133" s="230"/>
      <c r="J133" s="230"/>
      <c r="K133" s="230"/>
      <c r="L133" s="230"/>
      <c r="M133" s="230"/>
    </row>
    <row r="134">
      <c r="A134" s="230"/>
      <c r="J134" s="230"/>
      <c r="K134" s="230"/>
      <c r="L134" s="230"/>
      <c r="M134" s="230"/>
    </row>
    <row r="135">
      <c r="A135" s="230"/>
      <c r="J135" s="230"/>
      <c r="K135" s="230"/>
      <c r="L135" s="230"/>
      <c r="M135" s="230"/>
    </row>
    <row r="136">
      <c r="A136" s="230"/>
      <c r="J136" s="230"/>
      <c r="K136" s="230"/>
      <c r="L136" s="230"/>
      <c r="M136" s="230"/>
    </row>
    <row r="137">
      <c r="A137" s="230"/>
      <c r="J137" s="230"/>
      <c r="K137" s="230"/>
      <c r="L137" s="230"/>
      <c r="M137" s="230"/>
    </row>
    <row r="138">
      <c r="A138" s="230"/>
      <c r="J138" s="230"/>
      <c r="K138" s="230"/>
      <c r="L138" s="230"/>
      <c r="M138" s="230"/>
    </row>
    <row r="139">
      <c r="A139" s="230"/>
      <c r="J139" s="230"/>
      <c r="K139" s="230"/>
      <c r="L139" s="230"/>
      <c r="M139" s="230"/>
    </row>
    <row r="140">
      <c r="A140" s="230"/>
      <c r="J140" s="230"/>
      <c r="K140" s="230"/>
      <c r="L140" s="230"/>
      <c r="M140" s="230"/>
    </row>
    <row r="141">
      <c r="A141" s="230"/>
      <c r="J141" s="230"/>
      <c r="K141" s="230"/>
      <c r="L141" s="230"/>
      <c r="M141" s="230"/>
    </row>
    <row r="142">
      <c r="A142" s="230"/>
      <c r="J142" s="230"/>
      <c r="K142" s="230"/>
      <c r="L142" s="230"/>
      <c r="M142" s="230"/>
    </row>
    <row r="143">
      <c r="A143" s="230"/>
      <c r="J143" s="230"/>
      <c r="K143" s="230"/>
      <c r="L143" s="230"/>
      <c r="M143" s="230"/>
    </row>
    <row r="144">
      <c r="A144" s="230"/>
      <c r="J144" s="230"/>
      <c r="K144" s="230"/>
      <c r="L144" s="230"/>
      <c r="M144" s="230"/>
    </row>
    <row r="145">
      <c r="A145" s="230"/>
      <c r="J145" s="230"/>
      <c r="K145" s="230"/>
      <c r="L145" s="230"/>
      <c r="M145" s="230"/>
    </row>
    <row r="146">
      <c r="A146" s="230"/>
      <c r="J146" s="230"/>
      <c r="K146" s="230"/>
      <c r="L146" s="230"/>
      <c r="M146" s="230"/>
    </row>
    <row r="147">
      <c r="A147" s="230"/>
      <c r="J147" s="230"/>
      <c r="K147" s="230"/>
      <c r="L147" s="230"/>
      <c r="M147" s="230"/>
    </row>
    <row r="148">
      <c r="A148" s="230"/>
      <c r="J148" s="230"/>
      <c r="K148" s="230"/>
      <c r="L148" s="230"/>
      <c r="M148" s="230"/>
    </row>
    <row r="149">
      <c r="A149" s="230"/>
      <c r="J149" s="230"/>
      <c r="K149" s="230"/>
      <c r="L149" s="230"/>
      <c r="M149" s="230"/>
    </row>
    <row r="150">
      <c r="A150" s="230"/>
      <c r="J150" s="230"/>
      <c r="K150" s="230"/>
      <c r="L150" s="230"/>
      <c r="M150" s="230"/>
    </row>
    <row r="151">
      <c r="A151" s="230"/>
      <c r="J151" s="230"/>
      <c r="K151" s="230"/>
      <c r="L151" s="230"/>
      <c r="M151" s="230"/>
    </row>
    <row r="152">
      <c r="A152" s="230"/>
      <c r="J152" s="230"/>
      <c r="K152" s="230"/>
      <c r="L152" s="230"/>
      <c r="M152" s="230"/>
    </row>
    <row r="153">
      <c r="A153" s="230"/>
      <c r="J153" s="230"/>
      <c r="K153" s="230"/>
      <c r="L153" s="230"/>
      <c r="M153" s="230"/>
    </row>
    <row r="154">
      <c r="A154" s="230"/>
      <c r="J154" s="230"/>
      <c r="K154" s="230"/>
      <c r="L154" s="230"/>
      <c r="M154" s="230"/>
    </row>
    <row r="155">
      <c r="A155" s="230"/>
      <c r="J155" s="230"/>
      <c r="K155" s="230"/>
      <c r="L155" s="230"/>
      <c r="M155" s="230"/>
    </row>
    <row r="156">
      <c r="A156" s="230"/>
      <c r="J156" s="230"/>
      <c r="K156" s="230"/>
      <c r="L156" s="230"/>
      <c r="M156" s="230"/>
    </row>
    <row r="157">
      <c r="A157" s="230"/>
      <c r="J157" s="230"/>
      <c r="K157" s="230"/>
      <c r="L157" s="230"/>
      <c r="M157" s="230"/>
    </row>
    <row r="158">
      <c r="A158" s="230"/>
      <c r="J158" s="230"/>
      <c r="K158" s="230"/>
      <c r="L158" s="230"/>
      <c r="M158" s="230"/>
    </row>
    <row r="159">
      <c r="A159" s="230"/>
      <c r="J159" s="230"/>
      <c r="K159" s="230"/>
      <c r="L159" s="230"/>
      <c r="M159" s="230"/>
    </row>
    <row r="160">
      <c r="A160" s="230"/>
      <c r="J160" s="230"/>
      <c r="K160" s="230"/>
      <c r="L160" s="230"/>
      <c r="M160" s="230"/>
    </row>
    <row r="161">
      <c r="A161" s="230"/>
      <c r="J161" s="230"/>
      <c r="K161" s="230"/>
      <c r="L161" s="230"/>
      <c r="M161" s="230"/>
    </row>
    <row r="162">
      <c r="A162" s="230"/>
      <c r="J162" s="230"/>
      <c r="K162" s="230"/>
      <c r="L162" s="230"/>
      <c r="M162" s="230"/>
    </row>
    <row r="163">
      <c r="A163" s="230"/>
      <c r="J163" s="230"/>
      <c r="K163" s="230"/>
      <c r="L163" s="230"/>
      <c r="M163" s="230"/>
    </row>
    <row r="164">
      <c r="A164" s="230"/>
      <c r="J164" s="230"/>
      <c r="K164" s="230"/>
      <c r="L164" s="230"/>
      <c r="M164" s="230"/>
    </row>
    <row r="165">
      <c r="A165" s="230"/>
      <c r="J165" s="230"/>
      <c r="K165" s="230"/>
      <c r="L165" s="230"/>
      <c r="M165" s="230"/>
    </row>
    <row r="166">
      <c r="A166" s="230"/>
      <c r="J166" s="230"/>
      <c r="K166" s="230"/>
      <c r="L166" s="230"/>
      <c r="M166" s="230"/>
    </row>
    <row r="167">
      <c r="A167" s="230"/>
      <c r="J167" s="230"/>
      <c r="K167" s="230"/>
      <c r="L167" s="230"/>
      <c r="M167" s="230"/>
    </row>
    <row r="168">
      <c r="A168" s="230"/>
      <c r="J168" s="230"/>
      <c r="K168" s="230"/>
      <c r="L168" s="230"/>
      <c r="M168" s="230"/>
    </row>
    <row r="169">
      <c r="A169" s="230"/>
      <c r="J169" s="230"/>
      <c r="K169" s="230"/>
      <c r="L169" s="230"/>
      <c r="M169" s="230"/>
    </row>
    <row r="170">
      <c r="A170" s="230"/>
      <c r="J170" s="230"/>
      <c r="K170" s="230"/>
      <c r="L170" s="230"/>
      <c r="M170" s="230"/>
    </row>
    <row r="171">
      <c r="A171" s="230"/>
      <c r="J171" s="230"/>
      <c r="K171" s="230"/>
      <c r="L171" s="230"/>
      <c r="M171" s="230"/>
    </row>
    <row r="172">
      <c r="A172" s="230"/>
      <c r="J172" s="230"/>
      <c r="K172" s="230"/>
      <c r="L172" s="230"/>
      <c r="M172" s="230"/>
    </row>
    <row r="173">
      <c r="A173" s="230"/>
      <c r="J173" s="230"/>
      <c r="K173" s="230"/>
      <c r="L173" s="230"/>
      <c r="M173" s="230"/>
    </row>
    <row r="174">
      <c r="A174" s="230"/>
      <c r="J174" s="230"/>
      <c r="K174" s="230"/>
      <c r="L174" s="230"/>
      <c r="M174" s="230"/>
    </row>
    <row r="175">
      <c r="A175" s="230"/>
      <c r="J175" s="230"/>
      <c r="K175" s="230"/>
      <c r="L175" s="230"/>
      <c r="M175" s="230"/>
    </row>
    <row r="176">
      <c r="A176" s="230"/>
      <c r="J176" s="230"/>
      <c r="K176" s="230"/>
      <c r="L176" s="230"/>
      <c r="M176" s="230"/>
    </row>
    <row r="177">
      <c r="A177" s="230"/>
      <c r="J177" s="230"/>
      <c r="K177" s="230"/>
      <c r="L177" s="230"/>
      <c r="M177" s="230"/>
    </row>
    <row r="178">
      <c r="A178" s="230"/>
      <c r="J178" s="230"/>
      <c r="K178" s="230"/>
      <c r="L178" s="230"/>
      <c r="M178" s="230"/>
    </row>
    <row r="179">
      <c r="A179" s="230"/>
      <c r="J179" s="230"/>
      <c r="K179" s="230"/>
      <c r="L179" s="230"/>
      <c r="M179" s="230"/>
    </row>
    <row r="180">
      <c r="A180" s="230"/>
      <c r="J180" s="230"/>
      <c r="K180" s="230"/>
      <c r="L180" s="230"/>
      <c r="M180" s="230"/>
    </row>
    <row r="181">
      <c r="A181" s="230"/>
      <c r="J181" s="230"/>
      <c r="K181" s="230"/>
      <c r="L181" s="230"/>
      <c r="M181" s="230"/>
    </row>
    <row r="182">
      <c r="A182" s="230"/>
      <c r="J182" s="230"/>
      <c r="K182" s="230"/>
      <c r="L182" s="230"/>
      <c r="M182" s="230"/>
    </row>
    <row r="183">
      <c r="A183" s="230"/>
      <c r="J183" s="230"/>
      <c r="K183" s="230"/>
      <c r="L183" s="230"/>
      <c r="M183" s="230"/>
    </row>
    <row r="184">
      <c r="A184" s="230"/>
      <c r="J184" s="230"/>
      <c r="K184" s="230"/>
      <c r="L184" s="230"/>
      <c r="M184" s="230"/>
    </row>
    <row r="185">
      <c r="A185" s="230"/>
      <c r="J185" s="230"/>
      <c r="K185" s="230"/>
      <c r="L185" s="230"/>
      <c r="M185" s="230"/>
    </row>
    <row r="186">
      <c r="A186" s="230"/>
      <c r="J186" s="230"/>
      <c r="K186" s="230"/>
      <c r="L186" s="230"/>
      <c r="M186" s="230"/>
    </row>
    <row r="187">
      <c r="A187" s="230"/>
      <c r="J187" s="230"/>
      <c r="K187" s="230"/>
      <c r="L187" s="230"/>
      <c r="M187" s="230"/>
    </row>
    <row r="188">
      <c r="A188" s="230"/>
      <c r="J188" s="230"/>
      <c r="K188" s="230"/>
      <c r="L188" s="230"/>
      <c r="M188" s="230"/>
    </row>
    <row r="189">
      <c r="A189" s="230"/>
      <c r="J189" s="230"/>
      <c r="K189" s="230"/>
      <c r="L189" s="230"/>
      <c r="M189" s="230"/>
    </row>
    <row r="190">
      <c r="A190" s="230"/>
      <c r="J190" s="230"/>
      <c r="K190" s="230"/>
      <c r="L190" s="230"/>
      <c r="M190" s="230"/>
    </row>
    <row r="191">
      <c r="A191" s="230"/>
      <c r="J191" s="230"/>
      <c r="K191" s="230"/>
      <c r="L191" s="230"/>
      <c r="M191" s="230"/>
    </row>
    <row r="192">
      <c r="A192" s="230"/>
      <c r="J192" s="230"/>
      <c r="K192" s="230"/>
      <c r="L192" s="230"/>
      <c r="M192" s="230"/>
    </row>
    <row r="193">
      <c r="A193" s="230"/>
      <c r="J193" s="230"/>
      <c r="K193" s="230"/>
      <c r="L193" s="230"/>
      <c r="M193" s="230"/>
    </row>
    <row r="194">
      <c r="A194" s="230"/>
      <c r="J194" s="230"/>
      <c r="K194" s="230"/>
      <c r="L194" s="230"/>
      <c r="M194" s="230"/>
    </row>
    <row r="195">
      <c r="A195" s="230"/>
      <c r="J195" s="230"/>
      <c r="K195" s="230"/>
      <c r="L195" s="230"/>
      <c r="M195" s="230"/>
    </row>
    <row r="196">
      <c r="A196" s="230"/>
      <c r="J196" s="230"/>
      <c r="K196" s="230"/>
      <c r="L196" s="230"/>
      <c r="M196" s="230"/>
    </row>
    <row r="197">
      <c r="A197" s="230"/>
      <c r="J197" s="230"/>
      <c r="K197" s="230"/>
      <c r="L197" s="230"/>
      <c r="M197" s="230"/>
    </row>
    <row r="198">
      <c r="A198" s="230"/>
      <c r="J198" s="230"/>
      <c r="K198" s="230"/>
      <c r="L198" s="230"/>
      <c r="M198" s="230"/>
    </row>
    <row r="199">
      <c r="A199" s="230"/>
      <c r="J199" s="230"/>
      <c r="K199" s="230"/>
      <c r="L199" s="230"/>
      <c r="M199" s="230"/>
    </row>
    <row r="200">
      <c r="A200" s="230"/>
      <c r="J200" s="230"/>
      <c r="K200" s="230"/>
      <c r="L200" s="230"/>
      <c r="M200" s="230"/>
    </row>
    <row r="201">
      <c r="A201" s="230"/>
      <c r="J201" s="230"/>
      <c r="K201" s="230"/>
      <c r="L201" s="230"/>
      <c r="M201" s="230"/>
    </row>
    <row r="202">
      <c r="A202" s="230"/>
      <c r="J202" s="230"/>
      <c r="K202" s="230"/>
      <c r="L202" s="230"/>
      <c r="M202" s="230"/>
    </row>
    <row r="203">
      <c r="A203" s="230"/>
      <c r="J203" s="230"/>
      <c r="K203" s="230"/>
      <c r="L203" s="230"/>
      <c r="M203" s="230"/>
    </row>
    <row r="204">
      <c r="A204" s="230"/>
      <c r="J204" s="230"/>
      <c r="K204" s="230"/>
      <c r="L204" s="230"/>
      <c r="M204" s="230"/>
    </row>
    <row r="205">
      <c r="A205" s="230"/>
      <c r="J205" s="230"/>
      <c r="K205" s="230"/>
      <c r="L205" s="230"/>
      <c r="M205" s="230"/>
    </row>
    <row r="206">
      <c r="A206" s="230"/>
      <c r="J206" s="230"/>
      <c r="K206" s="230"/>
      <c r="L206" s="230"/>
      <c r="M206" s="230"/>
    </row>
    <row r="207">
      <c r="A207" s="230"/>
      <c r="J207" s="230"/>
      <c r="K207" s="230"/>
      <c r="L207" s="230"/>
      <c r="M207" s="230"/>
    </row>
    <row r="208">
      <c r="A208" s="230"/>
      <c r="J208" s="230"/>
      <c r="K208" s="230"/>
      <c r="L208" s="230"/>
      <c r="M208" s="230"/>
    </row>
    <row r="209">
      <c r="A209" s="230"/>
      <c r="J209" s="230"/>
      <c r="K209" s="230"/>
      <c r="L209" s="230"/>
      <c r="M209" s="230"/>
    </row>
    <row r="210">
      <c r="A210" s="230"/>
      <c r="J210" s="230"/>
      <c r="K210" s="230"/>
      <c r="L210" s="230"/>
      <c r="M210" s="230"/>
    </row>
    <row r="211">
      <c r="A211" s="230"/>
      <c r="J211" s="230"/>
      <c r="K211" s="230"/>
      <c r="L211" s="230"/>
      <c r="M211" s="230"/>
    </row>
    <row r="212">
      <c r="A212" s="230"/>
      <c r="J212" s="230"/>
      <c r="K212" s="230"/>
      <c r="L212" s="230"/>
      <c r="M212" s="230"/>
    </row>
    <row r="213">
      <c r="A213" s="230"/>
      <c r="J213" s="230"/>
      <c r="K213" s="230"/>
      <c r="L213" s="230"/>
      <c r="M213" s="230"/>
    </row>
    <row r="214">
      <c r="A214" s="230"/>
      <c r="J214" s="230"/>
      <c r="K214" s="230"/>
      <c r="L214" s="230"/>
      <c r="M214" s="230"/>
    </row>
    <row r="215">
      <c r="A215" s="230"/>
      <c r="J215" s="230"/>
      <c r="K215" s="230"/>
      <c r="L215" s="230"/>
      <c r="M215" s="230"/>
    </row>
    <row r="216">
      <c r="A216" s="230"/>
      <c r="J216" s="230"/>
      <c r="K216" s="230"/>
      <c r="L216" s="230"/>
      <c r="M216" s="230"/>
    </row>
    <row r="217">
      <c r="A217" s="230"/>
      <c r="J217" s="230"/>
      <c r="K217" s="230"/>
      <c r="L217" s="230"/>
      <c r="M217" s="230"/>
    </row>
    <row r="218">
      <c r="A218" s="230"/>
      <c r="J218" s="230"/>
      <c r="K218" s="230"/>
      <c r="L218" s="230"/>
      <c r="M218" s="230"/>
    </row>
    <row r="219">
      <c r="A219" s="230"/>
      <c r="J219" s="230"/>
      <c r="K219" s="230"/>
      <c r="L219" s="230"/>
      <c r="M219" s="230"/>
    </row>
    <row r="220">
      <c r="A220" s="230"/>
      <c r="J220" s="230"/>
      <c r="K220" s="230"/>
      <c r="L220" s="230"/>
      <c r="M220" s="230"/>
    </row>
    <row r="221">
      <c r="A221" s="230"/>
      <c r="J221" s="230"/>
      <c r="K221" s="230"/>
      <c r="L221" s="230"/>
      <c r="M221" s="230"/>
    </row>
    <row r="222">
      <c r="A222" s="230"/>
      <c r="J222" s="230"/>
      <c r="K222" s="230"/>
      <c r="L222" s="230"/>
      <c r="M222" s="230"/>
    </row>
    <row r="223">
      <c r="A223" s="230"/>
      <c r="J223" s="230"/>
      <c r="K223" s="230"/>
      <c r="L223" s="230"/>
      <c r="M223" s="230"/>
    </row>
    <row r="224">
      <c r="A224" s="230"/>
      <c r="J224" s="230"/>
      <c r="K224" s="230"/>
      <c r="L224" s="230"/>
      <c r="M224" s="230"/>
    </row>
    <row r="225">
      <c r="A225" s="230"/>
      <c r="J225" s="230"/>
      <c r="K225" s="230"/>
      <c r="L225" s="230"/>
      <c r="M225" s="230"/>
    </row>
    <row r="226">
      <c r="A226" s="230"/>
      <c r="J226" s="230"/>
      <c r="K226" s="230"/>
      <c r="L226" s="230"/>
      <c r="M226" s="230"/>
    </row>
    <row r="227">
      <c r="A227" s="230"/>
      <c r="J227" s="230"/>
      <c r="K227" s="230"/>
      <c r="L227" s="230"/>
      <c r="M227" s="230"/>
    </row>
    <row r="228">
      <c r="A228" s="230"/>
      <c r="J228" s="230"/>
      <c r="K228" s="230"/>
      <c r="L228" s="230"/>
      <c r="M228" s="230"/>
    </row>
    <row r="229">
      <c r="A229" s="230"/>
      <c r="J229" s="230"/>
      <c r="K229" s="230"/>
      <c r="L229" s="230"/>
      <c r="M229" s="230"/>
    </row>
    <row r="230">
      <c r="A230" s="230"/>
      <c r="J230" s="230"/>
      <c r="K230" s="230"/>
      <c r="L230" s="230"/>
      <c r="M230" s="230"/>
    </row>
    <row r="231">
      <c r="A231" s="230"/>
      <c r="J231" s="230"/>
      <c r="K231" s="230"/>
      <c r="L231" s="230"/>
      <c r="M231" s="230"/>
    </row>
    <row r="232">
      <c r="A232" s="230"/>
      <c r="J232" s="230"/>
      <c r="K232" s="230"/>
      <c r="L232" s="230"/>
      <c r="M232" s="230"/>
    </row>
    <row r="233">
      <c r="A233" s="230"/>
      <c r="J233" s="230"/>
      <c r="K233" s="230"/>
      <c r="L233" s="230"/>
      <c r="M233" s="230"/>
    </row>
    <row r="234">
      <c r="A234" s="230"/>
      <c r="J234" s="230"/>
      <c r="K234" s="230"/>
      <c r="L234" s="230"/>
      <c r="M234" s="230"/>
    </row>
    <row r="235">
      <c r="A235" s="230"/>
      <c r="J235" s="230"/>
      <c r="K235" s="230"/>
      <c r="L235" s="230"/>
      <c r="M235" s="230"/>
    </row>
    <row r="236">
      <c r="A236" s="230"/>
      <c r="J236" s="230"/>
      <c r="K236" s="230"/>
      <c r="L236" s="230"/>
      <c r="M236" s="230"/>
    </row>
    <row r="237">
      <c r="A237" s="230"/>
      <c r="J237" s="230"/>
      <c r="K237" s="230"/>
      <c r="L237" s="230"/>
      <c r="M237" s="230"/>
    </row>
    <row r="238">
      <c r="A238" s="230"/>
      <c r="J238" s="230"/>
      <c r="K238" s="230"/>
      <c r="L238" s="230"/>
      <c r="M238" s="230"/>
    </row>
    <row r="239">
      <c r="A239" s="230"/>
      <c r="J239" s="230"/>
      <c r="K239" s="230"/>
      <c r="L239" s="230"/>
      <c r="M239" s="230"/>
    </row>
    <row r="240">
      <c r="A240" s="230"/>
      <c r="J240" s="230"/>
      <c r="K240" s="230"/>
      <c r="L240" s="230"/>
      <c r="M240" s="230"/>
    </row>
    <row r="241">
      <c r="A241" s="230"/>
      <c r="J241" s="230"/>
      <c r="K241" s="230"/>
      <c r="L241" s="230"/>
      <c r="M241" s="230"/>
    </row>
    <row r="242">
      <c r="A242" s="230"/>
      <c r="J242" s="230"/>
      <c r="K242" s="230"/>
      <c r="L242" s="230"/>
      <c r="M242" s="230"/>
    </row>
    <row r="243">
      <c r="A243" s="230"/>
      <c r="J243" s="230"/>
      <c r="K243" s="230"/>
      <c r="L243" s="230"/>
      <c r="M243" s="230"/>
    </row>
    <row r="244">
      <c r="A244" s="230"/>
      <c r="J244" s="230"/>
      <c r="K244" s="230"/>
      <c r="L244" s="230"/>
      <c r="M244" s="230"/>
    </row>
    <row r="245">
      <c r="A245" s="230"/>
      <c r="J245" s="230"/>
      <c r="K245" s="230"/>
      <c r="L245" s="230"/>
      <c r="M245" s="230"/>
    </row>
    <row r="246">
      <c r="A246" s="230"/>
      <c r="J246" s="230"/>
      <c r="K246" s="230"/>
      <c r="L246" s="230"/>
      <c r="M246" s="230"/>
    </row>
    <row r="247">
      <c r="A247" s="230"/>
      <c r="J247" s="230"/>
      <c r="K247" s="230"/>
      <c r="L247" s="230"/>
      <c r="M247" s="230"/>
    </row>
    <row r="248">
      <c r="A248" s="230"/>
      <c r="J248" s="230"/>
      <c r="K248" s="230"/>
      <c r="L248" s="230"/>
      <c r="M248" s="230"/>
    </row>
    <row r="249">
      <c r="A249" s="230"/>
      <c r="J249" s="230"/>
      <c r="K249" s="230"/>
      <c r="L249" s="230"/>
      <c r="M249" s="230"/>
    </row>
    <row r="250">
      <c r="A250" s="230"/>
      <c r="J250" s="230"/>
      <c r="K250" s="230"/>
      <c r="L250" s="230"/>
      <c r="M250" s="230"/>
    </row>
    <row r="251">
      <c r="A251" s="230"/>
      <c r="J251" s="230"/>
      <c r="K251" s="230"/>
      <c r="L251" s="230"/>
      <c r="M251" s="230"/>
    </row>
    <row r="252">
      <c r="A252" s="230"/>
      <c r="J252" s="230"/>
      <c r="K252" s="230"/>
      <c r="L252" s="230"/>
      <c r="M252" s="230"/>
    </row>
    <row r="253">
      <c r="A253" s="230"/>
      <c r="J253" s="230"/>
      <c r="K253" s="230"/>
      <c r="L253" s="230"/>
      <c r="M253" s="230"/>
    </row>
    <row r="254">
      <c r="A254" s="230"/>
      <c r="J254" s="230"/>
      <c r="K254" s="230"/>
      <c r="L254" s="230"/>
      <c r="M254" s="230"/>
    </row>
    <row r="255">
      <c r="A255" s="230"/>
      <c r="J255" s="230"/>
      <c r="K255" s="230"/>
      <c r="L255" s="230"/>
      <c r="M255" s="230"/>
    </row>
    <row r="256">
      <c r="A256" s="230"/>
      <c r="J256" s="230"/>
      <c r="K256" s="230"/>
      <c r="L256" s="230"/>
      <c r="M256" s="230"/>
    </row>
    <row r="257">
      <c r="A257" s="230"/>
      <c r="J257" s="230"/>
      <c r="K257" s="230"/>
      <c r="L257" s="230"/>
      <c r="M257" s="230"/>
    </row>
    <row r="258">
      <c r="A258" s="230"/>
      <c r="J258" s="230"/>
      <c r="K258" s="230"/>
      <c r="L258" s="230"/>
      <c r="M258" s="230"/>
    </row>
    <row r="259">
      <c r="A259" s="230"/>
      <c r="J259" s="230"/>
      <c r="K259" s="230"/>
      <c r="L259" s="230"/>
      <c r="M259" s="230"/>
    </row>
    <row r="260">
      <c r="A260" s="230"/>
      <c r="J260" s="230"/>
      <c r="K260" s="230"/>
      <c r="L260" s="230"/>
      <c r="M260" s="230"/>
    </row>
    <row r="261">
      <c r="A261" s="230"/>
      <c r="J261" s="230"/>
      <c r="K261" s="230"/>
      <c r="L261" s="230"/>
      <c r="M261" s="230"/>
    </row>
    <row r="262">
      <c r="A262" s="230"/>
      <c r="J262" s="230"/>
      <c r="K262" s="230"/>
      <c r="L262" s="230"/>
      <c r="M262" s="230"/>
    </row>
    <row r="263">
      <c r="A263" s="230"/>
      <c r="J263" s="230"/>
      <c r="K263" s="230"/>
      <c r="L263" s="230"/>
      <c r="M263" s="230"/>
    </row>
    <row r="264">
      <c r="A264" s="230"/>
      <c r="J264" s="230"/>
      <c r="K264" s="230"/>
      <c r="L264" s="230"/>
      <c r="M264" s="230"/>
    </row>
    <row r="265">
      <c r="A265" s="230"/>
      <c r="J265" s="230"/>
      <c r="K265" s="230"/>
      <c r="L265" s="230"/>
      <c r="M265" s="230"/>
    </row>
    <row r="266">
      <c r="A266" s="230"/>
      <c r="J266" s="230"/>
      <c r="K266" s="230"/>
      <c r="L266" s="230"/>
      <c r="M266" s="230"/>
    </row>
    <row r="267">
      <c r="A267" s="230"/>
      <c r="J267" s="230"/>
      <c r="K267" s="230"/>
      <c r="L267" s="230"/>
      <c r="M267" s="230"/>
    </row>
    <row r="268">
      <c r="A268" s="230"/>
      <c r="J268" s="230"/>
      <c r="K268" s="230"/>
      <c r="L268" s="230"/>
      <c r="M268" s="230"/>
    </row>
    <row r="269">
      <c r="A269" s="230"/>
      <c r="J269" s="230"/>
      <c r="K269" s="230"/>
      <c r="L269" s="230"/>
      <c r="M269" s="230"/>
    </row>
    <row r="270">
      <c r="A270" s="230"/>
      <c r="J270" s="230"/>
      <c r="K270" s="230"/>
      <c r="L270" s="230"/>
      <c r="M270" s="230"/>
    </row>
    <row r="271">
      <c r="A271" s="230"/>
      <c r="J271" s="230"/>
      <c r="K271" s="230"/>
      <c r="L271" s="230"/>
      <c r="M271" s="230"/>
    </row>
    <row r="272">
      <c r="A272" s="230"/>
      <c r="J272" s="230"/>
      <c r="K272" s="230"/>
      <c r="L272" s="230"/>
      <c r="M272" s="230"/>
    </row>
    <row r="273">
      <c r="A273" s="230"/>
      <c r="J273" s="230"/>
      <c r="K273" s="230"/>
      <c r="L273" s="230"/>
      <c r="M273" s="230"/>
    </row>
    <row r="274">
      <c r="A274" s="230"/>
      <c r="J274" s="230"/>
      <c r="K274" s="230"/>
      <c r="L274" s="230"/>
      <c r="M274" s="230"/>
    </row>
    <row r="275">
      <c r="A275" s="230"/>
      <c r="J275" s="230"/>
      <c r="K275" s="230"/>
      <c r="L275" s="230"/>
      <c r="M275" s="230"/>
    </row>
    <row r="276">
      <c r="A276" s="230"/>
      <c r="J276" s="230"/>
      <c r="K276" s="230"/>
      <c r="L276" s="230"/>
      <c r="M276" s="230"/>
    </row>
    <row r="277">
      <c r="A277" s="230"/>
      <c r="J277" s="230"/>
      <c r="K277" s="230"/>
      <c r="L277" s="230"/>
      <c r="M277" s="230"/>
    </row>
    <row r="278">
      <c r="A278" s="230"/>
      <c r="J278" s="230"/>
      <c r="K278" s="230"/>
      <c r="L278" s="230"/>
      <c r="M278" s="230"/>
    </row>
    <row r="279">
      <c r="A279" s="230"/>
      <c r="J279" s="230"/>
      <c r="K279" s="230"/>
      <c r="L279" s="230"/>
      <c r="M279" s="230"/>
    </row>
    <row r="280">
      <c r="A280" s="230"/>
      <c r="J280" s="230"/>
      <c r="K280" s="230"/>
      <c r="L280" s="230"/>
      <c r="M280" s="230"/>
    </row>
    <row r="281">
      <c r="A281" s="230"/>
      <c r="J281" s="230"/>
      <c r="K281" s="230"/>
      <c r="L281" s="230"/>
      <c r="M281" s="230"/>
    </row>
    <row r="282">
      <c r="A282" s="230"/>
      <c r="J282" s="230"/>
      <c r="K282" s="230"/>
      <c r="L282" s="230"/>
      <c r="M282" s="230"/>
    </row>
    <row r="283">
      <c r="A283" s="230"/>
      <c r="J283" s="230"/>
      <c r="K283" s="230"/>
      <c r="L283" s="230"/>
      <c r="M283" s="230"/>
    </row>
    <row r="284">
      <c r="A284" s="230"/>
      <c r="J284" s="230"/>
      <c r="K284" s="230"/>
      <c r="L284" s="230"/>
      <c r="M284" s="230"/>
    </row>
    <row r="285">
      <c r="A285" s="230"/>
      <c r="J285" s="230"/>
      <c r="K285" s="230"/>
      <c r="L285" s="230"/>
      <c r="M285" s="230"/>
    </row>
    <row r="286">
      <c r="A286" s="230"/>
      <c r="J286" s="230"/>
      <c r="K286" s="230"/>
      <c r="L286" s="230"/>
      <c r="M286" s="230"/>
    </row>
    <row r="287">
      <c r="A287" s="230"/>
      <c r="J287" s="230"/>
      <c r="K287" s="230"/>
      <c r="L287" s="230"/>
      <c r="M287" s="230"/>
    </row>
    <row r="288">
      <c r="A288" s="230"/>
      <c r="J288" s="230"/>
      <c r="K288" s="230"/>
      <c r="L288" s="230"/>
      <c r="M288" s="230"/>
    </row>
    <row r="289">
      <c r="A289" s="230"/>
      <c r="J289" s="230"/>
      <c r="K289" s="230"/>
      <c r="L289" s="230"/>
      <c r="M289" s="230"/>
    </row>
    <row r="290">
      <c r="A290" s="230"/>
      <c r="J290" s="230"/>
      <c r="K290" s="230"/>
      <c r="L290" s="230"/>
      <c r="M290" s="230"/>
    </row>
    <row r="291">
      <c r="A291" s="230"/>
      <c r="J291" s="230"/>
      <c r="K291" s="230"/>
      <c r="L291" s="230"/>
      <c r="M291" s="230"/>
    </row>
    <row r="292">
      <c r="A292" s="230"/>
      <c r="J292" s="230"/>
      <c r="K292" s="230"/>
      <c r="L292" s="230"/>
      <c r="M292" s="230"/>
    </row>
    <row r="293">
      <c r="A293" s="230"/>
      <c r="J293" s="230"/>
      <c r="K293" s="230"/>
      <c r="L293" s="230"/>
      <c r="M293" s="230"/>
    </row>
    <row r="294">
      <c r="A294" s="230"/>
      <c r="J294" s="230"/>
      <c r="K294" s="230"/>
      <c r="L294" s="230"/>
      <c r="M294" s="230"/>
    </row>
    <row r="295">
      <c r="A295" s="230"/>
      <c r="J295" s="230"/>
      <c r="K295" s="230"/>
      <c r="L295" s="230"/>
      <c r="M295" s="230"/>
    </row>
    <row r="296">
      <c r="A296" s="230"/>
      <c r="J296" s="230"/>
      <c r="K296" s="230"/>
      <c r="L296" s="230"/>
      <c r="M296" s="230"/>
    </row>
    <row r="297">
      <c r="A297" s="230"/>
      <c r="J297" s="230"/>
      <c r="K297" s="230"/>
      <c r="L297" s="230"/>
      <c r="M297" s="230"/>
    </row>
    <row r="298">
      <c r="A298" s="230"/>
      <c r="J298" s="230"/>
      <c r="K298" s="230"/>
      <c r="L298" s="230"/>
      <c r="M298" s="230"/>
    </row>
    <row r="299">
      <c r="A299" s="230"/>
      <c r="J299" s="230"/>
      <c r="K299" s="230"/>
      <c r="L299" s="230"/>
      <c r="M299" s="230"/>
    </row>
    <row r="300">
      <c r="A300" s="230"/>
      <c r="J300" s="230"/>
      <c r="K300" s="230"/>
      <c r="L300" s="230"/>
      <c r="M300" s="230"/>
    </row>
    <row r="301">
      <c r="A301" s="230"/>
      <c r="J301" s="230"/>
      <c r="K301" s="230"/>
      <c r="L301" s="230"/>
      <c r="M301" s="230"/>
    </row>
    <row r="302">
      <c r="A302" s="230"/>
      <c r="J302" s="230"/>
      <c r="K302" s="230"/>
      <c r="L302" s="230"/>
      <c r="M302" s="230"/>
    </row>
    <row r="303">
      <c r="A303" s="230"/>
      <c r="J303" s="230"/>
      <c r="K303" s="230"/>
      <c r="L303" s="230"/>
      <c r="M303" s="230"/>
    </row>
    <row r="304">
      <c r="A304" s="230"/>
      <c r="J304" s="230"/>
      <c r="K304" s="230"/>
      <c r="L304" s="230"/>
      <c r="M304" s="230"/>
    </row>
    <row r="305">
      <c r="A305" s="230"/>
      <c r="J305" s="230"/>
      <c r="K305" s="230"/>
      <c r="L305" s="230"/>
      <c r="M305" s="230"/>
    </row>
    <row r="306">
      <c r="A306" s="230"/>
      <c r="J306" s="230"/>
      <c r="K306" s="230"/>
      <c r="L306" s="230"/>
      <c r="M306" s="230"/>
    </row>
    <row r="307">
      <c r="A307" s="230"/>
      <c r="J307" s="230"/>
      <c r="K307" s="230"/>
      <c r="L307" s="230"/>
      <c r="M307" s="230"/>
    </row>
    <row r="308">
      <c r="A308" s="230"/>
      <c r="J308" s="230"/>
      <c r="K308" s="230"/>
      <c r="L308" s="230"/>
      <c r="M308" s="230"/>
    </row>
    <row r="309">
      <c r="A309" s="230"/>
      <c r="J309" s="230"/>
      <c r="K309" s="230"/>
      <c r="L309" s="230"/>
      <c r="M309" s="230"/>
    </row>
    <row r="310">
      <c r="A310" s="230"/>
      <c r="J310" s="230"/>
      <c r="K310" s="230"/>
      <c r="L310" s="230"/>
      <c r="M310" s="230"/>
    </row>
    <row r="311">
      <c r="A311" s="230"/>
      <c r="J311" s="230"/>
      <c r="K311" s="230"/>
      <c r="L311" s="230"/>
      <c r="M311" s="230"/>
    </row>
    <row r="312">
      <c r="A312" s="230"/>
      <c r="J312" s="230"/>
      <c r="K312" s="230"/>
      <c r="L312" s="230"/>
      <c r="M312" s="230"/>
    </row>
    <row r="313">
      <c r="A313" s="230"/>
      <c r="J313" s="230"/>
      <c r="K313" s="230"/>
      <c r="L313" s="230"/>
      <c r="M313" s="230"/>
    </row>
    <row r="314">
      <c r="A314" s="230"/>
      <c r="J314" s="230"/>
      <c r="K314" s="230"/>
      <c r="L314" s="230"/>
      <c r="M314" s="230"/>
    </row>
    <row r="315">
      <c r="A315" s="230"/>
      <c r="J315" s="230"/>
      <c r="K315" s="230"/>
      <c r="L315" s="230"/>
      <c r="M315" s="230"/>
    </row>
    <row r="316">
      <c r="A316" s="230"/>
      <c r="J316" s="230"/>
      <c r="K316" s="230"/>
      <c r="L316" s="230"/>
      <c r="M316" s="230"/>
    </row>
    <row r="317">
      <c r="A317" s="230"/>
      <c r="J317" s="230"/>
      <c r="K317" s="230"/>
      <c r="L317" s="230"/>
      <c r="M317" s="230"/>
    </row>
    <row r="318">
      <c r="A318" s="230"/>
      <c r="J318" s="230"/>
      <c r="K318" s="230"/>
      <c r="L318" s="230"/>
      <c r="M318" s="230"/>
    </row>
    <row r="319">
      <c r="A319" s="230"/>
      <c r="J319" s="230"/>
      <c r="K319" s="230"/>
      <c r="L319" s="230"/>
      <c r="M319" s="230"/>
    </row>
    <row r="320">
      <c r="A320" s="230"/>
      <c r="J320" s="230"/>
      <c r="K320" s="230"/>
      <c r="L320" s="230"/>
      <c r="M320" s="230"/>
    </row>
    <row r="321">
      <c r="A321" s="230"/>
      <c r="J321" s="230"/>
      <c r="K321" s="230"/>
      <c r="L321" s="230"/>
      <c r="M321" s="230"/>
    </row>
    <row r="322">
      <c r="A322" s="230"/>
      <c r="J322" s="230"/>
      <c r="K322" s="230"/>
      <c r="L322" s="230"/>
      <c r="M322" s="230"/>
    </row>
    <row r="323">
      <c r="A323" s="230"/>
      <c r="J323" s="230"/>
      <c r="K323" s="230"/>
      <c r="L323" s="230"/>
      <c r="M323" s="230"/>
    </row>
    <row r="324">
      <c r="A324" s="230"/>
      <c r="J324" s="230"/>
      <c r="K324" s="230"/>
      <c r="L324" s="230"/>
      <c r="M324" s="230"/>
    </row>
    <row r="325">
      <c r="A325" s="230"/>
      <c r="J325" s="230"/>
      <c r="K325" s="230"/>
      <c r="L325" s="230"/>
      <c r="M325" s="230"/>
    </row>
    <row r="326">
      <c r="A326" s="230"/>
      <c r="J326" s="230"/>
      <c r="K326" s="230"/>
      <c r="L326" s="230"/>
      <c r="M326" s="230"/>
    </row>
    <row r="327">
      <c r="A327" s="230"/>
      <c r="J327" s="230"/>
      <c r="K327" s="230"/>
      <c r="L327" s="230"/>
      <c r="M327" s="230"/>
    </row>
    <row r="328">
      <c r="A328" s="230"/>
      <c r="J328" s="230"/>
      <c r="K328" s="230"/>
      <c r="L328" s="230"/>
      <c r="M328" s="230"/>
    </row>
    <row r="329">
      <c r="A329" s="230"/>
      <c r="J329" s="230"/>
      <c r="K329" s="230"/>
      <c r="L329" s="230"/>
      <c r="M329" s="230"/>
    </row>
    <row r="330">
      <c r="A330" s="230"/>
      <c r="J330" s="230"/>
      <c r="K330" s="230"/>
      <c r="L330" s="230"/>
      <c r="M330" s="230"/>
    </row>
    <row r="331">
      <c r="A331" s="230"/>
      <c r="J331" s="230"/>
      <c r="K331" s="230"/>
      <c r="L331" s="230"/>
      <c r="M331" s="230"/>
    </row>
    <row r="332">
      <c r="A332" s="230"/>
      <c r="J332" s="230"/>
      <c r="K332" s="230"/>
      <c r="L332" s="230"/>
      <c r="M332" s="230"/>
    </row>
    <row r="333">
      <c r="A333" s="230"/>
      <c r="J333" s="230"/>
      <c r="K333" s="230"/>
      <c r="L333" s="230"/>
      <c r="M333" s="230"/>
    </row>
    <row r="334">
      <c r="A334" s="230"/>
      <c r="J334" s="230"/>
      <c r="K334" s="230"/>
      <c r="L334" s="230"/>
      <c r="M334" s="230"/>
    </row>
    <row r="335">
      <c r="A335" s="230"/>
      <c r="J335" s="230"/>
      <c r="K335" s="230"/>
      <c r="L335" s="230"/>
      <c r="M335" s="230"/>
    </row>
    <row r="336">
      <c r="A336" s="230"/>
      <c r="J336" s="230"/>
      <c r="K336" s="230"/>
      <c r="L336" s="230"/>
      <c r="M336" s="230"/>
    </row>
    <row r="337">
      <c r="A337" s="230"/>
      <c r="J337" s="230"/>
      <c r="K337" s="230"/>
      <c r="L337" s="230"/>
      <c r="M337" s="230"/>
    </row>
    <row r="338">
      <c r="A338" s="230"/>
      <c r="J338" s="230"/>
      <c r="K338" s="230"/>
      <c r="L338" s="230"/>
      <c r="M338" s="230"/>
    </row>
    <row r="339">
      <c r="A339" s="230"/>
      <c r="J339" s="230"/>
      <c r="K339" s="230"/>
      <c r="L339" s="230"/>
      <c r="M339" s="230"/>
    </row>
    <row r="340">
      <c r="A340" s="230"/>
      <c r="J340" s="230"/>
      <c r="K340" s="230"/>
      <c r="L340" s="230"/>
      <c r="M340" s="230"/>
    </row>
    <row r="341">
      <c r="A341" s="230"/>
      <c r="J341" s="230"/>
      <c r="K341" s="230"/>
      <c r="L341" s="230"/>
      <c r="M341" s="230"/>
    </row>
    <row r="342">
      <c r="A342" s="230"/>
      <c r="J342" s="230"/>
      <c r="K342" s="230"/>
      <c r="L342" s="230"/>
      <c r="M342" s="230"/>
    </row>
    <row r="343">
      <c r="A343" s="230"/>
      <c r="J343" s="230"/>
      <c r="K343" s="230"/>
      <c r="L343" s="230"/>
      <c r="M343" s="230"/>
    </row>
    <row r="344">
      <c r="A344" s="230"/>
      <c r="J344" s="230"/>
      <c r="K344" s="230"/>
      <c r="L344" s="230"/>
      <c r="M344" s="230"/>
    </row>
    <row r="345">
      <c r="A345" s="230"/>
      <c r="J345" s="230"/>
      <c r="K345" s="230"/>
      <c r="L345" s="230"/>
      <c r="M345" s="230"/>
    </row>
    <row r="346">
      <c r="A346" s="230"/>
      <c r="J346" s="230"/>
      <c r="K346" s="230"/>
      <c r="L346" s="230"/>
      <c r="M346" s="230"/>
    </row>
    <row r="347">
      <c r="A347" s="230"/>
      <c r="J347" s="230"/>
      <c r="K347" s="230"/>
      <c r="L347" s="230"/>
      <c r="M347" s="230"/>
    </row>
    <row r="348">
      <c r="A348" s="230"/>
      <c r="J348" s="230"/>
      <c r="K348" s="230"/>
      <c r="L348" s="230"/>
      <c r="M348" s="230"/>
    </row>
    <row r="349">
      <c r="A349" s="230"/>
      <c r="J349" s="230"/>
      <c r="K349" s="230"/>
      <c r="L349" s="230"/>
      <c r="M349" s="230"/>
    </row>
    <row r="350">
      <c r="A350" s="230"/>
      <c r="J350" s="230"/>
      <c r="K350" s="230"/>
      <c r="L350" s="230"/>
      <c r="M350" s="230"/>
    </row>
    <row r="351">
      <c r="A351" s="230"/>
      <c r="J351" s="230"/>
      <c r="K351" s="230"/>
      <c r="L351" s="230"/>
      <c r="M351" s="230"/>
    </row>
    <row r="352">
      <c r="A352" s="230"/>
      <c r="J352" s="230"/>
      <c r="K352" s="230"/>
      <c r="L352" s="230"/>
      <c r="M352" s="230"/>
    </row>
    <row r="353">
      <c r="A353" s="230"/>
      <c r="J353" s="230"/>
      <c r="K353" s="230"/>
      <c r="L353" s="230"/>
      <c r="M353" s="230"/>
    </row>
    <row r="354">
      <c r="A354" s="230"/>
      <c r="J354" s="230"/>
      <c r="K354" s="230"/>
      <c r="L354" s="230"/>
      <c r="M354" s="230"/>
    </row>
    <row r="355">
      <c r="A355" s="230"/>
      <c r="J355" s="230"/>
      <c r="K355" s="230"/>
      <c r="L355" s="230"/>
      <c r="M355" s="230"/>
    </row>
    <row r="356">
      <c r="A356" s="230"/>
      <c r="J356" s="230"/>
      <c r="K356" s="230"/>
      <c r="L356" s="230"/>
      <c r="M356" s="230"/>
    </row>
    <row r="357">
      <c r="A357" s="230"/>
      <c r="J357" s="230"/>
      <c r="K357" s="230"/>
      <c r="L357" s="230"/>
      <c r="M357" s="230"/>
    </row>
    <row r="358">
      <c r="A358" s="230"/>
      <c r="J358" s="230"/>
      <c r="K358" s="230"/>
      <c r="L358" s="230"/>
      <c r="M358" s="230"/>
    </row>
    <row r="359">
      <c r="A359" s="230"/>
      <c r="J359" s="230"/>
      <c r="K359" s="230"/>
      <c r="L359" s="230"/>
      <c r="M359" s="230"/>
    </row>
    <row r="360">
      <c r="A360" s="230"/>
      <c r="J360" s="230"/>
      <c r="K360" s="230"/>
      <c r="L360" s="230"/>
      <c r="M360" s="230"/>
    </row>
    <row r="361">
      <c r="A361" s="230"/>
      <c r="J361" s="230"/>
      <c r="K361" s="230"/>
      <c r="L361" s="230"/>
      <c r="M361" s="230"/>
    </row>
    <row r="362">
      <c r="A362" s="230"/>
      <c r="J362" s="230"/>
      <c r="K362" s="230"/>
      <c r="L362" s="230"/>
      <c r="M362" s="230"/>
    </row>
    <row r="363">
      <c r="A363" s="230"/>
      <c r="J363" s="230"/>
      <c r="K363" s="230"/>
      <c r="L363" s="230"/>
      <c r="M363" s="230"/>
    </row>
    <row r="364">
      <c r="A364" s="230"/>
      <c r="J364" s="230"/>
      <c r="K364" s="230"/>
      <c r="L364" s="230"/>
      <c r="M364" s="230"/>
    </row>
    <row r="365">
      <c r="A365" s="230"/>
      <c r="J365" s="230"/>
      <c r="K365" s="230"/>
      <c r="L365" s="230"/>
      <c r="M365" s="230"/>
    </row>
    <row r="366">
      <c r="A366" s="230"/>
      <c r="J366" s="230"/>
      <c r="K366" s="230"/>
      <c r="L366" s="230"/>
      <c r="M366" s="230"/>
    </row>
    <row r="367">
      <c r="A367" s="230"/>
      <c r="J367" s="230"/>
      <c r="K367" s="230"/>
      <c r="L367" s="230"/>
      <c r="M367" s="230"/>
    </row>
    <row r="368">
      <c r="A368" s="230"/>
      <c r="J368" s="230"/>
      <c r="K368" s="230"/>
      <c r="L368" s="230"/>
      <c r="M368" s="230"/>
    </row>
    <row r="369">
      <c r="A369" s="230"/>
      <c r="J369" s="230"/>
      <c r="K369" s="230"/>
      <c r="L369" s="230"/>
      <c r="M369" s="230"/>
    </row>
    <row r="370">
      <c r="A370" s="230"/>
      <c r="J370" s="230"/>
      <c r="K370" s="230"/>
      <c r="L370" s="230"/>
      <c r="M370" s="230"/>
    </row>
    <row r="371">
      <c r="A371" s="230"/>
      <c r="J371" s="230"/>
      <c r="K371" s="230"/>
      <c r="L371" s="230"/>
      <c r="M371" s="230"/>
    </row>
    <row r="372">
      <c r="A372" s="230"/>
      <c r="J372" s="230"/>
      <c r="K372" s="230"/>
      <c r="L372" s="230"/>
      <c r="M372" s="230"/>
    </row>
    <row r="373">
      <c r="A373" s="230"/>
      <c r="J373" s="230"/>
      <c r="K373" s="230"/>
      <c r="L373" s="230"/>
      <c r="M373" s="230"/>
    </row>
    <row r="374">
      <c r="A374" s="230"/>
      <c r="J374" s="230"/>
      <c r="K374" s="230"/>
      <c r="L374" s="230"/>
      <c r="M374" s="230"/>
    </row>
    <row r="375">
      <c r="A375" s="230"/>
      <c r="J375" s="230"/>
      <c r="K375" s="230"/>
      <c r="L375" s="230"/>
      <c r="M375" s="230"/>
    </row>
    <row r="376">
      <c r="A376" s="230"/>
      <c r="J376" s="230"/>
      <c r="K376" s="230"/>
      <c r="L376" s="230"/>
      <c r="M376" s="230"/>
    </row>
    <row r="377">
      <c r="A377" s="230"/>
      <c r="J377" s="230"/>
      <c r="K377" s="230"/>
      <c r="L377" s="230"/>
      <c r="M377" s="230"/>
    </row>
    <row r="378">
      <c r="A378" s="230"/>
      <c r="J378" s="230"/>
      <c r="K378" s="230"/>
      <c r="L378" s="230"/>
      <c r="M378" s="230"/>
    </row>
    <row r="379">
      <c r="A379" s="230"/>
      <c r="J379" s="230"/>
      <c r="K379" s="230"/>
      <c r="L379" s="230"/>
      <c r="M379" s="230"/>
    </row>
    <row r="380">
      <c r="A380" s="230"/>
      <c r="J380" s="230"/>
      <c r="K380" s="230"/>
      <c r="L380" s="230"/>
      <c r="M380" s="230"/>
    </row>
    <row r="381">
      <c r="A381" s="230"/>
      <c r="J381" s="230"/>
      <c r="K381" s="230"/>
      <c r="L381" s="230"/>
      <c r="M381" s="230"/>
    </row>
    <row r="382">
      <c r="A382" s="230"/>
      <c r="J382" s="230"/>
      <c r="K382" s="230"/>
      <c r="L382" s="230"/>
      <c r="M382" s="230"/>
    </row>
    <row r="383">
      <c r="A383" s="230"/>
      <c r="J383" s="230"/>
      <c r="K383" s="230"/>
      <c r="L383" s="230"/>
      <c r="M383" s="230"/>
    </row>
    <row r="384">
      <c r="A384" s="230"/>
      <c r="J384" s="230"/>
      <c r="K384" s="230"/>
      <c r="L384" s="230"/>
      <c r="M384" s="230"/>
    </row>
    <row r="385">
      <c r="A385" s="230"/>
      <c r="J385" s="230"/>
      <c r="K385" s="230"/>
      <c r="L385" s="230"/>
      <c r="M385" s="230"/>
    </row>
    <row r="386">
      <c r="A386" s="230"/>
      <c r="J386" s="230"/>
      <c r="K386" s="230"/>
      <c r="L386" s="230"/>
      <c r="M386" s="230"/>
    </row>
    <row r="387">
      <c r="A387" s="230"/>
      <c r="J387" s="230"/>
      <c r="K387" s="230"/>
      <c r="L387" s="230"/>
      <c r="M387" s="230"/>
    </row>
    <row r="388">
      <c r="A388" s="230"/>
      <c r="J388" s="230"/>
      <c r="K388" s="230"/>
      <c r="L388" s="230"/>
      <c r="M388" s="230"/>
    </row>
    <row r="389">
      <c r="A389" s="230"/>
      <c r="J389" s="230"/>
      <c r="K389" s="230"/>
      <c r="L389" s="230"/>
      <c r="M389" s="230"/>
    </row>
    <row r="390">
      <c r="A390" s="230"/>
      <c r="J390" s="230"/>
      <c r="K390" s="230"/>
      <c r="L390" s="230"/>
      <c r="M390" s="230"/>
    </row>
    <row r="391">
      <c r="A391" s="230"/>
      <c r="J391" s="230"/>
      <c r="K391" s="230"/>
      <c r="L391" s="230"/>
      <c r="M391" s="230"/>
    </row>
    <row r="392">
      <c r="A392" s="230"/>
      <c r="J392" s="230"/>
      <c r="K392" s="230"/>
      <c r="L392" s="230"/>
      <c r="M392" s="230"/>
    </row>
    <row r="393">
      <c r="A393" s="230"/>
      <c r="J393" s="230"/>
      <c r="K393" s="230"/>
      <c r="L393" s="230"/>
      <c r="M393" s="230"/>
    </row>
    <row r="394">
      <c r="A394" s="230"/>
      <c r="J394" s="230"/>
      <c r="K394" s="230"/>
      <c r="L394" s="230"/>
      <c r="M394" s="230"/>
    </row>
    <row r="395">
      <c r="A395" s="230"/>
      <c r="J395" s="230"/>
      <c r="K395" s="230"/>
      <c r="L395" s="230"/>
      <c r="M395" s="230"/>
    </row>
    <row r="396">
      <c r="A396" s="230"/>
      <c r="J396" s="230"/>
      <c r="K396" s="230"/>
      <c r="L396" s="230"/>
      <c r="M396" s="230"/>
    </row>
    <row r="397">
      <c r="A397" s="230"/>
      <c r="J397" s="230"/>
      <c r="K397" s="230"/>
      <c r="L397" s="230"/>
      <c r="M397" s="230"/>
    </row>
    <row r="398">
      <c r="A398" s="230"/>
      <c r="J398" s="230"/>
      <c r="K398" s="230"/>
      <c r="L398" s="230"/>
      <c r="M398" s="230"/>
    </row>
    <row r="399">
      <c r="A399" s="230"/>
      <c r="J399" s="230"/>
      <c r="K399" s="230"/>
      <c r="L399" s="230"/>
      <c r="M399" s="230"/>
    </row>
    <row r="400">
      <c r="A400" s="230"/>
      <c r="J400" s="230"/>
      <c r="K400" s="230"/>
      <c r="L400" s="230"/>
      <c r="M400" s="230"/>
    </row>
    <row r="401">
      <c r="A401" s="230"/>
      <c r="J401" s="230"/>
      <c r="K401" s="230"/>
      <c r="L401" s="230"/>
      <c r="M401" s="230"/>
    </row>
    <row r="402">
      <c r="A402" s="230"/>
      <c r="J402" s="230"/>
      <c r="K402" s="230"/>
      <c r="L402" s="230"/>
      <c r="M402" s="230"/>
    </row>
    <row r="403">
      <c r="A403" s="230"/>
      <c r="J403" s="230"/>
      <c r="K403" s="230"/>
      <c r="L403" s="230"/>
      <c r="M403" s="230"/>
    </row>
    <row r="404">
      <c r="A404" s="230"/>
      <c r="J404" s="230"/>
      <c r="K404" s="230"/>
      <c r="L404" s="230"/>
      <c r="M404" s="230"/>
    </row>
    <row r="405">
      <c r="A405" s="230"/>
      <c r="J405" s="230"/>
      <c r="K405" s="230"/>
      <c r="L405" s="230"/>
      <c r="M405" s="230"/>
    </row>
    <row r="406">
      <c r="A406" s="230"/>
      <c r="J406" s="230"/>
      <c r="K406" s="230"/>
      <c r="L406" s="230"/>
      <c r="M406" s="230"/>
    </row>
    <row r="407">
      <c r="A407" s="230"/>
      <c r="J407" s="230"/>
      <c r="K407" s="230"/>
      <c r="L407" s="230"/>
      <c r="M407" s="230"/>
    </row>
    <row r="408">
      <c r="A408" s="230"/>
      <c r="J408" s="230"/>
      <c r="K408" s="230"/>
      <c r="L408" s="230"/>
      <c r="M408" s="230"/>
    </row>
    <row r="409">
      <c r="A409" s="230"/>
      <c r="J409" s="230"/>
      <c r="K409" s="230"/>
      <c r="L409" s="230"/>
      <c r="M409" s="230"/>
    </row>
    <row r="410">
      <c r="A410" s="230"/>
      <c r="J410" s="230"/>
      <c r="K410" s="230"/>
      <c r="L410" s="230"/>
      <c r="M410" s="230"/>
    </row>
    <row r="411">
      <c r="A411" s="230"/>
      <c r="J411" s="230"/>
      <c r="K411" s="230"/>
      <c r="L411" s="230"/>
      <c r="M411" s="230"/>
    </row>
    <row r="412">
      <c r="A412" s="230"/>
      <c r="J412" s="230"/>
      <c r="K412" s="230"/>
      <c r="L412" s="230"/>
      <c r="M412" s="230"/>
    </row>
    <row r="413">
      <c r="A413" s="230"/>
      <c r="J413" s="230"/>
      <c r="K413" s="230"/>
      <c r="L413" s="230"/>
      <c r="M413" s="230"/>
    </row>
    <row r="414">
      <c r="A414" s="230"/>
      <c r="J414" s="230"/>
      <c r="K414" s="230"/>
      <c r="L414" s="230"/>
      <c r="M414" s="230"/>
    </row>
    <row r="415">
      <c r="A415" s="230"/>
      <c r="J415" s="230"/>
      <c r="K415" s="230"/>
      <c r="L415" s="230"/>
      <c r="M415" s="230"/>
    </row>
    <row r="416">
      <c r="A416" s="230"/>
      <c r="J416" s="230"/>
      <c r="K416" s="230"/>
      <c r="L416" s="230"/>
      <c r="M416" s="230"/>
    </row>
    <row r="417">
      <c r="A417" s="230"/>
      <c r="J417" s="230"/>
      <c r="K417" s="230"/>
      <c r="L417" s="230"/>
      <c r="M417" s="230"/>
    </row>
    <row r="418">
      <c r="A418" s="230"/>
      <c r="J418" s="230"/>
      <c r="K418" s="230"/>
      <c r="L418" s="230"/>
      <c r="M418" s="230"/>
    </row>
    <row r="419">
      <c r="A419" s="230"/>
      <c r="J419" s="230"/>
      <c r="K419" s="230"/>
      <c r="L419" s="230"/>
      <c r="M419" s="230"/>
    </row>
    <row r="420">
      <c r="A420" s="230"/>
      <c r="J420" s="230"/>
      <c r="K420" s="230"/>
      <c r="L420" s="230"/>
      <c r="M420" s="230"/>
    </row>
    <row r="421">
      <c r="A421" s="230"/>
      <c r="J421" s="230"/>
      <c r="K421" s="230"/>
      <c r="L421" s="230"/>
      <c r="M421" s="230"/>
    </row>
    <row r="422">
      <c r="A422" s="230"/>
      <c r="J422" s="230"/>
      <c r="K422" s="230"/>
      <c r="L422" s="230"/>
      <c r="M422" s="230"/>
    </row>
    <row r="423">
      <c r="A423" s="230"/>
      <c r="J423" s="230"/>
      <c r="K423" s="230"/>
      <c r="L423" s="230"/>
      <c r="M423" s="230"/>
    </row>
    <row r="424">
      <c r="A424" s="230"/>
      <c r="J424" s="230"/>
      <c r="K424" s="230"/>
      <c r="L424" s="230"/>
      <c r="M424" s="230"/>
    </row>
    <row r="425">
      <c r="A425" s="230"/>
      <c r="J425" s="230"/>
      <c r="K425" s="230"/>
      <c r="L425" s="230"/>
      <c r="M425" s="230"/>
    </row>
    <row r="426">
      <c r="A426" s="230"/>
      <c r="J426" s="230"/>
      <c r="K426" s="230"/>
      <c r="L426" s="230"/>
      <c r="M426" s="230"/>
    </row>
    <row r="427">
      <c r="A427" s="230"/>
      <c r="J427" s="230"/>
      <c r="K427" s="230"/>
      <c r="L427" s="230"/>
      <c r="M427" s="230"/>
    </row>
    <row r="428">
      <c r="A428" s="230"/>
      <c r="J428" s="230"/>
      <c r="K428" s="230"/>
      <c r="L428" s="230"/>
      <c r="M428" s="230"/>
    </row>
    <row r="429">
      <c r="A429" s="230"/>
      <c r="J429" s="230"/>
      <c r="K429" s="230"/>
      <c r="L429" s="230"/>
      <c r="M429" s="230"/>
    </row>
    <row r="430">
      <c r="A430" s="230"/>
      <c r="J430" s="230"/>
      <c r="K430" s="230"/>
      <c r="L430" s="230"/>
      <c r="M430" s="230"/>
    </row>
    <row r="431">
      <c r="A431" s="230"/>
      <c r="J431" s="230"/>
      <c r="K431" s="230"/>
      <c r="L431" s="230"/>
      <c r="M431" s="230"/>
    </row>
    <row r="432">
      <c r="A432" s="230"/>
      <c r="J432" s="230"/>
      <c r="K432" s="230"/>
      <c r="L432" s="230"/>
      <c r="M432" s="230"/>
    </row>
    <row r="433">
      <c r="A433" s="230"/>
      <c r="J433" s="230"/>
      <c r="K433" s="230"/>
      <c r="L433" s="230"/>
      <c r="M433" s="230"/>
    </row>
    <row r="434">
      <c r="A434" s="230"/>
      <c r="J434" s="230"/>
      <c r="K434" s="230"/>
      <c r="L434" s="230"/>
      <c r="M434" s="230"/>
    </row>
    <row r="435">
      <c r="A435" s="230"/>
      <c r="J435" s="230"/>
      <c r="K435" s="230"/>
      <c r="L435" s="230"/>
      <c r="M435" s="230"/>
    </row>
    <row r="436">
      <c r="A436" s="230"/>
      <c r="J436" s="230"/>
      <c r="K436" s="230"/>
      <c r="L436" s="230"/>
      <c r="M436" s="230"/>
    </row>
    <row r="437">
      <c r="A437" s="230"/>
      <c r="J437" s="230"/>
      <c r="K437" s="230"/>
      <c r="L437" s="230"/>
      <c r="M437" s="230"/>
    </row>
    <row r="438">
      <c r="A438" s="230"/>
      <c r="J438" s="230"/>
      <c r="K438" s="230"/>
      <c r="L438" s="230"/>
      <c r="M438" s="230"/>
    </row>
    <row r="439">
      <c r="A439" s="230"/>
      <c r="J439" s="230"/>
      <c r="K439" s="230"/>
      <c r="L439" s="230"/>
      <c r="M439" s="230"/>
    </row>
    <row r="440">
      <c r="A440" s="230"/>
      <c r="J440" s="230"/>
      <c r="K440" s="230"/>
      <c r="L440" s="230"/>
      <c r="M440" s="230"/>
    </row>
    <row r="441">
      <c r="A441" s="230"/>
      <c r="J441" s="230"/>
      <c r="K441" s="230"/>
      <c r="L441" s="230"/>
      <c r="M441" s="230"/>
    </row>
    <row r="442">
      <c r="A442" s="230"/>
      <c r="J442" s="230"/>
      <c r="K442" s="230"/>
      <c r="L442" s="230"/>
      <c r="M442" s="230"/>
    </row>
    <row r="443">
      <c r="A443" s="230"/>
      <c r="J443" s="230"/>
      <c r="K443" s="230"/>
      <c r="L443" s="230"/>
      <c r="M443" s="230"/>
    </row>
    <row r="444">
      <c r="A444" s="230"/>
      <c r="J444" s="230"/>
      <c r="K444" s="230"/>
      <c r="L444" s="230"/>
      <c r="M444" s="230"/>
    </row>
    <row r="445">
      <c r="A445" s="230"/>
      <c r="J445" s="230"/>
      <c r="K445" s="230"/>
      <c r="L445" s="230"/>
      <c r="M445" s="230"/>
    </row>
    <row r="446">
      <c r="A446" s="230"/>
      <c r="J446" s="230"/>
      <c r="K446" s="230"/>
      <c r="L446" s="230"/>
      <c r="M446" s="230"/>
    </row>
    <row r="447">
      <c r="A447" s="230"/>
      <c r="J447" s="230"/>
      <c r="K447" s="230"/>
      <c r="L447" s="230"/>
      <c r="M447" s="230"/>
    </row>
    <row r="448">
      <c r="A448" s="230"/>
      <c r="J448" s="230"/>
      <c r="K448" s="230"/>
      <c r="L448" s="230"/>
      <c r="M448" s="230"/>
    </row>
    <row r="449">
      <c r="A449" s="230"/>
      <c r="J449" s="230"/>
      <c r="K449" s="230"/>
      <c r="L449" s="230"/>
      <c r="M449" s="230"/>
    </row>
    <row r="450">
      <c r="A450" s="230"/>
      <c r="J450" s="230"/>
      <c r="K450" s="230"/>
      <c r="L450" s="230"/>
      <c r="M450" s="230"/>
    </row>
    <row r="451">
      <c r="A451" s="230"/>
      <c r="J451" s="230"/>
      <c r="K451" s="230"/>
      <c r="L451" s="230"/>
      <c r="M451" s="230"/>
    </row>
    <row r="452">
      <c r="A452" s="230"/>
      <c r="J452" s="230"/>
      <c r="K452" s="230"/>
      <c r="L452" s="230"/>
      <c r="M452" s="230"/>
    </row>
    <row r="453">
      <c r="A453" s="230"/>
      <c r="J453" s="230"/>
      <c r="K453" s="230"/>
      <c r="L453" s="230"/>
      <c r="M453" s="230"/>
    </row>
    <row r="454">
      <c r="A454" s="230"/>
      <c r="J454" s="230"/>
      <c r="K454" s="230"/>
      <c r="L454" s="230"/>
      <c r="M454" s="230"/>
    </row>
    <row r="455">
      <c r="A455" s="230"/>
      <c r="J455" s="230"/>
      <c r="K455" s="230"/>
      <c r="L455" s="230"/>
      <c r="M455" s="230"/>
    </row>
    <row r="456">
      <c r="A456" s="230"/>
      <c r="J456" s="230"/>
      <c r="K456" s="230"/>
      <c r="L456" s="230"/>
      <c r="M456" s="230"/>
    </row>
    <row r="457">
      <c r="A457" s="230"/>
      <c r="J457" s="230"/>
      <c r="K457" s="230"/>
      <c r="L457" s="230"/>
      <c r="M457" s="230"/>
    </row>
    <row r="458">
      <c r="A458" s="230"/>
      <c r="J458" s="230"/>
      <c r="K458" s="230"/>
      <c r="L458" s="230"/>
      <c r="M458" s="230"/>
    </row>
    <row r="459">
      <c r="A459" s="230"/>
      <c r="J459" s="230"/>
      <c r="K459" s="230"/>
      <c r="L459" s="230"/>
      <c r="M459" s="230"/>
    </row>
    <row r="460">
      <c r="A460" s="230"/>
      <c r="J460" s="230"/>
      <c r="K460" s="230"/>
      <c r="L460" s="230"/>
      <c r="M460" s="230"/>
    </row>
    <row r="461">
      <c r="A461" s="230"/>
      <c r="J461" s="230"/>
      <c r="K461" s="230"/>
      <c r="L461" s="230"/>
      <c r="M461" s="230"/>
    </row>
    <row r="462">
      <c r="A462" s="230"/>
      <c r="J462" s="230"/>
      <c r="K462" s="230"/>
      <c r="L462" s="230"/>
      <c r="M462" s="230"/>
    </row>
    <row r="463">
      <c r="A463" s="230"/>
      <c r="J463" s="230"/>
      <c r="K463" s="230"/>
      <c r="L463" s="230"/>
      <c r="M463" s="230"/>
    </row>
    <row r="464">
      <c r="A464" s="230"/>
      <c r="J464" s="230"/>
      <c r="K464" s="230"/>
      <c r="L464" s="230"/>
      <c r="M464" s="230"/>
    </row>
    <row r="465">
      <c r="A465" s="230"/>
      <c r="J465" s="230"/>
      <c r="K465" s="230"/>
      <c r="L465" s="230"/>
      <c r="M465" s="230"/>
    </row>
    <row r="466">
      <c r="A466" s="230"/>
      <c r="J466" s="230"/>
      <c r="K466" s="230"/>
      <c r="L466" s="230"/>
      <c r="M466" s="230"/>
    </row>
    <row r="467">
      <c r="A467" s="230"/>
      <c r="J467" s="230"/>
      <c r="K467" s="230"/>
      <c r="L467" s="230"/>
      <c r="M467" s="230"/>
    </row>
    <row r="468">
      <c r="A468" s="230"/>
      <c r="J468" s="230"/>
      <c r="K468" s="230"/>
      <c r="L468" s="230"/>
      <c r="M468" s="230"/>
    </row>
    <row r="469">
      <c r="A469" s="230"/>
      <c r="J469" s="230"/>
      <c r="K469" s="230"/>
      <c r="L469" s="230"/>
      <c r="M469" s="230"/>
    </row>
    <row r="470">
      <c r="A470" s="230"/>
      <c r="J470" s="230"/>
      <c r="K470" s="230"/>
      <c r="L470" s="230"/>
      <c r="M470" s="230"/>
    </row>
    <row r="471">
      <c r="A471" s="230"/>
      <c r="J471" s="230"/>
      <c r="K471" s="230"/>
      <c r="L471" s="230"/>
      <c r="M471" s="230"/>
    </row>
    <row r="472">
      <c r="A472" s="230"/>
      <c r="J472" s="230"/>
      <c r="K472" s="230"/>
      <c r="L472" s="230"/>
      <c r="M472" s="230"/>
    </row>
    <row r="473">
      <c r="A473" s="230"/>
      <c r="J473" s="230"/>
      <c r="K473" s="230"/>
      <c r="L473" s="230"/>
      <c r="M473" s="230"/>
    </row>
    <row r="474">
      <c r="A474" s="230"/>
      <c r="J474" s="230"/>
      <c r="K474" s="230"/>
      <c r="L474" s="230"/>
      <c r="M474" s="230"/>
    </row>
    <row r="475">
      <c r="A475" s="230"/>
      <c r="J475" s="230"/>
      <c r="K475" s="230"/>
      <c r="L475" s="230"/>
      <c r="M475" s="230"/>
    </row>
    <row r="476">
      <c r="A476" s="230"/>
      <c r="J476" s="230"/>
      <c r="K476" s="230"/>
      <c r="L476" s="230"/>
      <c r="M476" s="230"/>
    </row>
    <row r="477">
      <c r="A477" s="230"/>
      <c r="J477" s="230"/>
      <c r="K477" s="230"/>
      <c r="L477" s="230"/>
      <c r="M477" s="230"/>
    </row>
    <row r="478">
      <c r="A478" s="230"/>
      <c r="J478" s="230"/>
      <c r="K478" s="230"/>
      <c r="L478" s="230"/>
      <c r="M478" s="230"/>
    </row>
    <row r="479">
      <c r="A479" s="230"/>
      <c r="J479" s="230"/>
      <c r="K479" s="230"/>
      <c r="L479" s="230"/>
      <c r="M479" s="230"/>
    </row>
    <row r="480">
      <c r="A480" s="230"/>
      <c r="J480" s="230"/>
      <c r="K480" s="230"/>
      <c r="L480" s="230"/>
      <c r="M480" s="230"/>
    </row>
    <row r="481">
      <c r="A481" s="230"/>
      <c r="J481" s="230"/>
      <c r="K481" s="230"/>
      <c r="L481" s="230"/>
      <c r="M481" s="230"/>
    </row>
    <row r="482">
      <c r="A482" s="230"/>
      <c r="J482" s="230"/>
      <c r="K482" s="230"/>
      <c r="L482" s="230"/>
      <c r="M482" s="230"/>
    </row>
    <row r="483">
      <c r="A483" s="230"/>
      <c r="J483" s="230"/>
      <c r="K483" s="230"/>
      <c r="L483" s="230"/>
      <c r="M483" s="230"/>
    </row>
    <row r="484">
      <c r="A484" s="230"/>
      <c r="J484" s="230"/>
      <c r="K484" s="230"/>
      <c r="L484" s="230"/>
      <c r="M484" s="230"/>
    </row>
    <row r="485">
      <c r="A485" s="230"/>
      <c r="J485" s="230"/>
      <c r="K485" s="230"/>
      <c r="L485" s="230"/>
      <c r="M485" s="230"/>
    </row>
    <row r="486">
      <c r="A486" s="230"/>
      <c r="J486" s="230"/>
      <c r="K486" s="230"/>
      <c r="L486" s="230"/>
      <c r="M486" s="230"/>
    </row>
    <row r="487">
      <c r="A487" s="230"/>
      <c r="J487" s="230"/>
      <c r="K487" s="230"/>
      <c r="L487" s="230"/>
      <c r="M487" s="230"/>
    </row>
    <row r="488">
      <c r="A488" s="230"/>
      <c r="J488" s="230"/>
      <c r="K488" s="230"/>
      <c r="L488" s="230"/>
      <c r="M488" s="230"/>
    </row>
    <row r="489">
      <c r="A489" s="230"/>
      <c r="J489" s="230"/>
      <c r="K489" s="230"/>
      <c r="L489" s="230"/>
      <c r="M489" s="230"/>
    </row>
    <row r="490">
      <c r="A490" s="230"/>
      <c r="J490" s="230"/>
      <c r="K490" s="230"/>
      <c r="L490" s="230"/>
      <c r="M490" s="230"/>
    </row>
    <row r="491">
      <c r="A491" s="230"/>
      <c r="J491" s="230"/>
      <c r="K491" s="230"/>
      <c r="L491" s="230"/>
      <c r="M491" s="230"/>
    </row>
    <row r="492">
      <c r="A492" s="230"/>
      <c r="J492" s="230"/>
      <c r="K492" s="230"/>
      <c r="L492" s="230"/>
      <c r="M492" s="230"/>
    </row>
    <row r="493">
      <c r="A493" s="230"/>
      <c r="J493" s="230"/>
      <c r="K493" s="230"/>
      <c r="L493" s="230"/>
      <c r="M493" s="230"/>
    </row>
    <row r="494">
      <c r="A494" s="230"/>
      <c r="J494" s="230"/>
      <c r="K494" s="230"/>
      <c r="L494" s="230"/>
      <c r="M494" s="230"/>
    </row>
    <row r="495">
      <c r="A495" s="230"/>
      <c r="J495" s="230"/>
      <c r="K495" s="230"/>
      <c r="L495" s="230"/>
      <c r="M495" s="230"/>
    </row>
    <row r="496">
      <c r="A496" s="230"/>
      <c r="J496" s="230"/>
      <c r="K496" s="230"/>
      <c r="L496" s="230"/>
      <c r="M496" s="230"/>
    </row>
    <row r="497">
      <c r="A497" s="230"/>
      <c r="J497" s="230"/>
      <c r="K497" s="230"/>
      <c r="L497" s="230"/>
      <c r="M497" s="230"/>
    </row>
    <row r="498">
      <c r="A498" s="230"/>
      <c r="J498" s="230"/>
      <c r="K498" s="230"/>
      <c r="L498" s="230"/>
      <c r="M498" s="230"/>
    </row>
    <row r="499">
      <c r="A499" s="230"/>
      <c r="J499" s="230"/>
      <c r="K499" s="230"/>
      <c r="L499" s="230"/>
      <c r="M499" s="230"/>
    </row>
    <row r="500">
      <c r="A500" s="230"/>
      <c r="J500" s="230"/>
      <c r="K500" s="230"/>
      <c r="L500" s="230"/>
      <c r="M500" s="230"/>
    </row>
    <row r="501">
      <c r="A501" s="230"/>
      <c r="J501" s="230"/>
      <c r="K501" s="230"/>
      <c r="L501" s="230"/>
      <c r="M501" s="230"/>
    </row>
    <row r="502">
      <c r="A502" s="230"/>
      <c r="J502" s="230"/>
      <c r="K502" s="230"/>
      <c r="L502" s="230"/>
      <c r="M502" s="230"/>
    </row>
    <row r="503">
      <c r="A503" s="230"/>
      <c r="J503" s="230"/>
      <c r="K503" s="230"/>
      <c r="L503" s="230"/>
      <c r="M503" s="230"/>
    </row>
    <row r="504">
      <c r="A504" s="230"/>
      <c r="J504" s="230"/>
      <c r="K504" s="230"/>
      <c r="L504" s="230"/>
      <c r="M504" s="230"/>
    </row>
    <row r="505">
      <c r="A505" s="230"/>
      <c r="J505" s="230"/>
      <c r="K505" s="230"/>
      <c r="L505" s="230"/>
      <c r="M505" s="230"/>
    </row>
    <row r="506">
      <c r="A506" s="230"/>
      <c r="J506" s="230"/>
      <c r="K506" s="230"/>
      <c r="L506" s="230"/>
      <c r="M506" s="230"/>
    </row>
    <row r="507">
      <c r="A507" s="230"/>
      <c r="J507" s="230"/>
      <c r="K507" s="230"/>
      <c r="L507" s="230"/>
      <c r="M507" s="230"/>
    </row>
    <row r="508">
      <c r="A508" s="230"/>
      <c r="J508" s="230"/>
      <c r="K508" s="230"/>
      <c r="L508" s="230"/>
      <c r="M508" s="230"/>
    </row>
    <row r="509">
      <c r="A509" s="230"/>
      <c r="J509" s="230"/>
      <c r="K509" s="230"/>
      <c r="L509" s="230"/>
      <c r="M509" s="230"/>
    </row>
    <row r="510">
      <c r="A510" s="230"/>
      <c r="J510" s="230"/>
      <c r="K510" s="230"/>
      <c r="L510" s="230"/>
      <c r="M510" s="230"/>
    </row>
    <row r="511">
      <c r="A511" s="230"/>
      <c r="J511" s="230"/>
      <c r="K511" s="230"/>
      <c r="L511" s="230"/>
      <c r="M511" s="230"/>
    </row>
    <row r="512">
      <c r="A512" s="230"/>
      <c r="J512" s="230"/>
      <c r="K512" s="230"/>
      <c r="L512" s="230"/>
      <c r="M512" s="230"/>
    </row>
    <row r="513">
      <c r="A513" s="230"/>
      <c r="J513" s="230"/>
      <c r="K513" s="230"/>
      <c r="L513" s="230"/>
      <c r="M513" s="230"/>
    </row>
    <row r="514">
      <c r="A514" s="230"/>
      <c r="J514" s="230"/>
      <c r="K514" s="230"/>
      <c r="L514" s="230"/>
      <c r="M514" s="230"/>
    </row>
    <row r="515">
      <c r="A515" s="230"/>
      <c r="J515" s="230"/>
      <c r="K515" s="230"/>
      <c r="L515" s="230"/>
      <c r="M515" s="230"/>
    </row>
    <row r="516">
      <c r="A516" s="230"/>
      <c r="J516" s="230"/>
      <c r="K516" s="230"/>
      <c r="L516" s="230"/>
      <c r="M516" s="230"/>
    </row>
    <row r="517">
      <c r="A517" s="230"/>
      <c r="J517" s="230"/>
      <c r="K517" s="230"/>
      <c r="L517" s="230"/>
      <c r="M517" s="230"/>
    </row>
    <row r="518">
      <c r="A518" s="230"/>
      <c r="J518" s="230"/>
      <c r="K518" s="230"/>
      <c r="L518" s="230"/>
      <c r="M518" s="230"/>
    </row>
    <row r="519">
      <c r="A519" s="230"/>
      <c r="J519" s="230"/>
      <c r="K519" s="230"/>
      <c r="L519" s="230"/>
      <c r="M519" s="230"/>
    </row>
    <row r="520">
      <c r="A520" s="230"/>
      <c r="J520" s="230"/>
      <c r="K520" s="230"/>
      <c r="L520" s="230"/>
      <c r="M520" s="230"/>
    </row>
    <row r="521">
      <c r="A521" s="230"/>
      <c r="J521" s="230"/>
      <c r="K521" s="230"/>
      <c r="L521" s="230"/>
      <c r="M521" s="230"/>
    </row>
    <row r="522">
      <c r="A522" s="230"/>
      <c r="J522" s="230"/>
      <c r="K522" s="230"/>
      <c r="L522" s="230"/>
      <c r="M522" s="230"/>
    </row>
    <row r="523">
      <c r="A523" s="230"/>
      <c r="J523" s="230"/>
      <c r="K523" s="230"/>
      <c r="L523" s="230"/>
      <c r="M523" s="230"/>
    </row>
    <row r="524">
      <c r="A524" s="230"/>
      <c r="J524" s="230"/>
      <c r="K524" s="230"/>
      <c r="L524" s="230"/>
      <c r="M524" s="230"/>
    </row>
    <row r="525">
      <c r="A525" s="230"/>
      <c r="J525" s="230"/>
      <c r="K525" s="230"/>
      <c r="L525" s="230"/>
      <c r="M525" s="230"/>
    </row>
    <row r="526">
      <c r="A526" s="230"/>
      <c r="J526" s="230"/>
      <c r="K526" s="230"/>
      <c r="L526" s="230"/>
      <c r="M526" s="230"/>
    </row>
    <row r="527">
      <c r="A527" s="230"/>
      <c r="J527" s="230"/>
      <c r="K527" s="230"/>
      <c r="L527" s="230"/>
      <c r="M527" s="230"/>
    </row>
    <row r="528">
      <c r="A528" s="230"/>
      <c r="J528" s="230"/>
      <c r="K528" s="230"/>
      <c r="L528" s="230"/>
      <c r="M528" s="230"/>
    </row>
    <row r="529">
      <c r="A529" s="230"/>
      <c r="J529" s="230"/>
      <c r="K529" s="230"/>
      <c r="L529" s="230"/>
      <c r="M529" s="230"/>
    </row>
    <row r="530">
      <c r="A530" s="230"/>
      <c r="J530" s="230"/>
      <c r="K530" s="230"/>
      <c r="L530" s="230"/>
      <c r="M530" s="230"/>
    </row>
    <row r="531">
      <c r="A531" s="230"/>
      <c r="J531" s="230"/>
      <c r="K531" s="230"/>
      <c r="L531" s="230"/>
      <c r="M531" s="230"/>
    </row>
    <row r="532">
      <c r="A532" s="230"/>
      <c r="J532" s="230"/>
      <c r="K532" s="230"/>
      <c r="L532" s="230"/>
      <c r="M532" s="230"/>
    </row>
    <row r="533">
      <c r="A533" s="230"/>
      <c r="J533" s="230"/>
      <c r="K533" s="230"/>
      <c r="L533" s="230"/>
      <c r="M533" s="230"/>
    </row>
    <row r="534">
      <c r="A534" s="230"/>
      <c r="J534" s="230"/>
      <c r="K534" s="230"/>
      <c r="L534" s="230"/>
      <c r="M534" s="230"/>
    </row>
    <row r="535">
      <c r="A535" s="230"/>
      <c r="J535" s="230"/>
      <c r="K535" s="230"/>
      <c r="L535" s="230"/>
      <c r="M535" s="230"/>
    </row>
    <row r="536">
      <c r="A536" s="230"/>
      <c r="J536" s="230"/>
      <c r="K536" s="230"/>
      <c r="L536" s="230"/>
      <c r="M536" s="230"/>
    </row>
    <row r="537">
      <c r="A537" s="230"/>
      <c r="J537" s="230"/>
      <c r="K537" s="230"/>
      <c r="L537" s="230"/>
      <c r="M537" s="230"/>
    </row>
    <row r="538">
      <c r="A538" s="230"/>
      <c r="J538" s="230"/>
      <c r="K538" s="230"/>
      <c r="L538" s="230"/>
      <c r="M538" s="230"/>
    </row>
    <row r="539">
      <c r="A539" s="230"/>
      <c r="J539" s="230"/>
      <c r="K539" s="230"/>
      <c r="L539" s="230"/>
      <c r="M539" s="230"/>
    </row>
    <row r="540">
      <c r="A540" s="230"/>
      <c r="J540" s="230"/>
      <c r="K540" s="230"/>
      <c r="L540" s="230"/>
      <c r="M540" s="230"/>
    </row>
    <row r="541">
      <c r="A541" s="230"/>
      <c r="J541" s="230"/>
      <c r="K541" s="230"/>
      <c r="L541" s="230"/>
      <c r="M541" s="230"/>
    </row>
    <row r="542">
      <c r="A542" s="230"/>
      <c r="J542" s="230"/>
      <c r="K542" s="230"/>
      <c r="L542" s="230"/>
      <c r="M542" s="230"/>
    </row>
    <row r="543">
      <c r="A543" s="230"/>
      <c r="J543" s="230"/>
      <c r="K543" s="230"/>
      <c r="L543" s="230"/>
      <c r="M543" s="230"/>
    </row>
    <row r="544">
      <c r="A544" s="230"/>
      <c r="J544" s="230"/>
      <c r="K544" s="230"/>
      <c r="L544" s="230"/>
      <c r="M544" s="230"/>
    </row>
    <row r="545">
      <c r="A545" s="230"/>
      <c r="J545" s="230"/>
      <c r="K545" s="230"/>
      <c r="L545" s="230"/>
      <c r="M545" s="230"/>
    </row>
    <row r="546">
      <c r="A546" s="230"/>
      <c r="J546" s="230"/>
      <c r="K546" s="230"/>
      <c r="L546" s="230"/>
      <c r="M546" s="230"/>
    </row>
    <row r="547">
      <c r="A547" s="230"/>
      <c r="J547" s="230"/>
      <c r="K547" s="230"/>
      <c r="L547" s="230"/>
      <c r="M547" s="230"/>
    </row>
    <row r="548">
      <c r="A548" s="230"/>
      <c r="J548" s="230"/>
      <c r="K548" s="230"/>
      <c r="L548" s="230"/>
      <c r="M548" s="230"/>
    </row>
    <row r="549">
      <c r="A549" s="230"/>
      <c r="J549" s="230"/>
      <c r="K549" s="230"/>
      <c r="L549" s="230"/>
      <c r="M549" s="230"/>
    </row>
    <row r="550">
      <c r="A550" s="230"/>
      <c r="J550" s="230"/>
      <c r="K550" s="230"/>
      <c r="L550" s="230"/>
      <c r="M550" s="230"/>
    </row>
    <row r="551">
      <c r="A551" s="230"/>
      <c r="J551" s="230"/>
      <c r="K551" s="230"/>
      <c r="L551" s="230"/>
      <c r="M551" s="230"/>
    </row>
    <row r="552">
      <c r="A552" s="230"/>
      <c r="J552" s="230"/>
      <c r="K552" s="230"/>
      <c r="L552" s="230"/>
      <c r="M552" s="230"/>
    </row>
    <row r="553">
      <c r="A553" s="230"/>
      <c r="J553" s="230"/>
      <c r="K553" s="230"/>
      <c r="L553" s="230"/>
      <c r="M553" s="230"/>
    </row>
    <row r="554">
      <c r="A554" s="230"/>
      <c r="J554" s="230"/>
      <c r="K554" s="230"/>
      <c r="L554" s="230"/>
      <c r="M554" s="230"/>
    </row>
    <row r="555">
      <c r="A555" s="230"/>
      <c r="J555" s="230"/>
      <c r="K555" s="230"/>
      <c r="L555" s="230"/>
      <c r="M555" s="230"/>
    </row>
    <row r="556">
      <c r="A556" s="230"/>
      <c r="J556" s="230"/>
      <c r="K556" s="230"/>
      <c r="L556" s="230"/>
      <c r="M556" s="230"/>
    </row>
    <row r="557">
      <c r="A557" s="230"/>
      <c r="J557" s="230"/>
      <c r="K557" s="230"/>
      <c r="L557" s="230"/>
      <c r="M557" s="230"/>
    </row>
    <row r="558">
      <c r="A558" s="230"/>
      <c r="J558" s="230"/>
      <c r="K558" s="230"/>
      <c r="L558" s="230"/>
      <c r="M558" s="230"/>
    </row>
    <row r="559">
      <c r="A559" s="230"/>
      <c r="J559" s="230"/>
      <c r="K559" s="230"/>
      <c r="L559" s="230"/>
      <c r="M559" s="230"/>
    </row>
    <row r="560">
      <c r="A560" s="230"/>
      <c r="J560" s="230"/>
      <c r="K560" s="230"/>
      <c r="L560" s="230"/>
      <c r="M560" s="230"/>
    </row>
    <row r="561">
      <c r="A561" s="230"/>
      <c r="J561" s="230"/>
      <c r="K561" s="230"/>
      <c r="L561" s="230"/>
      <c r="M561" s="230"/>
    </row>
    <row r="562">
      <c r="A562" s="230"/>
      <c r="J562" s="230"/>
      <c r="K562" s="230"/>
      <c r="L562" s="230"/>
      <c r="M562" s="230"/>
    </row>
    <row r="563">
      <c r="A563" s="230"/>
      <c r="J563" s="230"/>
      <c r="K563" s="230"/>
      <c r="L563" s="230"/>
      <c r="M563" s="230"/>
    </row>
    <row r="564">
      <c r="A564" s="230"/>
      <c r="J564" s="230"/>
      <c r="K564" s="230"/>
      <c r="L564" s="230"/>
      <c r="M564" s="230"/>
    </row>
    <row r="565">
      <c r="A565" s="230"/>
      <c r="J565" s="230"/>
      <c r="K565" s="230"/>
      <c r="L565" s="230"/>
      <c r="M565" s="230"/>
    </row>
    <row r="566">
      <c r="A566" s="230"/>
      <c r="J566" s="230"/>
      <c r="K566" s="230"/>
      <c r="L566" s="230"/>
      <c r="M566" s="230"/>
    </row>
    <row r="567">
      <c r="A567" s="230"/>
      <c r="J567" s="230"/>
      <c r="K567" s="230"/>
      <c r="L567" s="230"/>
      <c r="M567" s="230"/>
    </row>
    <row r="568">
      <c r="A568" s="230"/>
      <c r="J568" s="230"/>
      <c r="K568" s="230"/>
      <c r="L568" s="230"/>
      <c r="M568" s="230"/>
    </row>
    <row r="569">
      <c r="A569" s="230"/>
      <c r="J569" s="230"/>
      <c r="K569" s="230"/>
      <c r="L569" s="230"/>
      <c r="M569" s="230"/>
    </row>
    <row r="570">
      <c r="A570" s="230"/>
      <c r="J570" s="230"/>
      <c r="K570" s="230"/>
      <c r="L570" s="230"/>
      <c r="M570" s="230"/>
    </row>
    <row r="571">
      <c r="A571" s="230"/>
      <c r="J571" s="230"/>
      <c r="K571" s="230"/>
      <c r="L571" s="230"/>
      <c r="M571" s="230"/>
    </row>
    <row r="572">
      <c r="A572" s="230"/>
      <c r="J572" s="230"/>
      <c r="K572" s="230"/>
      <c r="L572" s="230"/>
      <c r="M572" s="230"/>
    </row>
    <row r="573">
      <c r="A573" s="230"/>
      <c r="J573" s="230"/>
      <c r="K573" s="230"/>
      <c r="L573" s="230"/>
      <c r="M573" s="230"/>
    </row>
    <row r="574">
      <c r="A574" s="230"/>
      <c r="J574" s="230"/>
      <c r="K574" s="230"/>
      <c r="L574" s="230"/>
      <c r="M574" s="230"/>
    </row>
    <row r="575">
      <c r="A575" s="230"/>
      <c r="J575" s="230"/>
      <c r="K575" s="230"/>
      <c r="L575" s="230"/>
      <c r="M575" s="230"/>
    </row>
    <row r="576">
      <c r="A576" s="230"/>
      <c r="J576" s="230"/>
      <c r="K576" s="230"/>
      <c r="L576" s="230"/>
      <c r="M576" s="230"/>
    </row>
    <row r="577">
      <c r="A577" s="230"/>
      <c r="J577" s="230"/>
      <c r="K577" s="230"/>
      <c r="L577" s="230"/>
      <c r="M577" s="230"/>
    </row>
    <row r="578">
      <c r="A578" s="230"/>
      <c r="J578" s="230"/>
      <c r="K578" s="230"/>
      <c r="L578" s="230"/>
      <c r="M578" s="230"/>
    </row>
    <row r="579">
      <c r="A579" s="230"/>
      <c r="J579" s="230"/>
      <c r="K579" s="230"/>
      <c r="L579" s="230"/>
      <c r="M579" s="230"/>
    </row>
    <row r="580">
      <c r="A580" s="230"/>
      <c r="J580" s="230"/>
      <c r="K580" s="230"/>
      <c r="L580" s="230"/>
      <c r="M580" s="230"/>
    </row>
    <row r="581">
      <c r="A581" s="230"/>
      <c r="J581" s="230"/>
      <c r="K581" s="230"/>
      <c r="L581" s="230"/>
      <c r="M581" s="230"/>
    </row>
    <row r="582">
      <c r="A582" s="230"/>
      <c r="J582" s="230"/>
      <c r="K582" s="230"/>
      <c r="L582" s="230"/>
      <c r="M582" s="230"/>
    </row>
    <row r="583">
      <c r="A583" s="230"/>
      <c r="J583" s="230"/>
      <c r="K583" s="230"/>
      <c r="L583" s="230"/>
      <c r="M583" s="230"/>
    </row>
    <row r="584">
      <c r="A584" s="230"/>
      <c r="J584" s="230"/>
      <c r="K584" s="230"/>
      <c r="L584" s="230"/>
      <c r="M584" s="230"/>
    </row>
    <row r="585">
      <c r="A585" s="230"/>
      <c r="J585" s="230"/>
      <c r="K585" s="230"/>
      <c r="L585" s="230"/>
      <c r="M585" s="230"/>
    </row>
    <row r="586">
      <c r="A586" s="230"/>
      <c r="J586" s="230"/>
      <c r="K586" s="230"/>
      <c r="L586" s="230"/>
      <c r="M586" s="230"/>
    </row>
    <row r="587">
      <c r="A587" s="230"/>
      <c r="J587" s="230"/>
      <c r="K587" s="230"/>
      <c r="L587" s="230"/>
      <c r="M587" s="230"/>
    </row>
    <row r="588">
      <c r="A588" s="230"/>
      <c r="J588" s="230"/>
      <c r="K588" s="230"/>
      <c r="L588" s="230"/>
      <c r="M588" s="230"/>
    </row>
    <row r="589">
      <c r="A589" s="230"/>
      <c r="J589" s="230"/>
      <c r="K589" s="230"/>
      <c r="L589" s="230"/>
      <c r="M589" s="230"/>
    </row>
    <row r="590">
      <c r="A590" s="230"/>
      <c r="J590" s="230"/>
      <c r="K590" s="230"/>
      <c r="L590" s="230"/>
      <c r="M590" s="230"/>
    </row>
    <row r="591">
      <c r="A591" s="230"/>
      <c r="J591" s="230"/>
      <c r="K591" s="230"/>
      <c r="L591" s="230"/>
      <c r="M591" s="230"/>
    </row>
    <row r="592">
      <c r="A592" s="230"/>
      <c r="J592" s="230"/>
      <c r="K592" s="230"/>
      <c r="L592" s="230"/>
      <c r="M592" s="230"/>
    </row>
    <row r="593">
      <c r="A593" s="230"/>
      <c r="J593" s="230"/>
      <c r="K593" s="230"/>
      <c r="L593" s="230"/>
      <c r="M593" s="230"/>
    </row>
    <row r="594">
      <c r="A594" s="230"/>
      <c r="J594" s="230"/>
      <c r="K594" s="230"/>
      <c r="L594" s="230"/>
      <c r="M594" s="230"/>
    </row>
    <row r="595">
      <c r="A595" s="230"/>
      <c r="J595" s="230"/>
      <c r="K595" s="230"/>
      <c r="L595" s="230"/>
      <c r="M595" s="230"/>
    </row>
    <row r="596">
      <c r="A596" s="230"/>
      <c r="J596" s="230"/>
      <c r="K596" s="230"/>
      <c r="L596" s="230"/>
      <c r="M596" s="230"/>
    </row>
    <row r="597">
      <c r="A597" s="230"/>
      <c r="J597" s="230"/>
      <c r="K597" s="230"/>
      <c r="L597" s="230"/>
      <c r="M597" s="230"/>
    </row>
    <row r="598">
      <c r="A598" s="230"/>
      <c r="J598" s="230"/>
      <c r="K598" s="230"/>
      <c r="L598" s="230"/>
      <c r="M598" s="230"/>
    </row>
    <row r="599">
      <c r="A599" s="230"/>
      <c r="J599" s="230"/>
      <c r="K599" s="230"/>
      <c r="L599" s="230"/>
      <c r="M599" s="230"/>
    </row>
    <row r="600">
      <c r="A600" s="230"/>
      <c r="J600" s="230"/>
      <c r="K600" s="230"/>
      <c r="L600" s="230"/>
      <c r="M600" s="230"/>
    </row>
    <row r="601">
      <c r="A601" s="230"/>
      <c r="J601" s="230"/>
      <c r="K601" s="230"/>
      <c r="L601" s="230"/>
      <c r="M601" s="230"/>
    </row>
    <row r="602">
      <c r="A602" s="230"/>
      <c r="J602" s="230"/>
      <c r="K602" s="230"/>
      <c r="L602" s="230"/>
      <c r="M602" s="230"/>
    </row>
    <row r="603">
      <c r="A603" s="230"/>
      <c r="J603" s="230"/>
      <c r="K603" s="230"/>
      <c r="L603" s="230"/>
      <c r="M603" s="230"/>
    </row>
    <row r="604">
      <c r="A604" s="230"/>
      <c r="J604" s="230"/>
      <c r="K604" s="230"/>
      <c r="L604" s="230"/>
      <c r="M604" s="230"/>
    </row>
    <row r="605">
      <c r="A605" s="230"/>
      <c r="J605" s="230"/>
      <c r="K605" s="230"/>
      <c r="L605" s="230"/>
      <c r="M605" s="230"/>
    </row>
    <row r="606">
      <c r="A606" s="230"/>
      <c r="J606" s="230"/>
      <c r="K606" s="230"/>
      <c r="L606" s="230"/>
      <c r="M606" s="230"/>
    </row>
    <row r="607">
      <c r="A607" s="230"/>
      <c r="J607" s="230"/>
      <c r="K607" s="230"/>
      <c r="L607" s="230"/>
      <c r="M607" s="230"/>
    </row>
    <row r="608">
      <c r="A608" s="230"/>
      <c r="J608" s="230"/>
      <c r="K608" s="230"/>
      <c r="L608" s="230"/>
      <c r="M608" s="230"/>
    </row>
    <row r="609">
      <c r="A609" s="230"/>
      <c r="J609" s="230"/>
      <c r="K609" s="230"/>
      <c r="L609" s="230"/>
      <c r="M609" s="230"/>
    </row>
    <row r="610">
      <c r="A610" s="230"/>
      <c r="J610" s="230"/>
      <c r="K610" s="230"/>
      <c r="L610" s="230"/>
      <c r="M610" s="230"/>
    </row>
    <row r="611">
      <c r="A611" s="230"/>
      <c r="J611" s="230"/>
      <c r="K611" s="230"/>
      <c r="L611" s="230"/>
      <c r="M611" s="230"/>
    </row>
    <row r="612">
      <c r="A612" s="230"/>
      <c r="J612" s="230"/>
      <c r="K612" s="230"/>
      <c r="L612" s="230"/>
      <c r="M612" s="230"/>
    </row>
    <row r="613">
      <c r="A613" s="230"/>
      <c r="J613" s="230"/>
      <c r="K613" s="230"/>
      <c r="L613" s="230"/>
      <c r="M613" s="230"/>
    </row>
    <row r="614">
      <c r="A614" s="230"/>
      <c r="J614" s="230"/>
      <c r="K614" s="230"/>
      <c r="L614" s="230"/>
      <c r="M614" s="230"/>
    </row>
    <row r="615">
      <c r="A615" s="230"/>
      <c r="J615" s="230"/>
      <c r="K615" s="230"/>
      <c r="L615" s="230"/>
      <c r="M615" s="230"/>
    </row>
    <row r="616">
      <c r="A616" s="230"/>
      <c r="J616" s="230"/>
      <c r="K616" s="230"/>
      <c r="L616" s="230"/>
      <c r="M616" s="230"/>
    </row>
    <row r="617">
      <c r="A617" s="230"/>
      <c r="J617" s="230"/>
      <c r="K617" s="230"/>
      <c r="L617" s="230"/>
      <c r="M617" s="230"/>
    </row>
    <row r="618">
      <c r="A618" s="230"/>
      <c r="J618" s="230"/>
      <c r="K618" s="230"/>
      <c r="L618" s="230"/>
      <c r="M618" s="230"/>
    </row>
    <row r="619">
      <c r="A619" s="230"/>
      <c r="J619" s="230"/>
      <c r="K619" s="230"/>
      <c r="L619" s="230"/>
      <c r="M619" s="230"/>
    </row>
    <row r="620">
      <c r="A620" s="230"/>
      <c r="J620" s="230"/>
      <c r="K620" s="230"/>
      <c r="L620" s="230"/>
      <c r="M620" s="230"/>
    </row>
    <row r="621">
      <c r="A621" s="230"/>
      <c r="J621" s="230"/>
      <c r="K621" s="230"/>
      <c r="L621" s="230"/>
      <c r="M621" s="230"/>
    </row>
    <row r="622">
      <c r="A622" s="230"/>
      <c r="J622" s="230"/>
      <c r="K622" s="230"/>
      <c r="L622" s="230"/>
      <c r="M622" s="230"/>
    </row>
    <row r="623">
      <c r="A623" s="230"/>
      <c r="J623" s="230"/>
      <c r="K623" s="230"/>
      <c r="L623" s="230"/>
      <c r="M623" s="230"/>
    </row>
    <row r="624">
      <c r="A624" s="230"/>
      <c r="J624" s="230"/>
      <c r="K624" s="230"/>
      <c r="L624" s="230"/>
      <c r="M624" s="230"/>
    </row>
    <row r="625">
      <c r="A625" s="230"/>
      <c r="J625" s="230"/>
      <c r="K625" s="230"/>
      <c r="L625" s="230"/>
      <c r="M625" s="230"/>
    </row>
    <row r="626">
      <c r="A626" s="230"/>
      <c r="J626" s="230"/>
      <c r="K626" s="230"/>
      <c r="L626" s="230"/>
      <c r="M626" s="230"/>
    </row>
    <row r="627">
      <c r="A627" s="230"/>
      <c r="J627" s="230"/>
      <c r="K627" s="230"/>
      <c r="L627" s="230"/>
      <c r="M627" s="230"/>
    </row>
    <row r="628">
      <c r="A628" s="230"/>
      <c r="J628" s="230"/>
      <c r="K628" s="230"/>
      <c r="L628" s="230"/>
      <c r="M628" s="230"/>
    </row>
    <row r="629">
      <c r="A629" s="230"/>
      <c r="J629" s="230"/>
      <c r="K629" s="230"/>
      <c r="L629" s="230"/>
      <c r="M629" s="230"/>
    </row>
    <row r="630">
      <c r="A630" s="230"/>
      <c r="J630" s="230"/>
      <c r="K630" s="230"/>
      <c r="L630" s="230"/>
      <c r="M630" s="230"/>
    </row>
    <row r="631">
      <c r="A631" s="230"/>
      <c r="J631" s="230"/>
      <c r="K631" s="230"/>
      <c r="L631" s="230"/>
      <c r="M631" s="230"/>
    </row>
    <row r="632">
      <c r="A632" s="230"/>
      <c r="J632" s="230"/>
      <c r="K632" s="230"/>
      <c r="L632" s="230"/>
      <c r="M632" s="230"/>
    </row>
    <row r="633">
      <c r="A633" s="230"/>
      <c r="J633" s="230"/>
      <c r="K633" s="230"/>
      <c r="L633" s="230"/>
      <c r="M633" s="230"/>
    </row>
    <row r="634">
      <c r="A634" s="230"/>
      <c r="J634" s="230"/>
      <c r="K634" s="230"/>
      <c r="L634" s="230"/>
      <c r="M634" s="230"/>
    </row>
    <row r="635">
      <c r="A635" s="230"/>
      <c r="J635" s="230"/>
      <c r="K635" s="230"/>
      <c r="L635" s="230"/>
      <c r="M635" s="230"/>
    </row>
    <row r="636">
      <c r="A636" s="230"/>
      <c r="J636" s="230"/>
      <c r="K636" s="230"/>
      <c r="L636" s="230"/>
      <c r="M636" s="230"/>
    </row>
    <row r="637">
      <c r="A637" s="230"/>
      <c r="J637" s="230"/>
      <c r="K637" s="230"/>
      <c r="L637" s="230"/>
      <c r="M637" s="230"/>
    </row>
    <row r="638">
      <c r="A638" s="230"/>
      <c r="J638" s="230"/>
      <c r="K638" s="230"/>
      <c r="L638" s="230"/>
      <c r="M638" s="230"/>
    </row>
    <row r="639">
      <c r="A639" s="230"/>
      <c r="J639" s="230"/>
      <c r="K639" s="230"/>
      <c r="L639" s="230"/>
      <c r="M639" s="230"/>
    </row>
    <row r="640">
      <c r="A640" s="230"/>
      <c r="J640" s="230"/>
      <c r="K640" s="230"/>
      <c r="L640" s="230"/>
      <c r="M640" s="230"/>
    </row>
    <row r="641">
      <c r="A641" s="230"/>
      <c r="J641" s="230"/>
      <c r="K641" s="230"/>
      <c r="L641" s="230"/>
      <c r="M641" s="230"/>
    </row>
    <row r="642">
      <c r="A642" s="230"/>
      <c r="J642" s="230"/>
      <c r="K642" s="230"/>
      <c r="L642" s="230"/>
      <c r="M642" s="230"/>
    </row>
    <row r="643">
      <c r="A643" s="230"/>
      <c r="J643" s="230"/>
      <c r="K643" s="230"/>
      <c r="L643" s="230"/>
      <c r="M643" s="230"/>
    </row>
    <row r="644">
      <c r="A644" s="230"/>
      <c r="J644" s="230"/>
      <c r="K644" s="230"/>
      <c r="L644" s="230"/>
      <c r="M644" s="230"/>
    </row>
    <row r="645">
      <c r="A645" s="230"/>
      <c r="J645" s="230"/>
      <c r="K645" s="230"/>
      <c r="L645" s="230"/>
      <c r="M645" s="230"/>
    </row>
    <row r="646">
      <c r="A646" s="230"/>
      <c r="J646" s="230"/>
      <c r="K646" s="230"/>
      <c r="L646" s="230"/>
      <c r="M646" s="230"/>
    </row>
    <row r="647">
      <c r="A647" s="230"/>
      <c r="J647" s="230"/>
      <c r="K647" s="230"/>
      <c r="L647" s="230"/>
      <c r="M647" s="230"/>
    </row>
    <row r="648">
      <c r="A648" s="230"/>
      <c r="J648" s="230"/>
      <c r="K648" s="230"/>
      <c r="L648" s="230"/>
      <c r="M648" s="230"/>
    </row>
    <row r="649">
      <c r="A649" s="230"/>
      <c r="J649" s="230"/>
      <c r="K649" s="230"/>
      <c r="L649" s="230"/>
      <c r="M649" s="230"/>
    </row>
    <row r="650">
      <c r="A650" s="230"/>
      <c r="J650" s="230"/>
      <c r="K650" s="230"/>
      <c r="L650" s="230"/>
      <c r="M650" s="230"/>
    </row>
    <row r="651">
      <c r="A651" s="230"/>
      <c r="J651" s="230"/>
      <c r="K651" s="230"/>
      <c r="L651" s="230"/>
      <c r="M651" s="230"/>
    </row>
    <row r="652">
      <c r="A652" s="230"/>
      <c r="J652" s="230"/>
      <c r="K652" s="230"/>
      <c r="L652" s="230"/>
      <c r="M652" s="230"/>
    </row>
    <row r="653">
      <c r="A653" s="230"/>
      <c r="J653" s="230"/>
      <c r="K653" s="230"/>
      <c r="L653" s="230"/>
      <c r="M653" s="230"/>
    </row>
    <row r="654">
      <c r="A654" s="230"/>
      <c r="J654" s="230"/>
      <c r="K654" s="230"/>
      <c r="L654" s="230"/>
      <c r="M654" s="230"/>
    </row>
    <row r="655">
      <c r="A655" s="230"/>
      <c r="J655" s="230"/>
      <c r="K655" s="230"/>
      <c r="L655" s="230"/>
      <c r="M655" s="230"/>
    </row>
    <row r="656">
      <c r="A656" s="230"/>
      <c r="J656" s="230"/>
      <c r="K656" s="230"/>
      <c r="L656" s="230"/>
      <c r="M656" s="230"/>
    </row>
    <row r="657">
      <c r="A657" s="230"/>
      <c r="J657" s="230"/>
      <c r="K657" s="230"/>
      <c r="L657" s="230"/>
      <c r="M657" s="230"/>
    </row>
    <row r="658">
      <c r="A658" s="230"/>
      <c r="J658" s="230"/>
      <c r="K658" s="230"/>
      <c r="L658" s="230"/>
      <c r="M658" s="230"/>
    </row>
    <row r="659">
      <c r="A659" s="230"/>
      <c r="J659" s="230"/>
      <c r="K659" s="230"/>
      <c r="L659" s="230"/>
      <c r="M659" s="230"/>
    </row>
    <row r="660">
      <c r="A660" s="230"/>
      <c r="J660" s="230"/>
      <c r="K660" s="230"/>
      <c r="L660" s="230"/>
      <c r="M660" s="230"/>
    </row>
    <row r="661">
      <c r="A661" s="230"/>
      <c r="J661" s="230"/>
      <c r="K661" s="230"/>
      <c r="L661" s="230"/>
      <c r="M661" s="230"/>
    </row>
    <row r="662">
      <c r="A662" s="230"/>
      <c r="J662" s="230"/>
      <c r="K662" s="230"/>
      <c r="L662" s="230"/>
      <c r="M662" s="230"/>
    </row>
    <row r="663">
      <c r="A663" s="230"/>
      <c r="J663" s="230"/>
      <c r="K663" s="230"/>
      <c r="L663" s="230"/>
      <c r="M663" s="230"/>
    </row>
    <row r="664">
      <c r="A664" s="230"/>
      <c r="J664" s="230"/>
      <c r="K664" s="230"/>
      <c r="L664" s="230"/>
      <c r="M664" s="230"/>
    </row>
    <row r="665">
      <c r="A665" s="230"/>
      <c r="J665" s="230"/>
      <c r="K665" s="230"/>
      <c r="L665" s="230"/>
      <c r="M665" s="230"/>
    </row>
    <row r="666">
      <c r="A666" s="230"/>
      <c r="J666" s="230"/>
      <c r="K666" s="230"/>
      <c r="L666" s="230"/>
      <c r="M666" s="230"/>
    </row>
    <row r="667">
      <c r="A667" s="230"/>
      <c r="J667" s="230"/>
      <c r="K667" s="230"/>
      <c r="L667" s="230"/>
      <c r="M667" s="230"/>
    </row>
    <row r="668">
      <c r="A668" s="230"/>
      <c r="J668" s="230"/>
      <c r="K668" s="230"/>
      <c r="L668" s="230"/>
      <c r="M668" s="230"/>
    </row>
    <row r="669">
      <c r="A669" s="230"/>
      <c r="J669" s="230"/>
      <c r="K669" s="230"/>
      <c r="L669" s="230"/>
      <c r="M669" s="230"/>
    </row>
    <row r="670">
      <c r="A670" s="230"/>
      <c r="J670" s="230"/>
      <c r="K670" s="230"/>
      <c r="L670" s="230"/>
      <c r="M670" s="230"/>
    </row>
    <row r="671">
      <c r="A671" s="230"/>
      <c r="J671" s="230"/>
      <c r="K671" s="230"/>
      <c r="L671" s="230"/>
      <c r="M671" s="230"/>
    </row>
    <row r="672">
      <c r="A672" s="230"/>
      <c r="J672" s="230"/>
      <c r="K672" s="230"/>
      <c r="L672" s="230"/>
      <c r="M672" s="230"/>
    </row>
    <row r="673">
      <c r="A673" s="230"/>
      <c r="J673" s="230"/>
      <c r="K673" s="230"/>
      <c r="L673" s="230"/>
      <c r="M673" s="230"/>
    </row>
    <row r="674">
      <c r="A674" s="230"/>
      <c r="J674" s="230"/>
      <c r="K674" s="230"/>
      <c r="L674" s="230"/>
      <c r="M674" s="230"/>
    </row>
    <row r="675">
      <c r="A675" s="230"/>
      <c r="J675" s="230"/>
      <c r="K675" s="230"/>
      <c r="L675" s="230"/>
      <c r="M675" s="230"/>
    </row>
    <row r="676">
      <c r="A676" s="230"/>
      <c r="J676" s="230"/>
      <c r="K676" s="230"/>
      <c r="L676" s="230"/>
      <c r="M676" s="230"/>
    </row>
    <row r="677">
      <c r="A677" s="230"/>
      <c r="J677" s="230"/>
      <c r="K677" s="230"/>
      <c r="L677" s="230"/>
      <c r="M677" s="230"/>
    </row>
    <row r="678">
      <c r="A678" s="230"/>
      <c r="J678" s="230"/>
      <c r="K678" s="230"/>
      <c r="L678" s="230"/>
      <c r="M678" s="230"/>
    </row>
    <row r="679">
      <c r="A679" s="230"/>
      <c r="J679" s="230"/>
      <c r="K679" s="230"/>
      <c r="L679" s="230"/>
      <c r="M679" s="230"/>
    </row>
    <row r="680">
      <c r="A680" s="230"/>
      <c r="J680" s="230"/>
      <c r="K680" s="230"/>
      <c r="L680" s="230"/>
      <c r="M680" s="230"/>
    </row>
    <row r="681">
      <c r="A681" s="230"/>
      <c r="J681" s="230"/>
      <c r="K681" s="230"/>
      <c r="L681" s="230"/>
      <c r="M681" s="230"/>
    </row>
    <row r="682">
      <c r="A682" s="230"/>
      <c r="J682" s="230"/>
      <c r="K682" s="230"/>
      <c r="L682" s="230"/>
      <c r="M682" s="230"/>
    </row>
    <row r="683">
      <c r="A683" s="230"/>
      <c r="J683" s="230"/>
      <c r="K683" s="230"/>
      <c r="L683" s="230"/>
      <c r="M683" s="230"/>
    </row>
    <row r="684">
      <c r="A684" s="230"/>
      <c r="J684" s="230"/>
      <c r="K684" s="230"/>
      <c r="L684" s="230"/>
      <c r="M684" s="230"/>
    </row>
    <row r="685">
      <c r="A685" s="230"/>
      <c r="J685" s="230"/>
      <c r="K685" s="230"/>
      <c r="L685" s="230"/>
      <c r="M685" s="230"/>
    </row>
    <row r="686">
      <c r="A686" s="230"/>
      <c r="J686" s="230"/>
      <c r="K686" s="230"/>
      <c r="L686" s="230"/>
      <c r="M686" s="230"/>
    </row>
    <row r="687">
      <c r="A687" s="230"/>
      <c r="J687" s="230"/>
      <c r="K687" s="230"/>
      <c r="L687" s="230"/>
      <c r="M687" s="230"/>
    </row>
    <row r="688">
      <c r="A688" s="230"/>
      <c r="J688" s="230"/>
      <c r="K688" s="230"/>
      <c r="L688" s="230"/>
      <c r="M688" s="230"/>
    </row>
    <row r="689">
      <c r="A689" s="230"/>
      <c r="J689" s="230"/>
      <c r="K689" s="230"/>
      <c r="L689" s="230"/>
      <c r="M689" s="230"/>
    </row>
    <row r="690">
      <c r="A690" s="230"/>
      <c r="J690" s="230"/>
      <c r="K690" s="230"/>
      <c r="L690" s="230"/>
      <c r="M690" s="230"/>
    </row>
    <row r="691">
      <c r="A691" s="230"/>
      <c r="J691" s="230"/>
      <c r="K691" s="230"/>
      <c r="L691" s="230"/>
      <c r="M691" s="230"/>
    </row>
    <row r="692">
      <c r="A692" s="230"/>
      <c r="J692" s="230"/>
      <c r="K692" s="230"/>
      <c r="L692" s="230"/>
      <c r="M692" s="230"/>
    </row>
    <row r="693">
      <c r="A693" s="230"/>
      <c r="J693" s="230"/>
      <c r="K693" s="230"/>
      <c r="L693" s="230"/>
      <c r="M693" s="230"/>
    </row>
    <row r="694">
      <c r="A694" s="230"/>
      <c r="J694" s="230"/>
      <c r="K694" s="230"/>
      <c r="L694" s="230"/>
      <c r="M694" s="230"/>
    </row>
    <row r="695">
      <c r="A695" s="230"/>
      <c r="J695" s="230"/>
      <c r="K695" s="230"/>
      <c r="L695" s="230"/>
      <c r="M695" s="230"/>
    </row>
    <row r="696">
      <c r="A696" s="230"/>
      <c r="J696" s="230"/>
      <c r="K696" s="230"/>
      <c r="L696" s="230"/>
      <c r="M696" s="230"/>
    </row>
    <row r="697">
      <c r="A697" s="230"/>
      <c r="J697" s="230"/>
      <c r="K697" s="230"/>
      <c r="L697" s="230"/>
      <c r="M697" s="230"/>
    </row>
    <row r="698">
      <c r="A698" s="230"/>
      <c r="J698" s="230"/>
      <c r="K698" s="230"/>
      <c r="L698" s="230"/>
      <c r="M698" s="230"/>
    </row>
    <row r="699">
      <c r="A699" s="230"/>
      <c r="J699" s="230"/>
      <c r="K699" s="230"/>
      <c r="L699" s="230"/>
      <c r="M699" s="230"/>
    </row>
    <row r="700">
      <c r="A700" s="230"/>
      <c r="J700" s="230"/>
      <c r="K700" s="230"/>
      <c r="L700" s="230"/>
      <c r="M700" s="230"/>
    </row>
    <row r="701">
      <c r="A701" s="230"/>
      <c r="J701" s="230"/>
      <c r="K701" s="230"/>
      <c r="L701" s="230"/>
      <c r="M701" s="230"/>
    </row>
    <row r="702">
      <c r="A702" s="230"/>
      <c r="J702" s="230"/>
      <c r="K702" s="230"/>
      <c r="L702" s="230"/>
      <c r="M702" s="230"/>
    </row>
    <row r="703">
      <c r="A703" s="230"/>
      <c r="J703" s="230"/>
      <c r="K703" s="230"/>
      <c r="L703" s="230"/>
      <c r="M703" s="230"/>
    </row>
    <row r="704">
      <c r="A704" s="230"/>
      <c r="J704" s="230"/>
      <c r="K704" s="230"/>
      <c r="L704" s="230"/>
      <c r="M704" s="230"/>
    </row>
    <row r="705">
      <c r="A705" s="230"/>
      <c r="J705" s="230"/>
      <c r="K705" s="230"/>
      <c r="L705" s="230"/>
      <c r="M705" s="230"/>
    </row>
    <row r="706">
      <c r="A706" s="230"/>
      <c r="J706" s="230"/>
      <c r="K706" s="230"/>
      <c r="L706" s="230"/>
      <c r="M706" s="230"/>
    </row>
    <row r="707">
      <c r="A707" s="230"/>
      <c r="J707" s="230"/>
      <c r="K707" s="230"/>
      <c r="L707" s="230"/>
      <c r="M707" s="230"/>
    </row>
    <row r="708">
      <c r="A708" s="230"/>
      <c r="J708" s="230"/>
      <c r="K708" s="230"/>
      <c r="L708" s="230"/>
      <c r="M708" s="230"/>
    </row>
    <row r="709">
      <c r="A709" s="230"/>
      <c r="J709" s="230"/>
      <c r="K709" s="230"/>
      <c r="L709" s="230"/>
      <c r="M709" s="230"/>
    </row>
    <row r="710">
      <c r="A710" s="230"/>
      <c r="J710" s="230"/>
      <c r="K710" s="230"/>
      <c r="L710" s="230"/>
      <c r="M710" s="230"/>
    </row>
    <row r="711">
      <c r="A711" s="230"/>
      <c r="J711" s="230"/>
      <c r="K711" s="230"/>
      <c r="L711" s="230"/>
      <c r="M711" s="230"/>
    </row>
    <row r="712">
      <c r="A712" s="230"/>
      <c r="J712" s="230"/>
      <c r="K712" s="230"/>
      <c r="L712" s="230"/>
      <c r="M712" s="230"/>
    </row>
    <row r="713">
      <c r="A713" s="230"/>
      <c r="J713" s="230"/>
      <c r="K713" s="230"/>
      <c r="L713" s="230"/>
      <c r="M713" s="230"/>
    </row>
    <row r="714">
      <c r="A714" s="230"/>
      <c r="J714" s="230"/>
      <c r="K714" s="230"/>
      <c r="L714" s="230"/>
      <c r="M714" s="230"/>
    </row>
    <row r="715">
      <c r="A715" s="230"/>
      <c r="J715" s="230"/>
      <c r="K715" s="230"/>
      <c r="L715" s="230"/>
      <c r="M715" s="230"/>
    </row>
    <row r="716">
      <c r="A716" s="230"/>
      <c r="J716" s="230"/>
      <c r="K716" s="230"/>
      <c r="L716" s="230"/>
      <c r="M716" s="230"/>
    </row>
    <row r="717">
      <c r="A717" s="230"/>
      <c r="J717" s="230"/>
      <c r="K717" s="230"/>
      <c r="L717" s="230"/>
      <c r="M717" s="230"/>
    </row>
    <row r="718">
      <c r="A718" s="230"/>
      <c r="J718" s="230"/>
      <c r="K718" s="230"/>
      <c r="L718" s="230"/>
      <c r="M718" s="230"/>
    </row>
    <row r="719">
      <c r="A719" s="230"/>
      <c r="J719" s="230"/>
      <c r="K719" s="230"/>
      <c r="L719" s="230"/>
      <c r="M719" s="230"/>
    </row>
    <row r="720">
      <c r="A720" s="230"/>
      <c r="J720" s="230"/>
      <c r="K720" s="230"/>
      <c r="L720" s="230"/>
      <c r="M720" s="230"/>
    </row>
    <row r="721">
      <c r="A721" s="230"/>
      <c r="J721" s="230"/>
      <c r="K721" s="230"/>
      <c r="L721" s="230"/>
      <c r="M721" s="230"/>
    </row>
    <row r="722">
      <c r="A722" s="230"/>
      <c r="J722" s="230"/>
      <c r="K722" s="230"/>
      <c r="L722" s="230"/>
      <c r="M722" s="230"/>
    </row>
    <row r="723">
      <c r="A723" s="230"/>
      <c r="J723" s="230"/>
      <c r="K723" s="230"/>
      <c r="L723" s="230"/>
      <c r="M723" s="230"/>
    </row>
    <row r="724">
      <c r="A724" s="230"/>
      <c r="J724" s="230"/>
      <c r="K724" s="230"/>
      <c r="L724" s="230"/>
      <c r="M724" s="230"/>
    </row>
    <row r="725">
      <c r="A725" s="230"/>
      <c r="J725" s="230"/>
      <c r="K725" s="230"/>
      <c r="L725" s="230"/>
      <c r="M725" s="230"/>
    </row>
    <row r="726">
      <c r="A726" s="230"/>
      <c r="J726" s="230"/>
      <c r="K726" s="230"/>
      <c r="L726" s="230"/>
      <c r="M726" s="230"/>
    </row>
    <row r="727">
      <c r="A727" s="230"/>
      <c r="J727" s="230"/>
      <c r="K727" s="230"/>
      <c r="L727" s="230"/>
      <c r="M727" s="230"/>
    </row>
    <row r="728">
      <c r="A728" s="230"/>
      <c r="J728" s="230"/>
      <c r="K728" s="230"/>
      <c r="L728" s="230"/>
      <c r="M728" s="230"/>
    </row>
    <row r="729">
      <c r="A729" s="230"/>
      <c r="J729" s="230"/>
      <c r="K729" s="230"/>
      <c r="L729" s="230"/>
      <c r="M729" s="230"/>
    </row>
    <row r="730">
      <c r="A730" s="230"/>
      <c r="J730" s="230"/>
      <c r="K730" s="230"/>
      <c r="L730" s="230"/>
      <c r="M730" s="230"/>
    </row>
    <row r="731">
      <c r="A731" s="230"/>
      <c r="J731" s="230"/>
      <c r="K731" s="230"/>
      <c r="L731" s="230"/>
      <c r="M731" s="230"/>
    </row>
    <row r="732">
      <c r="A732" s="230"/>
      <c r="J732" s="230"/>
      <c r="K732" s="230"/>
      <c r="L732" s="230"/>
      <c r="M732" s="230"/>
    </row>
    <row r="733">
      <c r="A733" s="230"/>
      <c r="J733" s="230"/>
      <c r="K733" s="230"/>
      <c r="L733" s="230"/>
      <c r="M733" s="230"/>
    </row>
    <row r="734">
      <c r="A734" s="230"/>
      <c r="J734" s="230"/>
      <c r="K734" s="230"/>
      <c r="L734" s="230"/>
      <c r="M734" s="230"/>
    </row>
    <row r="735">
      <c r="A735" s="230"/>
      <c r="J735" s="230"/>
      <c r="K735" s="230"/>
      <c r="L735" s="230"/>
      <c r="M735" s="230"/>
    </row>
    <row r="736">
      <c r="A736" s="230"/>
      <c r="J736" s="230"/>
      <c r="K736" s="230"/>
      <c r="L736" s="230"/>
      <c r="M736" s="230"/>
    </row>
    <row r="737">
      <c r="A737" s="230"/>
      <c r="J737" s="230"/>
      <c r="K737" s="230"/>
      <c r="L737" s="230"/>
      <c r="M737" s="230"/>
    </row>
    <row r="738">
      <c r="A738" s="230"/>
      <c r="J738" s="230"/>
      <c r="K738" s="230"/>
      <c r="L738" s="230"/>
      <c r="M738" s="230"/>
    </row>
    <row r="739">
      <c r="A739" s="230"/>
      <c r="J739" s="230"/>
      <c r="K739" s="230"/>
      <c r="L739" s="230"/>
      <c r="M739" s="230"/>
    </row>
    <row r="740">
      <c r="A740" s="230"/>
      <c r="J740" s="230"/>
      <c r="K740" s="230"/>
      <c r="L740" s="230"/>
      <c r="M740" s="230"/>
    </row>
    <row r="741">
      <c r="A741" s="230"/>
      <c r="J741" s="230"/>
      <c r="K741" s="230"/>
      <c r="L741" s="230"/>
      <c r="M741" s="230"/>
    </row>
    <row r="742">
      <c r="A742" s="230"/>
      <c r="J742" s="230"/>
      <c r="K742" s="230"/>
      <c r="L742" s="230"/>
      <c r="M742" s="230"/>
    </row>
    <row r="743">
      <c r="A743" s="230"/>
      <c r="J743" s="230"/>
      <c r="K743" s="230"/>
      <c r="L743" s="230"/>
      <c r="M743" s="230"/>
    </row>
    <row r="744">
      <c r="A744" s="230"/>
      <c r="J744" s="230"/>
      <c r="K744" s="230"/>
      <c r="L744" s="230"/>
      <c r="M744" s="230"/>
    </row>
    <row r="745">
      <c r="A745" s="230"/>
      <c r="J745" s="230"/>
      <c r="K745" s="230"/>
      <c r="L745" s="230"/>
      <c r="M745" s="230"/>
    </row>
    <row r="746">
      <c r="A746" s="230"/>
      <c r="J746" s="230"/>
      <c r="K746" s="230"/>
      <c r="L746" s="230"/>
      <c r="M746" s="230"/>
    </row>
    <row r="747">
      <c r="A747" s="230"/>
      <c r="J747" s="230"/>
      <c r="K747" s="230"/>
      <c r="L747" s="230"/>
      <c r="M747" s="230"/>
    </row>
    <row r="748">
      <c r="A748" s="230"/>
      <c r="J748" s="230"/>
      <c r="K748" s="230"/>
      <c r="L748" s="230"/>
      <c r="M748" s="230"/>
    </row>
    <row r="749">
      <c r="A749" s="230"/>
      <c r="J749" s="230"/>
      <c r="K749" s="230"/>
      <c r="L749" s="230"/>
      <c r="M749" s="230"/>
    </row>
    <row r="750">
      <c r="A750" s="230"/>
      <c r="J750" s="230"/>
      <c r="K750" s="230"/>
      <c r="L750" s="230"/>
      <c r="M750" s="230"/>
    </row>
    <row r="751">
      <c r="A751" s="230"/>
      <c r="J751" s="230"/>
      <c r="K751" s="230"/>
      <c r="L751" s="230"/>
      <c r="M751" s="230"/>
    </row>
    <row r="752">
      <c r="A752" s="230"/>
      <c r="J752" s="230"/>
      <c r="K752" s="230"/>
      <c r="L752" s="230"/>
      <c r="M752" s="230"/>
    </row>
    <row r="753">
      <c r="A753" s="230"/>
      <c r="J753" s="230"/>
      <c r="K753" s="230"/>
      <c r="L753" s="230"/>
      <c r="M753" s="230"/>
    </row>
    <row r="754">
      <c r="A754" s="230"/>
      <c r="J754" s="230"/>
      <c r="K754" s="230"/>
      <c r="L754" s="230"/>
      <c r="M754" s="230"/>
    </row>
    <row r="755">
      <c r="A755" s="230"/>
      <c r="J755" s="230"/>
      <c r="K755" s="230"/>
      <c r="L755" s="230"/>
      <c r="M755" s="230"/>
    </row>
    <row r="756">
      <c r="A756" s="230"/>
      <c r="J756" s="230"/>
      <c r="K756" s="230"/>
      <c r="L756" s="230"/>
      <c r="M756" s="230"/>
    </row>
    <row r="757">
      <c r="A757" s="230"/>
      <c r="J757" s="230"/>
      <c r="K757" s="230"/>
      <c r="L757" s="230"/>
      <c r="M757" s="230"/>
    </row>
    <row r="758">
      <c r="A758" s="230"/>
      <c r="J758" s="230"/>
      <c r="K758" s="230"/>
      <c r="L758" s="230"/>
      <c r="M758" s="230"/>
    </row>
    <row r="759">
      <c r="A759" s="230"/>
      <c r="J759" s="230"/>
      <c r="K759" s="230"/>
      <c r="L759" s="230"/>
      <c r="M759" s="230"/>
    </row>
    <row r="760">
      <c r="A760" s="230"/>
      <c r="J760" s="230"/>
      <c r="K760" s="230"/>
      <c r="L760" s="230"/>
      <c r="M760" s="230"/>
    </row>
    <row r="761">
      <c r="A761" s="230"/>
      <c r="J761" s="230"/>
      <c r="K761" s="230"/>
      <c r="L761" s="230"/>
      <c r="M761" s="230"/>
    </row>
    <row r="762">
      <c r="A762" s="230"/>
      <c r="J762" s="230"/>
      <c r="K762" s="230"/>
      <c r="L762" s="230"/>
      <c r="M762" s="230"/>
    </row>
    <row r="763">
      <c r="A763" s="230"/>
      <c r="J763" s="230"/>
      <c r="K763" s="230"/>
      <c r="L763" s="230"/>
      <c r="M763" s="230"/>
    </row>
    <row r="764">
      <c r="A764" s="230"/>
      <c r="J764" s="230"/>
      <c r="K764" s="230"/>
      <c r="L764" s="230"/>
      <c r="M764" s="230"/>
    </row>
    <row r="765">
      <c r="A765" s="230"/>
      <c r="J765" s="230"/>
      <c r="K765" s="230"/>
      <c r="L765" s="230"/>
      <c r="M765" s="230"/>
    </row>
    <row r="766">
      <c r="A766" s="230"/>
      <c r="J766" s="230"/>
      <c r="K766" s="230"/>
      <c r="L766" s="230"/>
      <c r="M766" s="230"/>
    </row>
    <row r="767">
      <c r="A767" s="230"/>
      <c r="J767" s="230"/>
      <c r="K767" s="230"/>
      <c r="L767" s="230"/>
      <c r="M767" s="230"/>
    </row>
    <row r="768">
      <c r="A768" s="230"/>
      <c r="J768" s="230"/>
      <c r="K768" s="230"/>
      <c r="L768" s="230"/>
      <c r="M768" s="230"/>
    </row>
    <row r="769">
      <c r="A769" s="230"/>
      <c r="J769" s="230"/>
      <c r="K769" s="230"/>
      <c r="L769" s="230"/>
      <c r="M769" s="230"/>
    </row>
    <row r="770">
      <c r="A770" s="230"/>
      <c r="J770" s="230"/>
      <c r="K770" s="230"/>
      <c r="L770" s="230"/>
      <c r="M770" s="230"/>
    </row>
    <row r="771">
      <c r="A771" s="230"/>
      <c r="J771" s="230"/>
      <c r="K771" s="230"/>
      <c r="L771" s="230"/>
      <c r="M771" s="230"/>
    </row>
    <row r="772">
      <c r="A772" s="230"/>
      <c r="J772" s="230"/>
      <c r="K772" s="230"/>
      <c r="L772" s="230"/>
      <c r="M772" s="230"/>
    </row>
    <row r="773">
      <c r="A773" s="230"/>
      <c r="J773" s="230"/>
      <c r="K773" s="230"/>
      <c r="L773" s="230"/>
      <c r="M773" s="230"/>
    </row>
    <row r="774">
      <c r="A774" s="230"/>
      <c r="J774" s="230"/>
      <c r="K774" s="230"/>
      <c r="L774" s="230"/>
      <c r="M774" s="230"/>
    </row>
    <row r="775">
      <c r="A775" s="230"/>
      <c r="J775" s="230"/>
      <c r="K775" s="230"/>
      <c r="L775" s="230"/>
      <c r="M775" s="230"/>
    </row>
    <row r="776">
      <c r="A776" s="230"/>
      <c r="J776" s="230"/>
      <c r="K776" s="230"/>
      <c r="L776" s="230"/>
      <c r="M776" s="230"/>
    </row>
    <row r="777">
      <c r="A777" s="230"/>
      <c r="J777" s="230"/>
      <c r="K777" s="230"/>
      <c r="L777" s="230"/>
      <c r="M777" s="230"/>
    </row>
    <row r="778">
      <c r="A778" s="230"/>
      <c r="J778" s="230"/>
      <c r="K778" s="230"/>
      <c r="L778" s="230"/>
      <c r="M778" s="230"/>
    </row>
    <row r="779">
      <c r="A779" s="230"/>
      <c r="J779" s="230"/>
      <c r="K779" s="230"/>
      <c r="L779" s="230"/>
      <c r="M779" s="230"/>
    </row>
    <row r="780">
      <c r="A780" s="230"/>
      <c r="J780" s="230"/>
      <c r="K780" s="230"/>
      <c r="L780" s="230"/>
      <c r="M780" s="230"/>
    </row>
    <row r="781">
      <c r="A781" s="230"/>
      <c r="J781" s="230"/>
      <c r="K781" s="230"/>
      <c r="L781" s="230"/>
      <c r="M781" s="230"/>
    </row>
    <row r="782">
      <c r="A782" s="230"/>
      <c r="J782" s="230"/>
      <c r="K782" s="230"/>
      <c r="L782" s="230"/>
      <c r="M782" s="230"/>
    </row>
    <row r="783">
      <c r="A783" s="230"/>
      <c r="J783" s="230"/>
      <c r="K783" s="230"/>
      <c r="L783" s="230"/>
      <c r="M783" s="230"/>
    </row>
    <row r="784">
      <c r="A784" s="230"/>
      <c r="J784" s="230"/>
      <c r="K784" s="230"/>
      <c r="L784" s="230"/>
      <c r="M784" s="230"/>
    </row>
    <row r="785">
      <c r="A785" s="230"/>
      <c r="J785" s="230"/>
      <c r="K785" s="230"/>
      <c r="L785" s="230"/>
      <c r="M785" s="230"/>
    </row>
    <row r="786">
      <c r="A786" s="230"/>
      <c r="J786" s="230"/>
      <c r="K786" s="230"/>
      <c r="L786" s="230"/>
      <c r="M786" s="230"/>
    </row>
    <row r="787">
      <c r="A787" s="230"/>
      <c r="J787" s="230"/>
      <c r="K787" s="230"/>
      <c r="L787" s="230"/>
      <c r="M787" s="230"/>
    </row>
    <row r="788">
      <c r="A788" s="230"/>
      <c r="J788" s="230"/>
      <c r="K788" s="230"/>
      <c r="L788" s="230"/>
      <c r="M788" s="230"/>
    </row>
    <row r="789">
      <c r="A789" s="230"/>
      <c r="J789" s="230"/>
      <c r="K789" s="230"/>
      <c r="L789" s="230"/>
      <c r="M789" s="230"/>
    </row>
    <row r="790">
      <c r="A790" s="230"/>
      <c r="J790" s="230"/>
      <c r="K790" s="230"/>
      <c r="L790" s="230"/>
      <c r="M790" s="230"/>
    </row>
    <row r="791">
      <c r="A791" s="230"/>
      <c r="J791" s="230"/>
      <c r="K791" s="230"/>
      <c r="L791" s="230"/>
      <c r="M791" s="230"/>
    </row>
    <row r="792">
      <c r="A792" s="230"/>
      <c r="J792" s="230"/>
      <c r="K792" s="230"/>
      <c r="L792" s="230"/>
      <c r="M792" s="230"/>
    </row>
    <row r="793">
      <c r="A793" s="230"/>
      <c r="J793" s="230"/>
      <c r="K793" s="230"/>
      <c r="L793" s="230"/>
      <c r="M793" s="230"/>
    </row>
    <row r="794">
      <c r="A794" s="230"/>
      <c r="J794" s="230"/>
      <c r="K794" s="230"/>
      <c r="L794" s="230"/>
      <c r="M794" s="230"/>
    </row>
    <row r="795">
      <c r="A795" s="230"/>
      <c r="J795" s="230"/>
      <c r="K795" s="230"/>
      <c r="L795" s="230"/>
      <c r="M795" s="230"/>
    </row>
    <row r="796">
      <c r="A796" s="230"/>
      <c r="J796" s="230"/>
      <c r="K796" s="230"/>
      <c r="L796" s="230"/>
      <c r="M796" s="230"/>
    </row>
    <row r="797">
      <c r="A797" s="230"/>
      <c r="J797" s="230"/>
      <c r="K797" s="230"/>
      <c r="L797" s="230"/>
      <c r="M797" s="230"/>
    </row>
    <row r="798">
      <c r="A798" s="230"/>
      <c r="J798" s="230"/>
      <c r="K798" s="230"/>
      <c r="L798" s="230"/>
      <c r="M798" s="230"/>
    </row>
    <row r="799">
      <c r="A799" s="230"/>
      <c r="J799" s="230"/>
      <c r="K799" s="230"/>
      <c r="L799" s="230"/>
      <c r="M799" s="230"/>
    </row>
    <row r="800">
      <c r="A800" s="230"/>
      <c r="J800" s="230"/>
      <c r="K800" s="230"/>
      <c r="L800" s="230"/>
      <c r="M800" s="230"/>
    </row>
    <row r="801">
      <c r="A801" s="230"/>
      <c r="J801" s="230"/>
      <c r="K801" s="230"/>
      <c r="L801" s="230"/>
      <c r="M801" s="230"/>
    </row>
    <row r="802">
      <c r="A802" s="230"/>
      <c r="J802" s="230"/>
      <c r="K802" s="230"/>
      <c r="L802" s="230"/>
      <c r="M802" s="230"/>
    </row>
    <row r="803">
      <c r="A803" s="230"/>
      <c r="J803" s="230"/>
      <c r="K803" s="230"/>
      <c r="L803" s="230"/>
      <c r="M803" s="230"/>
    </row>
    <row r="804">
      <c r="A804" s="230"/>
      <c r="J804" s="230"/>
      <c r="K804" s="230"/>
      <c r="L804" s="230"/>
      <c r="M804" s="230"/>
    </row>
    <row r="805">
      <c r="A805" s="230"/>
      <c r="J805" s="230"/>
      <c r="K805" s="230"/>
      <c r="L805" s="230"/>
      <c r="M805" s="230"/>
    </row>
    <row r="806">
      <c r="A806" s="230"/>
      <c r="J806" s="230"/>
      <c r="K806" s="230"/>
      <c r="L806" s="230"/>
      <c r="M806" s="230"/>
    </row>
    <row r="807">
      <c r="A807" s="230"/>
      <c r="J807" s="230"/>
      <c r="K807" s="230"/>
      <c r="L807" s="230"/>
      <c r="M807" s="230"/>
    </row>
    <row r="808">
      <c r="A808" s="230"/>
      <c r="J808" s="230"/>
      <c r="K808" s="230"/>
      <c r="L808" s="230"/>
      <c r="M808" s="230"/>
    </row>
    <row r="809">
      <c r="A809" s="230"/>
      <c r="J809" s="230"/>
      <c r="K809" s="230"/>
      <c r="L809" s="230"/>
      <c r="M809" s="230"/>
    </row>
    <row r="810">
      <c r="A810" s="230"/>
      <c r="J810" s="230"/>
      <c r="K810" s="230"/>
      <c r="L810" s="230"/>
      <c r="M810" s="230"/>
    </row>
    <row r="811">
      <c r="A811" s="230"/>
      <c r="J811" s="230"/>
      <c r="K811" s="230"/>
      <c r="L811" s="230"/>
      <c r="M811" s="230"/>
    </row>
    <row r="812">
      <c r="A812" s="230"/>
      <c r="J812" s="230"/>
      <c r="K812" s="230"/>
      <c r="L812" s="230"/>
      <c r="M812" s="230"/>
    </row>
    <row r="813">
      <c r="A813" s="230"/>
      <c r="J813" s="230"/>
      <c r="K813" s="230"/>
      <c r="L813" s="230"/>
      <c r="M813" s="230"/>
    </row>
    <row r="814">
      <c r="A814" s="230"/>
      <c r="J814" s="230"/>
      <c r="K814" s="230"/>
      <c r="L814" s="230"/>
      <c r="M814" s="230"/>
    </row>
    <row r="815">
      <c r="A815" s="230"/>
      <c r="J815" s="230"/>
      <c r="K815" s="230"/>
      <c r="L815" s="230"/>
      <c r="M815" s="230"/>
    </row>
    <row r="816">
      <c r="A816" s="230"/>
      <c r="J816" s="230"/>
      <c r="K816" s="230"/>
      <c r="L816" s="230"/>
      <c r="M816" s="230"/>
    </row>
    <row r="817">
      <c r="A817" s="230"/>
      <c r="J817" s="230"/>
      <c r="K817" s="230"/>
      <c r="L817" s="230"/>
      <c r="M817" s="230"/>
    </row>
    <row r="818">
      <c r="A818" s="230"/>
      <c r="J818" s="230"/>
      <c r="K818" s="230"/>
      <c r="L818" s="230"/>
      <c r="M818" s="230"/>
    </row>
    <row r="819">
      <c r="A819" s="230"/>
      <c r="J819" s="230"/>
      <c r="K819" s="230"/>
      <c r="L819" s="230"/>
      <c r="M819" s="230"/>
    </row>
    <row r="820">
      <c r="A820" s="230"/>
      <c r="J820" s="230"/>
      <c r="K820" s="230"/>
      <c r="L820" s="230"/>
      <c r="M820" s="230"/>
    </row>
    <row r="821">
      <c r="A821" s="230"/>
      <c r="J821" s="230"/>
      <c r="K821" s="230"/>
      <c r="L821" s="230"/>
      <c r="M821" s="230"/>
    </row>
    <row r="822">
      <c r="A822" s="230"/>
      <c r="J822" s="230"/>
      <c r="K822" s="230"/>
      <c r="L822" s="230"/>
      <c r="M822" s="230"/>
    </row>
    <row r="823">
      <c r="A823" s="230"/>
      <c r="J823" s="230"/>
      <c r="K823" s="230"/>
      <c r="L823" s="230"/>
      <c r="M823" s="230"/>
    </row>
    <row r="824">
      <c r="A824" s="230"/>
      <c r="J824" s="230"/>
      <c r="K824" s="230"/>
      <c r="L824" s="230"/>
      <c r="M824" s="230"/>
    </row>
    <row r="825">
      <c r="A825" s="230"/>
      <c r="J825" s="230"/>
      <c r="K825" s="230"/>
      <c r="L825" s="230"/>
      <c r="M825" s="230"/>
    </row>
    <row r="826">
      <c r="A826" s="230"/>
      <c r="J826" s="230"/>
      <c r="K826" s="230"/>
      <c r="L826" s="230"/>
      <c r="M826" s="230"/>
    </row>
    <row r="827">
      <c r="A827" s="230"/>
      <c r="J827" s="230"/>
      <c r="K827" s="230"/>
      <c r="L827" s="230"/>
      <c r="M827" s="230"/>
    </row>
    <row r="828">
      <c r="A828" s="230"/>
      <c r="J828" s="230"/>
      <c r="K828" s="230"/>
      <c r="L828" s="230"/>
      <c r="M828" s="230"/>
    </row>
    <row r="829">
      <c r="A829" s="230"/>
      <c r="J829" s="230"/>
      <c r="K829" s="230"/>
      <c r="L829" s="230"/>
      <c r="M829" s="230"/>
    </row>
    <row r="830">
      <c r="A830" s="230"/>
      <c r="J830" s="230"/>
      <c r="K830" s="230"/>
      <c r="L830" s="230"/>
      <c r="M830" s="230"/>
    </row>
    <row r="831">
      <c r="A831" s="230"/>
      <c r="J831" s="230"/>
      <c r="K831" s="230"/>
      <c r="L831" s="230"/>
      <c r="M831" s="230"/>
    </row>
    <row r="832">
      <c r="A832" s="230"/>
      <c r="J832" s="230"/>
      <c r="K832" s="230"/>
      <c r="L832" s="230"/>
      <c r="M832" s="230"/>
    </row>
    <row r="833">
      <c r="A833" s="230"/>
      <c r="J833" s="230"/>
      <c r="K833" s="230"/>
      <c r="L833" s="230"/>
      <c r="M833" s="230"/>
    </row>
    <row r="834">
      <c r="A834" s="230"/>
      <c r="J834" s="230"/>
      <c r="K834" s="230"/>
      <c r="L834" s="230"/>
      <c r="M834" s="230"/>
    </row>
    <row r="835">
      <c r="A835" s="230"/>
      <c r="J835" s="230"/>
      <c r="K835" s="230"/>
      <c r="L835" s="230"/>
      <c r="M835" s="230"/>
    </row>
    <row r="836">
      <c r="A836" s="230"/>
      <c r="J836" s="230"/>
      <c r="K836" s="230"/>
      <c r="L836" s="230"/>
      <c r="M836" s="230"/>
    </row>
    <row r="837">
      <c r="A837" s="230"/>
      <c r="J837" s="230"/>
      <c r="K837" s="230"/>
      <c r="L837" s="230"/>
      <c r="M837" s="230"/>
    </row>
    <row r="838">
      <c r="A838" s="230"/>
      <c r="J838" s="230"/>
      <c r="K838" s="230"/>
      <c r="L838" s="230"/>
      <c r="M838" s="230"/>
    </row>
    <row r="839">
      <c r="A839" s="230"/>
      <c r="J839" s="230"/>
      <c r="K839" s="230"/>
      <c r="L839" s="230"/>
      <c r="M839" s="230"/>
    </row>
    <row r="840">
      <c r="A840" s="230"/>
      <c r="J840" s="230"/>
      <c r="K840" s="230"/>
      <c r="L840" s="230"/>
      <c r="M840" s="230"/>
    </row>
    <row r="841">
      <c r="A841" s="230"/>
      <c r="J841" s="230"/>
      <c r="K841" s="230"/>
      <c r="L841" s="230"/>
      <c r="M841" s="230"/>
    </row>
    <row r="842">
      <c r="A842" s="230"/>
      <c r="J842" s="230"/>
      <c r="K842" s="230"/>
      <c r="L842" s="230"/>
      <c r="M842" s="230"/>
    </row>
    <row r="843">
      <c r="A843" s="230"/>
      <c r="J843" s="230"/>
      <c r="K843" s="230"/>
      <c r="L843" s="230"/>
      <c r="M843" s="230"/>
    </row>
    <row r="844">
      <c r="A844" s="230"/>
      <c r="J844" s="230"/>
      <c r="K844" s="230"/>
      <c r="L844" s="230"/>
      <c r="M844" s="230"/>
    </row>
    <row r="845">
      <c r="A845" s="230"/>
      <c r="J845" s="230"/>
      <c r="K845" s="230"/>
      <c r="L845" s="230"/>
      <c r="M845" s="230"/>
    </row>
    <row r="846">
      <c r="A846" s="230"/>
      <c r="J846" s="230"/>
      <c r="K846" s="230"/>
      <c r="L846" s="230"/>
      <c r="M846" s="230"/>
    </row>
    <row r="847">
      <c r="A847" s="230"/>
      <c r="J847" s="230"/>
      <c r="K847" s="230"/>
      <c r="L847" s="230"/>
      <c r="M847" s="230"/>
    </row>
    <row r="848">
      <c r="A848" s="230"/>
      <c r="J848" s="230"/>
      <c r="K848" s="230"/>
      <c r="L848" s="230"/>
      <c r="M848" s="230"/>
    </row>
    <row r="849">
      <c r="A849" s="230"/>
      <c r="J849" s="230"/>
      <c r="K849" s="230"/>
      <c r="L849" s="230"/>
      <c r="M849" s="230"/>
    </row>
    <row r="850">
      <c r="A850" s="230"/>
      <c r="J850" s="230"/>
      <c r="K850" s="230"/>
      <c r="L850" s="230"/>
      <c r="M850" s="230"/>
    </row>
    <row r="851">
      <c r="A851" s="230"/>
      <c r="J851" s="230"/>
      <c r="K851" s="230"/>
      <c r="L851" s="230"/>
      <c r="M851" s="230"/>
    </row>
    <row r="852">
      <c r="A852" s="230"/>
      <c r="J852" s="230"/>
      <c r="K852" s="230"/>
      <c r="L852" s="230"/>
      <c r="M852" s="230"/>
    </row>
    <row r="853">
      <c r="A853" s="230"/>
      <c r="J853" s="230"/>
      <c r="K853" s="230"/>
      <c r="L853" s="230"/>
      <c r="M853" s="230"/>
    </row>
    <row r="854">
      <c r="A854" s="230"/>
      <c r="J854" s="230"/>
      <c r="K854" s="230"/>
      <c r="L854" s="230"/>
      <c r="M854" s="230"/>
    </row>
    <row r="855">
      <c r="A855" s="230"/>
      <c r="J855" s="230"/>
      <c r="K855" s="230"/>
      <c r="L855" s="230"/>
      <c r="M855" s="230"/>
    </row>
    <row r="856">
      <c r="A856" s="230"/>
      <c r="J856" s="230"/>
      <c r="K856" s="230"/>
      <c r="L856" s="230"/>
      <c r="M856" s="230"/>
    </row>
    <row r="857">
      <c r="A857" s="230"/>
      <c r="J857" s="230"/>
      <c r="K857" s="230"/>
      <c r="L857" s="230"/>
      <c r="M857" s="230"/>
    </row>
    <row r="858">
      <c r="A858" s="230"/>
      <c r="J858" s="230"/>
      <c r="K858" s="230"/>
      <c r="L858" s="230"/>
      <c r="M858" s="230"/>
    </row>
    <row r="859">
      <c r="A859" s="230"/>
      <c r="J859" s="230"/>
      <c r="K859" s="230"/>
      <c r="L859" s="230"/>
      <c r="M859" s="230"/>
    </row>
    <row r="860">
      <c r="A860" s="230"/>
      <c r="J860" s="230"/>
      <c r="K860" s="230"/>
      <c r="L860" s="230"/>
      <c r="M860" s="230"/>
    </row>
    <row r="861">
      <c r="A861" s="230"/>
      <c r="J861" s="230"/>
      <c r="K861" s="230"/>
      <c r="L861" s="230"/>
      <c r="M861" s="230"/>
    </row>
    <row r="862">
      <c r="A862" s="230"/>
      <c r="J862" s="230"/>
      <c r="K862" s="230"/>
      <c r="L862" s="230"/>
      <c r="M862" s="230"/>
    </row>
    <row r="863">
      <c r="A863" s="230"/>
      <c r="J863" s="230"/>
      <c r="K863" s="230"/>
      <c r="L863" s="230"/>
      <c r="M863" s="230"/>
    </row>
    <row r="864">
      <c r="A864" s="230"/>
      <c r="J864" s="230"/>
      <c r="K864" s="230"/>
      <c r="L864" s="230"/>
      <c r="M864" s="230"/>
    </row>
    <row r="865">
      <c r="A865" s="230"/>
      <c r="J865" s="230"/>
      <c r="K865" s="230"/>
      <c r="L865" s="230"/>
      <c r="M865" s="230"/>
    </row>
    <row r="866">
      <c r="A866" s="230"/>
      <c r="J866" s="230"/>
      <c r="K866" s="230"/>
      <c r="L866" s="230"/>
      <c r="M866" s="230"/>
    </row>
    <row r="867">
      <c r="A867" s="230"/>
      <c r="J867" s="230"/>
      <c r="K867" s="230"/>
      <c r="L867" s="230"/>
      <c r="M867" s="230"/>
    </row>
    <row r="868">
      <c r="A868" s="230"/>
      <c r="J868" s="230"/>
      <c r="K868" s="230"/>
      <c r="L868" s="230"/>
      <c r="M868" s="230"/>
    </row>
    <row r="869">
      <c r="A869" s="230"/>
      <c r="J869" s="230"/>
      <c r="K869" s="230"/>
      <c r="L869" s="230"/>
      <c r="M869" s="230"/>
    </row>
    <row r="870">
      <c r="A870" s="230"/>
      <c r="J870" s="230"/>
      <c r="K870" s="230"/>
      <c r="L870" s="230"/>
      <c r="M870" s="230"/>
    </row>
    <row r="871">
      <c r="A871" s="230"/>
      <c r="J871" s="230"/>
      <c r="K871" s="230"/>
      <c r="L871" s="230"/>
      <c r="M871" s="230"/>
    </row>
    <row r="872">
      <c r="A872" s="230"/>
      <c r="J872" s="230"/>
      <c r="K872" s="230"/>
      <c r="L872" s="230"/>
      <c r="M872" s="230"/>
    </row>
    <row r="873">
      <c r="A873" s="230"/>
      <c r="J873" s="230"/>
      <c r="K873" s="230"/>
      <c r="L873" s="230"/>
      <c r="M873" s="230"/>
    </row>
    <row r="874">
      <c r="A874" s="230"/>
      <c r="J874" s="230"/>
      <c r="K874" s="230"/>
      <c r="L874" s="230"/>
      <c r="M874" s="230"/>
    </row>
    <row r="875">
      <c r="A875" s="230"/>
      <c r="J875" s="230"/>
      <c r="K875" s="230"/>
      <c r="L875" s="230"/>
      <c r="M875" s="230"/>
    </row>
    <row r="876">
      <c r="A876" s="230"/>
      <c r="J876" s="230"/>
      <c r="K876" s="230"/>
      <c r="L876" s="230"/>
      <c r="M876" s="230"/>
    </row>
    <row r="877">
      <c r="A877" s="230"/>
      <c r="J877" s="230"/>
      <c r="K877" s="230"/>
      <c r="L877" s="230"/>
      <c r="M877" s="230"/>
    </row>
    <row r="878">
      <c r="A878" s="230"/>
      <c r="J878" s="230"/>
      <c r="K878" s="230"/>
      <c r="L878" s="230"/>
      <c r="M878" s="230"/>
    </row>
    <row r="879">
      <c r="A879" s="230"/>
      <c r="J879" s="230"/>
      <c r="K879" s="230"/>
      <c r="L879" s="230"/>
      <c r="M879" s="230"/>
    </row>
    <row r="880">
      <c r="A880" s="230"/>
      <c r="J880" s="230"/>
      <c r="K880" s="230"/>
      <c r="L880" s="230"/>
      <c r="M880" s="230"/>
    </row>
    <row r="881">
      <c r="A881" s="230"/>
      <c r="J881" s="230"/>
      <c r="K881" s="230"/>
      <c r="L881" s="230"/>
      <c r="M881" s="230"/>
    </row>
    <row r="882">
      <c r="A882" s="230"/>
      <c r="J882" s="230"/>
      <c r="K882" s="230"/>
      <c r="L882" s="230"/>
      <c r="M882" s="230"/>
    </row>
    <row r="883">
      <c r="A883" s="230"/>
      <c r="J883" s="230"/>
      <c r="K883" s="230"/>
      <c r="L883" s="230"/>
      <c r="M883" s="230"/>
    </row>
    <row r="884">
      <c r="A884" s="230"/>
      <c r="J884" s="230"/>
      <c r="K884" s="230"/>
      <c r="L884" s="230"/>
      <c r="M884" s="230"/>
    </row>
    <row r="885">
      <c r="A885" s="230"/>
      <c r="J885" s="230"/>
      <c r="K885" s="230"/>
      <c r="L885" s="230"/>
      <c r="M885" s="230"/>
    </row>
    <row r="886">
      <c r="A886" s="230"/>
      <c r="J886" s="230"/>
      <c r="K886" s="230"/>
      <c r="L886" s="230"/>
      <c r="M886" s="230"/>
    </row>
    <row r="887">
      <c r="A887" s="230"/>
      <c r="J887" s="230"/>
      <c r="K887" s="230"/>
      <c r="L887" s="230"/>
      <c r="M887" s="230"/>
    </row>
    <row r="888">
      <c r="A888" s="230"/>
      <c r="J888" s="230"/>
      <c r="K888" s="230"/>
      <c r="L888" s="230"/>
      <c r="M888" s="230"/>
    </row>
    <row r="889">
      <c r="A889" s="230"/>
      <c r="J889" s="230"/>
      <c r="K889" s="230"/>
      <c r="L889" s="230"/>
      <c r="M889" s="230"/>
    </row>
    <row r="890">
      <c r="A890" s="230"/>
      <c r="J890" s="230"/>
      <c r="K890" s="230"/>
      <c r="L890" s="230"/>
      <c r="M890" s="230"/>
    </row>
    <row r="891">
      <c r="A891" s="230"/>
      <c r="J891" s="230"/>
      <c r="K891" s="230"/>
      <c r="L891" s="230"/>
      <c r="M891" s="230"/>
    </row>
    <row r="892">
      <c r="A892" s="230"/>
      <c r="J892" s="230"/>
      <c r="K892" s="230"/>
      <c r="L892" s="230"/>
      <c r="M892" s="230"/>
    </row>
    <row r="893">
      <c r="A893" s="230"/>
      <c r="J893" s="230"/>
      <c r="K893" s="230"/>
      <c r="L893" s="230"/>
      <c r="M893" s="230"/>
    </row>
    <row r="894">
      <c r="A894" s="230"/>
      <c r="J894" s="230"/>
      <c r="K894" s="230"/>
      <c r="L894" s="230"/>
      <c r="M894" s="230"/>
    </row>
    <row r="895">
      <c r="A895" s="230"/>
      <c r="J895" s="230"/>
      <c r="K895" s="230"/>
      <c r="L895" s="230"/>
      <c r="M895" s="230"/>
    </row>
    <row r="896">
      <c r="A896" s="230"/>
      <c r="J896" s="230"/>
      <c r="K896" s="230"/>
      <c r="L896" s="230"/>
      <c r="M896" s="230"/>
    </row>
    <row r="897">
      <c r="A897" s="230"/>
      <c r="J897" s="230"/>
      <c r="K897" s="230"/>
      <c r="L897" s="230"/>
      <c r="M897" s="230"/>
    </row>
    <row r="898">
      <c r="A898" s="230"/>
      <c r="J898" s="230"/>
      <c r="K898" s="230"/>
      <c r="L898" s="230"/>
      <c r="M898" s="230"/>
    </row>
    <row r="899">
      <c r="A899" s="230"/>
      <c r="J899" s="230"/>
      <c r="K899" s="230"/>
      <c r="L899" s="230"/>
      <c r="M899" s="230"/>
    </row>
    <row r="900">
      <c r="A900" s="230"/>
      <c r="J900" s="230"/>
      <c r="K900" s="230"/>
      <c r="L900" s="230"/>
      <c r="M900" s="230"/>
    </row>
    <row r="901">
      <c r="A901" s="230"/>
      <c r="J901" s="230"/>
      <c r="K901" s="230"/>
      <c r="L901" s="230"/>
      <c r="M901" s="230"/>
    </row>
    <row r="902">
      <c r="A902" s="230"/>
      <c r="J902" s="230"/>
      <c r="K902" s="230"/>
      <c r="L902" s="230"/>
      <c r="M902" s="230"/>
    </row>
    <row r="903">
      <c r="A903" s="230"/>
      <c r="J903" s="230"/>
      <c r="K903" s="230"/>
      <c r="L903" s="230"/>
      <c r="M903" s="230"/>
    </row>
    <row r="904">
      <c r="A904" s="230"/>
      <c r="J904" s="230"/>
      <c r="K904" s="230"/>
      <c r="L904" s="230"/>
      <c r="M904" s="230"/>
    </row>
    <row r="905">
      <c r="A905" s="230"/>
      <c r="J905" s="230"/>
      <c r="K905" s="230"/>
      <c r="L905" s="230"/>
      <c r="M905" s="230"/>
    </row>
    <row r="906">
      <c r="A906" s="230"/>
      <c r="J906" s="230"/>
      <c r="K906" s="230"/>
      <c r="L906" s="230"/>
      <c r="M906" s="230"/>
    </row>
    <row r="907">
      <c r="A907" s="230"/>
      <c r="J907" s="230"/>
      <c r="K907" s="230"/>
      <c r="L907" s="230"/>
      <c r="M907" s="230"/>
    </row>
    <row r="908">
      <c r="A908" s="230"/>
      <c r="J908" s="230"/>
      <c r="K908" s="230"/>
      <c r="L908" s="230"/>
      <c r="M908" s="230"/>
    </row>
    <row r="909">
      <c r="A909" s="230"/>
      <c r="J909" s="230"/>
      <c r="K909" s="230"/>
      <c r="L909" s="230"/>
      <c r="M909" s="230"/>
    </row>
    <row r="910">
      <c r="A910" s="230"/>
      <c r="J910" s="230"/>
      <c r="K910" s="230"/>
      <c r="L910" s="230"/>
      <c r="M910" s="230"/>
    </row>
    <row r="911">
      <c r="A911" s="230"/>
      <c r="J911" s="230"/>
      <c r="K911" s="230"/>
      <c r="L911" s="230"/>
      <c r="M911" s="230"/>
    </row>
    <row r="912">
      <c r="A912" s="230"/>
      <c r="J912" s="230"/>
      <c r="K912" s="230"/>
      <c r="L912" s="230"/>
      <c r="M912" s="230"/>
    </row>
    <row r="913">
      <c r="A913" s="230"/>
      <c r="J913" s="230"/>
      <c r="K913" s="230"/>
      <c r="L913" s="230"/>
      <c r="M913" s="230"/>
    </row>
    <row r="914">
      <c r="A914" s="230"/>
      <c r="J914" s="230"/>
      <c r="K914" s="230"/>
      <c r="L914" s="230"/>
      <c r="M914" s="230"/>
    </row>
    <row r="915">
      <c r="A915" s="230"/>
      <c r="J915" s="230"/>
      <c r="K915" s="230"/>
      <c r="L915" s="230"/>
      <c r="M915" s="230"/>
    </row>
    <row r="916">
      <c r="A916" s="230"/>
      <c r="J916" s="230"/>
      <c r="K916" s="230"/>
      <c r="L916" s="230"/>
      <c r="M916" s="230"/>
    </row>
    <row r="917">
      <c r="A917" s="230"/>
      <c r="J917" s="230"/>
      <c r="K917" s="230"/>
      <c r="L917" s="230"/>
      <c r="M917" s="230"/>
    </row>
    <row r="918">
      <c r="A918" s="230"/>
      <c r="J918" s="230"/>
      <c r="K918" s="230"/>
      <c r="L918" s="230"/>
      <c r="M918" s="230"/>
    </row>
    <row r="919">
      <c r="A919" s="230"/>
      <c r="J919" s="230"/>
      <c r="K919" s="230"/>
      <c r="L919" s="230"/>
      <c r="M919" s="230"/>
    </row>
    <row r="920">
      <c r="A920" s="230"/>
      <c r="J920" s="230"/>
      <c r="K920" s="230"/>
      <c r="L920" s="230"/>
      <c r="M920" s="230"/>
    </row>
    <row r="921">
      <c r="A921" s="230"/>
      <c r="J921" s="230"/>
      <c r="K921" s="230"/>
      <c r="L921" s="230"/>
      <c r="M921" s="230"/>
    </row>
    <row r="922">
      <c r="A922" s="230"/>
      <c r="J922" s="230"/>
      <c r="K922" s="230"/>
      <c r="L922" s="230"/>
      <c r="M922" s="230"/>
    </row>
    <row r="923">
      <c r="A923" s="230"/>
      <c r="J923" s="230"/>
      <c r="K923" s="230"/>
      <c r="L923" s="230"/>
      <c r="M923" s="230"/>
    </row>
    <row r="924">
      <c r="A924" s="230"/>
      <c r="J924" s="230"/>
      <c r="K924" s="230"/>
      <c r="L924" s="230"/>
      <c r="M924" s="230"/>
    </row>
    <row r="925">
      <c r="A925" s="230"/>
      <c r="J925" s="230"/>
      <c r="K925" s="230"/>
      <c r="L925" s="230"/>
      <c r="M925" s="230"/>
    </row>
    <row r="926">
      <c r="A926" s="230"/>
      <c r="J926" s="230"/>
      <c r="K926" s="230"/>
      <c r="L926" s="230"/>
      <c r="M926" s="230"/>
    </row>
    <row r="927">
      <c r="A927" s="230"/>
      <c r="J927" s="230"/>
      <c r="K927" s="230"/>
      <c r="L927" s="230"/>
      <c r="M927" s="230"/>
    </row>
    <row r="928">
      <c r="A928" s="230"/>
      <c r="J928" s="230"/>
      <c r="K928" s="230"/>
      <c r="L928" s="230"/>
      <c r="M928" s="230"/>
    </row>
    <row r="929">
      <c r="A929" s="230"/>
      <c r="J929" s="230"/>
      <c r="K929" s="230"/>
      <c r="L929" s="230"/>
      <c r="M929" s="230"/>
    </row>
    <row r="930">
      <c r="A930" s="230"/>
      <c r="J930" s="230"/>
      <c r="K930" s="230"/>
      <c r="L930" s="230"/>
      <c r="M930" s="230"/>
    </row>
    <row r="931">
      <c r="A931" s="230"/>
      <c r="J931" s="230"/>
      <c r="K931" s="230"/>
      <c r="L931" s="230"/>
      <c r="M931" s="230"/>
    </row>
    <row r="932">
      <c r="A932" s="230"/>
      <c r="J932" s="230"/>
      <c r="K932" s="230"/>
      <c r="L932" s="230"/>
      <c r="M932" s="230"/>
    </row>
    <row r="933">
      <c r="A933" s="230"/>
      <c r="J933" s="230"/>
      <c r="K933" s="230"/>
      <c r="L933" s="230"/>
      <c r="M933" s="230"/>
    </row>
    <row r="934">
      <c r="A934" s="230"/>
      <c r="J934" s="230"/>
      <c r="K934" s="230"/>
      <c r="L934" s="230"/>
      <c r="M934" s="230"/>
    </row>
    <row r="935">
      <c r="A935" s="230"/>
      <c r="J935" s="230"/>
      <c r="K935" s="230"/>
      <c r="L935" s="230"/>
      <c r="M935" s="230"/>
    </row>
    <row r="936">
      <c r="A936" s="230"/>
      <c r="J936" s="230"/>
      <c r="K936" s="230"/>
      <c r="L936" s="230"/>
      <c r="M936" s="230"/>
    </row>
    <row r="937">
      <c r="A937" s="230"/>
      <c r="J937" s="230"/>
      <c r="K937" s="230"/>
      <c r="L937" s="230"/>
      <c r="M937" s="230"/>
    </row>
    <row r="938">
      <c r="A938" s="230"/>
      <c r="J938" s="230"/>
      <c r="K938" s="230"/>
      <c r="L938" s="230"/>
      <c r="M938" s="230"/>
    </row>
    <row r="939">
      <c r="A939" s="230"/>
      <c r="J939" s="230"/>
      <c r="K939" s="230"/>
      <c r="L939" s="230"/>
      <c r="M939" s="230"/>
    </row>
    <row r="940">
      <c r="A940" s="230"/>
      <c r="J940" s="230"/>
      <c r="K940" s="230"/>
      <c r="L940" s="230"/>
      <c r="M940" s="230"/>
    </row>
    <row r="941">
      <c r="A941" s="230"/>
      <c r="J941" s="230"/>
      <c r="K941" s="230"/>
      <c r="L941" s="230"/>
      <c r="M941" s="230"/>
    </row>
    <row r="942">
      <c r="A942" s="230"/>
      <c r="J942" s="230"/>
      <c r="K942" s="230"/>
      <c r="L942" s="230"/>
      <c r="M942" s="230"/>
    </row>
    <row r="943">
      <c r="A943" s="230"/>
      <c r="J943" s="230"/>
      <c r="K943" s="230"/>
      <c r="L943" s="230"/>
      <c r="M943" s="230"/>
    </row>
    <row r="944">
      <c r="A944" s="230"/>
      <c r="J944" s="230"/>
      <c r="K944" s="230"/>
      <c r="L944" s="230"/>
      <c r="M944" s="230"/>
    </row>
    <row r="945">
      <c r="A945" s="230"/>
      <c r="J945" s="230"/>
      <c r="K945" s="230"/>
      <c r="L945" s="230"/>
      <c r="M945" s="230"/>
    </row>
    <row r="946">
      <c r="A946" s="230"/>
      <c r="J946" s="230"/>
      <c r="K946" s="230"/>
      <c r="L946" s="230"/>
      <c r="M946" s="230"/>
    </row>
    <row r="947">
      <c r="A947" s="230"/>
      <c r="J947" s="230"/>
      <c r="K947" s="230"/>
      <c r="L947" s="230"/>
      <c r="M947" s="230"/>
    </row>
    <row r="948">
      <c r="A948" s="230"/>
      <c r="J948" s="230"/>
      <c r="K948" s="230"/>
      <c r="L948" s="230"/>
      <c r="M948" s="230"/>
    </row>
    <row r="949">
      <c r="A949" s="230"/>
      <c r="J949" s="230"/>
      <c r="K949" s="230"/>
      <c r="L949" s="230"/>
      <c r="M949" s="230"/>
    </row>
    <row r="950">
      <c r="A950" s="230"/>
      <c r="J950" s="230"/>
      <c r="K950" s="230"/>
      <c r="L950" s="230"/>
      <c r="M950" s="230"/>
    </row>
    <row r="951">
      <c r="A951" s="230"/>
      <c r="J951" s="230"/>
      <c r="K951" s="230"/>
      <c r="L951" s="230"/>
      <c r="M951" s="230"/>
    </row>
    <row r="952">
      <c r="A952" s="230"/>
      <c r="J952" s="230"/>
      <c r="K952" s="230"/>
      <c r="L952" s="230"/>
      <c r="M952" s="230"/>
    </row>
    <row r="953">
      <c r="A953" s="230"/>
      <c r="J953" s="230"/>
      <c r="K953" s="230"/>
      <c r="L953" s="230"/>
      <c r="M953" s="230"/>
    </row>
    <row r="954">
      <c r="A954" s="230"/>
      <c r="J954" s="230"/>
      <c r="K954" s="230"/>
      <c r="L954" s="230"/>
      <c r="M954" s="230"/>
    </row>
    <row r="955">
      <c r="A955" s="230"/>
      <c r="J955" s="230"/>
      <c r="K955" s="230"/>
      <c r="L955" s="230"/>
      <c r="M955" s="230"/>
    </row>
    <row r="956">
      <c r="A956" s="230"/>
      <c r="J956" s="230"/>
      <c r="K956" s="230"/>
      <c r="L956" s="230"/>
      <c r="M956" s="230"/>
    </row>
    <row r="957">
      <c r="A957" s="230"/>
      <c r="J957" s="230"/>
      <c r="K957" s="230"/>
      <c r="L957" s="230"/>
      <c r="M957" s="230"/>
    </row>
    <row r="958">
      <c r="A958" s="230"/>
      <c r="J958" s="230"/>
      <c r="K958" s="230"/>
      <c r="L958" s="230"/>
      <c r="M958" s="230"/>
    </row>
    <row r="959">
      <c r="A959" s="230"/>
      <c r="J959" s="230"/>
      <c r="K959" s="230"/>
      <c r="L959" s="230"/>
      <c r="M959" s="230"/>
    </row>
    <row r="960">
      <c r="A960" s="230"/>
      <c r="J960" s="230"/>
      <c r="K960" s="230"/>
      <c r="L960" s="230"/>
      <c r="M960" s="230"/>
    </row>
    <row r="961">
      <c r="A961" s="230"/>
      <c r="J961" s="230"/>
      <c r="K961" s="230"/>
      <c r="L961" s="230"/>
      <c r="M961" s="230"/>
    </row>
    <row r="962">
      <c r="A962" s="230"/>
      <c r="J962" s="230"/>
      <c r="K962" s="230"/>
      <c r="L962" s="230"/>
      <c r="M962" s="230"/>
    </row>
    <row r="963">
      <c r="A963" s="230"/>
      <c r="J963" s="230"/>
      <c r="K963" s="230"/>
      <c r="L963" s="230"/>
      <c r="M963" s="230"/>
    </row>
    <row r="964">
      <c r="A964" s="230"/>
      <c r="J964" s="230"/>
      <c r="K964" s="230"/>
      <c r="L964" s="230"/>
      <c r="M964" s="230"/>
    </row>
    <row r="965">
      <c r="A965" s="230"/>
      <c r="J965" s="230"/>
      <c r="K965" s="230"/>
      <c r="L965" s="230"/>
      <c r="M965" s="230"/>
    </row>
    <row r="966">
      <c r="A966" s="230"/>
      <c r="J966" s="230"/>
      <c r="K966" s="230"/>
      <c r="L966" s="230"/>
      <c r="M966" s="230"/>
    </row>
    <row r="967">
      <c r="A967" s="230"/>
      <c r="J967" s="230"/>
      <c r="K967" s="230"/>
      <c r="L967" s="230"/>
      <c r="M967" s="230"/>
    </row>
    <row r="968">
      <c r="A968" s="230"/>
      <c r="J968" s="230"/>
      <c r="K968" s="230"/>
      <c r="L968" s="230"/>
      <c r="M968" s="230"/>
    </row>
    <row r="969">
      <c r="A969" s="230"/>
      <c r="J969" s="230"/>
      <c r="K969" s="230"/>
      <c r="L969" s="230"/>
      <c r="M969" s="230"/>
    </row>
    <row r="970">
      <c r="A970" s="230"/>
      <c r="J970" s="230"/>
      <c r="K970" s="230"/>
      <c r="L970" s="230"/>
      <c r="M970" s="230"/>
    </row>
    <row r="971">
      <c r="A971" s="230"/>
      <c r="J971" s="230"/>
      <c r="K971" s="230"/>
      <c r="L971" s="230"/>
      <c r="M971" s="230"/>
    </row>
    <row r="972">
      <c r="A972" s="230"/>
      <c r="J972" s="230"/>
      <c r="K972" s="230"/>
      <c r="L972" s="230"/>
      <c r="M972" s="230"/>
    </row>
    <row r="973">
      <c r="A973" s="230"/>
      <c r="J973" s="230"/>
      <c r="K973" s="230"/>
      <c r="L973" s="230"/>
      <c r="M973" s="230"/>
    </row>
    <row r="974">
      <c r="A974" s="230"/>
      <c r="J974" s="230"/>
      <c r="K974" s="230"/>
      <c r="L974" s="230"/>
      <c r="M974" s="230"/>
    </row>
    <row r="975">
      <c r="A975" s="230"/>
      <c r="J975" s="230"/>
      <c r="K975" s="230"/>
      <c r="L975" s="230"/>
      <c r="M975" s="230"/>
    </row>
    <row r="976">
      <c r="A976" s="230"/>
      <c r="J976" s="230"/>
      <c r="K976" s="230"/>
      <c r="L976" s="230"/>
      <c r="M976" s="230"/>
    </row>
    <row r="977">
      <c r="A977" s="230"/>
      <c r="J977" s="230"/>
      <c r="K977" s="230"/>
      <c r="L977" s="230"/>
      <c r="M977" s="230"/>
    </row>
    <row r="978">
      <c r="A978" s="230"/>
      <c r="J978" s="230"/>
      <c r="K978" s="230"/>
      <c r="L978" s="230"/>
      <c r="M978" s="230"/>
    </row>
    <row r="979">
      <c r="A979" s="230"/>
      <c r="J979" s="230"/>
      <c r="K979" s="230"/>
      <c r="L979" s="230"/>
      <c r="M979" s="230"/>
    </row>
    <row r="980">
      <c r="A980" s="230"/>
      <c r="J980" s="230"/>
      <c r="K980" s="230"/>
      <c r="L980" s="230"/>
      <c r="M980" s="230"/>
    </row>
    <row r="981">
      <c r="A981" s="230"/>
      <c r="J981" s="230"/>
      <c r="K981" s="230"/>
      <c r="L981" s="230"/>
      <c r="M981" s="230"/>
    </row>
    <row r="982">
      <c r="A982" s="230"/>
      <c r="J982" s="230"/>
      <c r="K982" s="230"/>
      <c r="L982" s="230"/>
      <c r="M982" s="230"/>
    </row>
    <row r="983">
      <c r="A983" s="230"/>
      <c r="J983" s="230"/>
      <c r="K983" s="230"/>
      <c r="L983" s="230"/>
      <c r="M983" s="230"/>
    </row>
    <row r="984">
      <c r="A984" s="230"/>
      <c r="J984" s="230"/>
      <c r="K984" s="230"/>
      <c r="L984" s="230"/>
      <c r="M984" s="230"/>
    </row>
    <row r="985">
      <c r="A985" s="230"/>
      <c r="J985" s="230"/>
      <c r="K985" s="230"/>
      <c r="L985" s="230"/>
      <c r="M985" s="230"/>
    </row>
    <row r="986">
      <c r="A986" s="230"/>
      <c r="J986" s="230"/>
      <c r="K986" s="230"/>
      <c r="L986" s="230"/>
      <c r="M986" s="230"/>
    </row>
    <row r="987">
      <c r="A987" s="230"/>
      <c r="J987" s="230"/>
      <c r="K987" s="230"/>
      <c r="L987" s="230"/>
      <c r="M987" s="230"/>
    </row>
    <row r="988">
      <c r="A988" s="230"/>
      <c r="J988" s="230"/>
      <c r="K988" s="230"/>
      <c r="L988" s="230"/>
      <c r="M988" s="230"/>
    </row>
    <row r="989">
      <c r="A989" s="230"/>
      <c r="J989" s="230"/>
      <c r="K989" s="230"/>
      <c r="L989" s="230"/>
      <c r="M989" s="230"/>
    </row>
    <row r="990">
      <c r="A990" s="230"/>
      <c r="J990" s="230"/>
      <c r="K990" s="230"/>
      <c r="L990" s="230"/>
      <c r="M990" s="230"/>
    </row>
    <row r="991">
      <c r="A991" s="230"/>
      <c r="J991" s="230"/>
      <c r="K991" s="230"/>
      <c r="L991" s="230"/>
      <c r="M991" s="230"/>
    </row>
    <row r="992">
      <c r="A992" s="230"/>
      <c r="J992" s="230"/>
      <c r="K992" s="230"/>
      <c r="L992" s="230"/>
      <c r="M992" s="230"/>
    </row>
    <row r="993">
      <c r="A993" s="230"/>
      <c r="J993" s="230"/>
      <c r="K993" s="230"/>
      <c r="L993" s="230"/>
      <c r="M993" s="230"/>
    </row>
    <row r="994">
      <c r="A994" s="230"/>
      <c r="J994" s="230"/>
      <c r="K994" s="230"/>
      <c r="L994" s="230"/>
      <c r="M994" s="230"/>
    </row>
    <row r="995">
      <c r="A995" s="230"/>
      <c r="J995" s="230"/>
      <c r="K995" s="230"/>
      <c r="L995" s="230"/>
      <c r="M995" s="230"/>
    </row>
    <row r="996">
      <c r="A996" s="230"/>
      <c r="J996" s="230"/>
      <c r="K996" s="230"/>
      <c r="L996" s="230"/>
      <c r="M996" s="230"/>
    </row>
    <row r="997">
      <c r="A997" s="230"/>
      <c r="J997" s="230"/>
      <c r="K997" s="230"/>
      <c r="L997" s="230"/>
      <c r="M997" s="230"/>
    </row>
    <row r="998">
      <c r="A998" s="230"/>
      <c r="J998" s="230"/>
      <c r="K998" s="230"/>
      <c r="L998" s="230"/>
      <c r="M998" s="230"/>
    </row>
    <row r="999">
      <c r="A999" s="230"/>
      <c r="J999" s="230"/>
      <c r="K999" s="230"/>
      <c r="L999" s="230"/>
      <c r="M999" s="230"/>
    </row>
    <row r="1000">
      <c r="A1000" s="230"/>
      <c r="J1000" s="230"/>
      <c r="K1000" s="230"/>
      <c r="L1000" s="230"/>
      <c r="M1000" s="230"/>
    </row>
    <row r="1001">
      <c r="A1001" s="230"/>
      <c r="J1001" s="230"/>
      <c r="K1001" s="230"/>
      <c r="L1001" s="230"/>
      <c r="M1001" s="230"/>
    </row>
    <row r="1002">
      <c r="A1002" s="230"/>
      <c r="J1002" s="230"/>
      <c r="K1002" s="230"/>
      <c r="L1002" s="230"/>
      <c r="M1002" s="230"/>
    </row>
  </sheetData>
  <mergeCells count="2">
    <mergeCell ref="A1:E1"/>
    <mergeCell ref="H1:M1"/>
  </mergeCells>
  <conditionalFormatting sqref="C3:D106 J3:K28">
    <cfRule type="notContainsBlanks" dxfId="0" priority="1">
      <formula>LEN(TRIM(C3))&gt;0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63"/>
    <col customWidth="1" min="6" max="6" width="11.88"/>
    <col customWidth="1" min="8" max="8" width="2.63"/>
    <col customWidth="1" min="15" max="15" width="3.0"/>
    <col customWidth="1" min="22" max="22" width="2.63"/>
    <col customWidth="1" min="28" max="28" width="12.88"/>
    <col customWidth="1" min="29" max="29" width="3.25"/>
    <col hidden="1" min="35" max="36" width="12.63"/>
  </cols>
  <sheetData>
    <row r="1" hidden="1">
      <c r="A1" s="1" t="s">
        <v>787</v>
      </c>
    </row>
    <row r="2" hidden="1"/>
    <row r="3" hidden="1"/>
    <row r="4" hidden="1"/>
    <row r="5" hidden="1">
      <c r="A5" s="233" t="s">
        <v>788</v>
      </c>
      <c r="B5" s="234" t="s">
        <v>25</v>
      </c>
      <c r="C5" s="234" t="s">
        <v>789</v>
      </c>
      <c r="D5" s="234" t="s">
        <v>27</v>
      </c>
      <c r="E5" s="234" t="s">
        <v>2</v>
      </c>
      <c r="F5" s="234" t="s">
        <v>3</v>
      </c>
      <c r="G5" s="235" t="s">
        <v>790</v>
      </c>
      <c r="H5" s="236"/>
      <c r="I5" s="234" t="s">
        <v>25</v>
      </c>
      <c r="J5" s="234" t="s">
        <v>789</v>
      </c>
      <c r="K5" s="234" t="s">
        <v>27</v>
      </c>
      <c r="L5" s="234" t="s">
        <v>2</v>
      </c>
      <c r="M5" s="234" t="s">
        <v>3</v>
      </c>
      <c r="N5" s="235" t="s">
        <v>790</v>
      </c>
      <c r="O5" s="236"/>
      <c r="P5" s="234" t="s">
        <v>25</v>
      </c>
      <c r="Q5" s="237" t="s">
        <v>789</v>
      </c>
      <c r="R5" s="234" t="s">
        <v>27</v>
      </c>
      <c r="S5" s="234" t="s">
        <v>2</v>
      </c>
      <c r="T5" s="234" t="s">
        <v>3</v>
      </c>
      <c r="U5" s="235" t="s">
        <v>790</v>
      </c>
      <c r="V5" s="236"/>
      <c r="W5" s="234" t="s">
        <v>25</v>
      </c>
      <c r="X5" s="237" t="s">
        <v>789</v>
      </c>
      <c r="Y5" s="234" t="s">
        <v>27</v>
      </c>
      <c r="Z5" s="234" t="s">
        <v>2</v>
      </c>
      <c r="AA5" s="234" t="s">
        <v>3</v>
      </c>
      <c r="AB5" s="235" t="s">
        <v>790</v>
      </c>
      <c r="AC5" s="236"/>
      <c r="AD5" s="234" t="s">
        <v>25</v>
      </c>
      <c r="AE5" s="238"/>
      <c r="AF5" s="238"/>
      <c r="AG5" s="238"/>
      <c r="AH5" s="238"/>
      <c r="AI5" s="238"/>
      <c r="AJ5" s="238"/>
    </row>
    <row r="6" hidden="1">
      <c r="A6" s="1"/>
      <c r="B6" s="239" t="s">
        <v>791</v>
      </c>
      <c r="C6" s="239" t="s">
        <v>792</v>
      </c>
      <c r="D6" s="239" t="s">
        <v>793</v>
      </c>
      <c r="E6" s="239" t="s">
        <v>794</v>
      </c>
      <c r="F6" s="239" t="s">
        <v>795</v>
      </c>
      <c r="G6" s="239" t="s">
        <v>796</v>
      </c>
      <c r="H6" s="239"/>
      <c r="I6" s="239" t="s">
        <v>797</v>
      </c>
      <c r="J6" s="239" t="s">
        <v>798</v>
      </c>
      <c r="K6" s="239" t="s">
        <v>799</v>
      </c>
      <c r="L6" s="239" t="s">
        <v>800</v>
      </c>
      <c r="M6" s="239" t="s">
        <v>801</v>
      </c>
      <c r="N6" s="239" t="s">
        <v>802</v>
      </c>
      <c r="O6" s="239"/>
      <c r="P6" s="239" t="s">
        <v>803</v>
      </c>
      <c r="Q6" s="239" t="s">
        <v>804</v>
      </c>
      <c r="R6" s="239" t="s">
        <v>805</v>
      </c>
      <c r="S6" s="239" t="s">
        <v>806</v>
      </c>
      <c r="T6" s="239" t="s">
        <v>807</v>
      </c>
      <c r="U6" s="239" t="s">
        <v>808</v>
      </c>
      <c r="V6" s="239"/>
      <c r="W6" s="239" t="s">
        <v>809</v>
      </c>
      <c r="X6" s="239" t="s">
        <v>810</v>
      </c>
      <c r="Y6" s="239" t="s">
        <v>811</v>
      </c>
      <c r="Z6" s="239" t="s">
        <v>812</v>
      </c>
      <c r="AA6" s="239" t="s">
        <v>813</v>
      </c>
      <c r="AB6" s="239" t="s">
        <v>814</v>
      </c>
      <c r="AC6" s="239"/>
      <c r="AD6" s="239" t="s">
        <v>815</v>
      </c>
      <c r="AE6" s="219"/>
      <c r="AF6" s="219"/>
      <c r="AG6" s="219"/>
      <c r="AH6" s="219"/>
      <c r="AI6" s="219"/>
      <c r="AJ6" s="219"/>
    </row>
    <row r="7" hidden="1">
      <c r="A7" s="240" t="s">
        <v>816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241">
        <v>200.0</v>
      </c>
      <c r="N7" s="77"/>
      <c r="O7" s="77"/>
      <c r="P7" s="77"/>
      <c r="Q7" s="241">
        <v>140.0</v>
      </c>
      <c r="R7" s="77"/>
      <c r="S7" s="241">
        <v>70.0</v>
      </c>
      <c r="T7" s="77"/>
      <c r="U7" s="77"/>
      <c r="V7" s="77"/>
      <c r="W7" s="77"/>
      <c r="X7" s="77"/>
      <c r="Y7" s="77"/>
      <c r="Z7" s="241">
        <v>200.0</v>
      </c>
      <c r="AA7" s="77"/>
      <c r="AB7" s="77"/>
      <c r="AC7" s="77"/>
      <c r="AD7" s="77"/>
    </row>
    <row r="8" hidden="1">
      <c r="A8" s="242" t="s">
        <v>817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241">
        <v>200.0</v>
      </c>
      <c r="N8" s="77"/>
      <c r="O8" s="77"/>
      <c r="P8" s="77"/>
      <c r="Q8" s="241">
        <v>140.0</v>
      </c>
      <c r="R8" s="77"/>
      <c r="S8" s="241">
        <v>70.0</v>
      </c>
      <c r="T8" s="77"/>
      <c r="U8" s="77"/>
      <c r="V8" s="77"/>
      <c r="W8" s="77"/>
      <c r="X8" s="77"/>
      <c r="Y8" s="77"/>
      <c r="Z8" s="241">
        <v>200.0</v>
      </c>
      <c r="AA8" s="77"/>
      <c r="AB8" s="77"/>
      <c r="AC8" s="77"/>
      <c r="AD8" s="77"/>
    </row>
    <row r="9" hidden="1">
      <c r="A9" s="242" t="s">
        <v>818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241">
        <v>200.0</v>
      </c>
      <c r="N9" s="77"/>
      <c r="O9" s="77"/>
      <c r="P9" s="77"/>
      <c r="Q9" s="241">
        <v>140.0</v>
      </c>
      <c r="R9" s="77"/>
      <c r="S9" s="241">
        <v>70.0</v>
      </c>
      <c r="T9" s="77"/>
      <c r="U9" s="77"/>
      <c r="V9" s="77"/>
      <c r="W9" s="77"/>
      <c r="X9" s="241">
        <v>140.0</v>
      </c>
      <c r="Y9" s="77"/>
      <c r="Z9" s="77"/>
      <c r="AA9" s="77"/>
      <c r="AB9" s="77"/>
      <c r="AC9" s="77"/>
      <c r="AD9" s="77"/>
    </row>
    <row r="10" hidden="1">
      <c r="A10" s="242" t="s">
        <v>310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226"/>
      <c r="Z10" s="241">
        <v>920.0</v>
      </c>
      <c r="AA10" s="77"/>
      <c r="AB10" s="77"/>
      <c r="AC10" s="77"/>
      <c r="AD10" s="77"/>
    </row>
    <row r="11" hidden="1">
      <c r="A11" s="242" t="s">
        <v>819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</row>
    <row r="12" hidden="1">
      <c r="A12" s="243" t="s">
        <v>10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241">
        <v>140.0</v>
      </c>
      <c r="R12" s="77"/>
      <c r="S12" s="77"/>
      <c r="T12" s="77"/>
      <c r="U12" s="241" t="s">
        <v>820</v>
      </c>
      <c r="V12" s="77"/>
      <c r="W12" s="241">
        <v>60.0</v>
      </c>
      <c r="X12" s="241">
        <v>60.0</v>
      </c>
      <c r="Y12" s="241">
        <v>60.0</v>
      </c>
      <c r="Z12" s="241">
        <v>70.0</v>
      </c>
      <c r="AA12" s="241" t="s">
        <v>821</v>
      </c>
      <c r="AB12" s="77"/>
      <c r="AC12" s="241"/>
      <c r="AD12" s="241">
        <v>140.0</v>
      </c>
      <c r="AE12" s="244"/>
      <c r="AF12" s="244"/>
      <c r="AG12" s="244"/>
      <c r="AH12" s="244"/>
      <c r="AI12" s="245"/>
      <c r="AJ12" s="245"/>
    </row>
    <row r="13" hidden="1">
      <c r="A13" s="246" t="s">
        <v>677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247">
        <v>140.0</v>
      </c>
      <c r="R13" s="77"/>
      <c r="S13" s="241">
        <v>70.0</v>
      </c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 hidden="1">
      <c r="A14" s="243" t="s">
        <v>822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247">
        <v>140.0</v>
      </c>
      <c r="R14" s="77"/>
      <c r="S14" s="77"/>
      <c r="T14" s="77"/>
      <c r="U14" s="77"/>
      <c r="V14" s="77"/>
      <c r="W14" s="241" t="s">
        <v>823</v>
      </c>
      <c r="X14" s="241">
        <v>70.0</v>
      </c>
      <c r="Y14" s="241">
        <v>140.0</v>
      </c>
      <c r="Z14" s="77"/>
      <c r="AA14" s="77"/>
      <c r="AB14" s="77"/>
      <c r="AC14" s="226"/>
      <c r="AD14" s="226"/>
      <c r="AE14" s="1"/>
      <c r="AF14" s="1"/>
      <c r="AG14" s="1"/>
      <c r="AH14" s="1"/>
      <c r="AI14" s="1"/>
      <c r="AJ14" s="1"/>
    </row>
    <row r="15" hidden="1">
      <c r="A15" s="248" t="s">
        <v>824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241">
        <v>140.0</v>
      </c>
      <c r="T15" s="77"/>
      <c r="U15" s="77"/>
      <c r="V15" s="77"/>
      <c r="W15" s="77"/>
      <c r="X15" s="241">
        <v>140.0</v>
      </c>
      <c r="Y15" s="241">
        <v>140.0</v>
      </c>
      <c r="Z15" s="226"/>
      <c r="AA15" s="77"/>
      <c r="AB15" s="77"/>
      <c r="AC15" s="77"/>
      <c r="AD15" s="77"/>
    </row>
    <row r="16" hidden="1">
      <c r="A16" s="248" t="s">
        <v>825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</row>
    <row r="17" hidden="1">
      <c r="A17" s="248" t="s">
        <v>826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</row>
    <row r="18" hidden="1">
      <c r="A18" s="249" t="s">
        <v>680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</row>
    <row r="19" hidden="1">
      <c r="A19" s="249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26"/>
      <c r="Y19" s="77"/>
      <c r="Z19" s="77"/>
      <c r="AA19" s="77"/>
      <c r="AB19" s="77"/>
      <c r="AC19" s="77"/>
      <c r="AD19" s="77"/>
    </row>
    <row r="20" hidden="1">
      <c r="A20" s="249" t="s">
        <v>827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226"/>
      <c r="Y20" s="77"/>
      <c r="Z20" s="77"/>
      <c r="AA20" s="77"/>
      <c r="AB20" s="77"/>
      <c r="AC20" s="77"/>
      <c r="AD20" s="77"/>
    </row>
    <row r="21" hidden="1">
      <c r="A21" s="249" t="s">
        <v>828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</row>
    <row r="22" hidden="1">
      <c r="A22" s="243" t="s">
        <v>829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</row>
    <row r="23" hidden="1">
      <c r="A23" s="243" t="s">
        <v>830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</row>
    <row r="24" hidden="1">
      <c r="A24" s="250" t="s">
        <v>831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</row>
    <row r="25" hidden="1">
      <c r="A25" s="243" t="s">
        <v>832</v>
      </c>
      <c r="B25" s="77"/>
      <c r="C25" s="77"/>
      <c r="D25" s="77"/>
      <c r="E25" s="77"/>
      <c r="F25" s="241" t="s">
        <v>833</v>
      </c>
      <c r="G25" s="77"/>
      <c r="H25" s="77"/>
      <c r="I25" s="241" t="s">
        <v>834</v>
      </c>
      <c r="J25" s="77"/>
      <c r="K25" s="77"/>
      <c r="L25" s="77"/>
      <c r="M25" s="77"/>
      <c r="N25" s="77"/>
      <c r="O25" s="77"/>
      <c r="P25" s="77"/>
      <c r="Q25" s="241" t="s">
        <v>833</v>
      </c>
      <c r="R25" s="77"/>
      <c r="S25" s="77"/>
      <c r="T25" s="77"/>
      <c r="U25" s="77"/>
      <c r="V25" s="77"/>
      <c r="W25" s="241">
        <v>60.0</v>
      </c>
      <c r="X25" s="241">
        <v>60.0</v>
      </c>
      <c r="Y25" s="241">
        <v>60.0</v>
      </c>
      <c r="Z25" s="241">
        <v>60.0</v>
      </c>
      <c r="AA25" s="77"/>
      <c r="AB25" s="77"/>
      <c r="AC25" s="226"/>
      <c r="AD25" s="226"/>
      <c r="AE25" s="1"/>
      <c r="AF25" s="1"/>
      <c r="AG25" s="1"/>
      <c r="AH25" s="1"/>
      <c r="AI25" s="1"/>
      <c r="AJ25" s="1"/>
    </row>
    <row r="26" hidden="1">
      <c r="A26" s="243" t="s">
        <v>835</v>
      </c>
      <c r="B26" s="77"/>
      <c r="C26" s="77"/>
      <c r="D26" s="77"/>
      <c r="E26" s="77"/>
      <c r="F26" s="241" t="s">
        <v>833</v>
      </c>
      <c r="G26" s="77"/>
      <c r="H26" s="77"/>
      <c r="I26" s="241" t="s">
        <v>834</v>
      </c>
      <c r="J26" s="77"/>
      <c r="K26" s="77"/>
      <c r="L26" s="77"/>
      <c r="M26" s="77"/>
      <c r="N26" s="77"/>
      <c r="O26" s="77"/>
      <c r="P26" s="77"/>
      <c r="Q26" s="241" t="s">
        <v>833</v>
      </c>
      <c r="R26" s="77"/>
      <c r="S26" s="77"/>
      <c r="T26" s="77"/>
      <c r="U26" s="77"/>
      <c r="V26" s="77"/>
      <c r="W26" s="241">
        <v>60.0</v>
      </c>
      <c r="X26" s="241">
        <v>60.0</v>
      </c>
      <c r="Y26" s="241">
        <v>60.0</v>
      </c>
      <c r="Z26" s="241">
        <v>60.0</v>
      </c>
      <c r="AA26" s="77"/>
      <c r="AB26" s="77"/>
      <c r="AC26" s="226"/>
      <c r="AD26" s="226"/>
      <c r="AE26" s="1"/>
      <c r="AF26" s="1"/>
      <c r="AG26" s="1"/>
      <c r="AH26" s="1"/>
      <c r="AI26" s="1"/>
      <c r="AJ26" s="1"/>
    </row>
    <row r="27" hidden="1">
      <c r="A27" s="243" t="s">
        <v>836</v>
      </c>
      <c r="B27" s="77"/>
      <c r="C27" s="77"/>
      <c r="D27" s="77"/>
      <c r="E27" s="77"/>
      <c r="F27" s="241" t="s">
        <v>833</v>
      </c>
      <c r="G27" s="77"/>
      <c r="H27" s="77"/>
      <c r="I27" s="241" t="s">
        <v>834</v>
      </c>
      <c r="J27" s="77"/>
      <c r="K27" s="77"/>
      <c r="L27" s="77"/>
      <c r="M27" s="77"/>
      <c r="N27" s="77"/>
      <c r="O27" s="77"/>
      <c r="P27" s="77"/>
      <c r="Q27" s="241" t="s">
        <v>833</v>
      </c>
      <c r="R27" s="77"/>
      <c r="S27" s="77"/>
      <c r="T27" s="77"/>
      <c r="U27" s="77"/>
      <c r="V27" s="77"/>
      <c r="W27" s="241">
        <v>60.0</v>
      </c>
      <c r="X27" s="241">
        <v>60.0</v>
      </c>
      <c r="Y27" s="241">
        <v>60.0</v>
      </c>
      <c r="Z27" s="241">
        <v>60.0</v>
      </c>
      <c r="AA27" s="77"/>
      <c r="AB27" s="77"/>
      <c r="AC27" s="226"/>
      <c r="AD27" s="226"/>
      <c r="AE27" s="1"/>
      <c r="AF27" s="1"/>
      <c r="AG27" s="1"/>
      <c r="AH27" s="1"/>
      <c r="AI27" s="1"/>
      <c r="AJ27" s="1"/>
    </row>
    <row r="28" hidden="1">
      <c r="A28" s="243" t="s">
        <v>837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226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</row>
    <row r="29" hidden="1">
      <c r="A29" s="243" t="s">
        <v>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</row>
    <row r="30" hidden="1">
      <c r="A30" s="243" t="s">
        <v>838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</row>
    <row r="31" hidden="1">
      <c r="A31" s="243" t="s">
        <v>154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226"/>
      <c r="Z31" s="226"/>
      <c r="AA31" s="77"/>
      <c r="AB31" s="77"/>
      <c r="AC31" s="77"/>
      <c r="AD31" s="77"/>
    </row>
    <row r="32" hidden="1">
      <c r="A32" s="243" t="s">
        <v>839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26"/>
      <c r="Y32" s="77"/>
      <c r="Z32" s="77"/>
      <c r="AA32" s="77"/>
      <c r="AB32" s="77"/>
      <c r="AC32" s="77"/>
      <c r="AD32" s="77"/>
    </row>
    <row r="33" hidden="1"/>
    <row r="34" hidden="1"/>
    <row r="35" hidden="1">
      <c r="A35" s="251" t="s">
        <v>788</v>
      </c>
      <c r="B35" s="252"/>
      <c r="C35" s="253" t="s">
        <v>789</v>
      </c>
      <c r="D35" s="253" t="s">
        <v>27</v>
      </c>
      <c r="E35" s="253" t="s">
        <v>2</v>
      </c>
      <c r="F35" s="253" t="s">
        <v>3</v>
      </c>
      <c r="G35" s="254" t="s">
        <v>790</v>
      </c>
      <c r="H35" s="255"/>
      <c r="I35" s="253" t="s">
        <v>25</v>
      </c>
      <c r="J35" s="253" t="s">
        <v>789</v>
      </c>
      <c r="K35" s="253" t="s">
        <v>27</v>
      </c>
      <c r="L35" s="253" t="s">
        <v>2</v>
      </c>
      <c r="M35" s="253" t="s">
        <v>3</v>
      </c>
      <c r="N35" s="254" t="s">
        <v>790</v>
      </c>
      <c r="O35" s="255"/>
      <c r="P35" s="253" t="s">
        <v>25</v>
      </c>
      <c r="Q35" s="256" t="s">
        <v>789</v>
      </c>
      <c r="R35" s="253" t="s">
        <v>27</v>
      </c>
      <c r="S35" s="253" t="s">
        <v>2</v>
      </c>
      <c r="T35" s="253" t="s">
        <v>3</v>
      </c>
      <c r="U35" s="254" t="s">
        <v>790</v>
      </c>
      <c r="V35" s="255"/>
      <c r="W35" s="253" t="s">
        <v>25</v>
      </c>
      <c r="X35" s="256" t="s">
        <v>789</v>
      </c>
      <c r="Y35" s="253" t="s">
        <v>27</v>
      </c>
      <c r="Z35" s="253" t="s">
        <v>2</v>
      </c>
      <c r="AA35" s="253" t="s">
        <v>3</v>
      </c>
      <c r="AB35" s="254" t="s">
        <v>790</v>
      </c>
      <c r="AC35" s="257"/>
      <c r="AD35" s="253" t="s">
        <v>25</v>
      </c>
      <c r="AE35" s="256"/>
      <c r="AF35" s="253"/>
      <c r="AG35" s="253"/>
      <c r="AH35" s="253"/>
      <c r="AI35" s="254"/>
      <c r="AJ35" s="258"/>
    </row>
    <row r="36" hidden="1">
      <c r="A36" s="206"/>
      <c r="B36" s="259"/>
      <c r="C36" s="260" t="s">
        <v>840</v>
      </c>
      <c r="D36" s="260" t="s">
        <v>841</v>
      </c>
      <c r="E36" s="260" t="s">
        <v>842</v>
      </c>
      <c r="F36" s="260" t="s">
        <v>843</v>
      </c>
      <c r="G36" s="260" t="s">
        <v>844</v>
      </c>
      <c r="H36" s="261"/>
      <c r="I36" s="260" t="s">
        <v>845</v>
      </c>
      <c r="J36" s="260" t="s">
        <v>846</v>
      </c>
      <c r="K36" s="260" t="s">
        <v>847</v>
      </c>
      <c r="L36" s="260" t="s">
        <v>848</v>
      </c>
      <c r="M36" s="260" t="s">
        <v>849</v>
      </c>
      <c r="N36" s="260" t="s">
        <v>850</v>
      </c>
      <c r="O36" s="260"/>
      <c r="P36" s="260" t="s">
        <v>851</v>
      </c>
      <c r="Q36" s="260" t="s">
        <v>852</v>
      </c>
      <c r="R36" s="260" t="s">
        <v>853</v>
      </c>
      <c r="S36" s="260" t="s">
        <v>854</v>
      </c>
      <c r="T36" s="260" t="s">
        <v>855</v>
      </c>
      <c r="U36" s="260" t="s">
        <v>856</v>
      </c>
      <c r="V36" s="260"/>
      <c r="W36" s="260" t="s">
        <v>857</v>
      </c>
      <c r="X36" s="260" t="s">
        <v>858</v>
      </c>
      <c r="Y36" s="260" t="s">
        <v>859</v>
      </c>
      <c r="Z36" s="260" t="s">
        <v>860</v>
      </c>
      <c r="AA36" s="260" t="s">
        <v>861</v>
      </c>
      <c r="AB36" s="260" t="s">
        <v>862</v>
      </c>
      <c r="AC36" s="260"/>
      <c r="AD36" s="260" t="s">
        <v>863</v>
      </c>
      <c r="AE36" s="262"/>
      <c r="AF36" s="262"/>
      <c r="AG36" s="262"/>
      <c r="AH36" s="262"/>
      <c r="AI36" s="262"/>
      <c r="AJ36" s="262"/>
    </row>
    <row r="37" hidden="1">
      <c r="A37" s="263" t="s">
        <v>816</v>
      </c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5"/>
      <c r="N37" s="264"/>
      <c r="O37" s="264"/>
      <c r="P37" s="264"/>
      <c r="Q37" s="265"/>
      <c r="R37" s="266">
        <v>140.0</v>
      </c>
      <c r="S37" s="265"/>
      <c r="T37" s="264"/>
      <c r="U37" s="264"/>
      <c r="V37" s="264"/>
      <c r="W37" s="264"/>
      <c r="X37" s="264"/>
      <c r="Y37" s="264"/>
      <c r="Z37" s="267">
        <v>140.0</v>
      </c>
      <c r="AA37" s="264"/>
      <c r="AB37" s="264"/>
      <c r="AC37" s="264"/>
      <c r="AD37" s="264"/>
      <c r="AE37" s="206"/>
      <c r="AF37" s="206"/>
      <c r="AG37" s="206"/>
      <c r="AH37" s="206"/>
      <c r="AI37" s="206"/>
      <c r="AJ37" s="206"/>
    </row>
    <row r="38" hidden="1">
      <c r="A38" s="11" t="s">
        <v>817</v>
      </c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5"/>
      <c r="N38" s="264"/>
      <c r="O38" s="264"/>
      <c r="P38" s="264"/>
      <c r="Q38" s="265"/>
      <c r="R38" s="266">
        <v>140.0</v>
      </c>
      <c r="S38" s="265"/>
      <c r="T38" s="264"/>
      <c r="U38" s="264"/>
      <c r="V38" s="264"/>
      <c r="W38" s="264"/>
      <c r="X38" s="264"/>
      <c r="Y38" s="264"/>
      <c r="Z38" s="267">
        <v>140.0</v>
      </c>
      <c r="AA38" s="264"/>
      <c r="AB38" s="264"/>
      <c r="AC38" s="264"/>
      <c r="AD38" s="264"/>
      <c r="AE38" s="206"/>
      <c r="AF38" s="206"/>
      <c r="AG38" s="206"/>
      <c r="AH38" s="206"/>
      <c r="AI38" s="206"/>
      <c r="AJ38" s="206"/>
    </row>
    <row r="39" hidden="1">
      <c r="A39" s="11"/>
      <c r="B39" s="264"/>
      <c r="C39" s="264"/>
      <c r="D39" s="264"/>
      <c r="E39" s="264"/>
      <c r="F39" s="264"/>
      <c r="G39" s="264"/>
      <c r="H39" s="264"/>
      <c r="I39" s="268"/>
      <c r="J39" s="264"/>
      <c r="K39" s="264"/>
      <c r="L39" s="264"/>
      <c r="M39" s="265"/>
      <c r="N39" s="264"/>
      <c r="O39" s="264"/>
      <c r="P39" s="264"/>
      <c r="Q39" s="265"/>
      <c r="R39" s="264"/>
      <c r="S39" s="265"/>
      <c r="T39" s="264"/>
      <c r="U39" s="264"/>
      <c r="V39" s="264"/>
      <c r="W39" s="264"/>
      <c r="X39" s="265"/>
      <c r="Y39" s="264"/>
      <c r="Z39" s="269"/>
      <c r="AA39" s="264"/>
      <c r="AB39" s="264"/>
      <c r="AC39" s="264"/>
      <c r="AD39" s="264"/>
      <c r="AE39" s="206"/>
      <c r="AF39" s="206"/>
      <c r="AG39" s="206"/>
      <c r="AH39" s="206"/>
      <c r="AI39" s="206"/>
      <c r="AJ39" s="206"/>
    </row>
    <row r="40" hidden="1">
      <c r="A40" s="11" t="s">
        <v>310</v>
      </c>
      <c r="B40" s="264"/>
      <c r="C40" s="266" t="s">
        <v>864</v>
      </c>
      <c r="D40" s="264"/>
      <c r="E40" s="264"/>
      <c r="F40" s="264"/>
      <c r="G40" s="264"/>
      <c r="H40" s="264"/>
      <c r="I40" s="264"/>
      <c r="J40" s="264"/>
      <c r="K40" s="266">
        <v>140.0</v>
      </c>
      <c r="L40" s="266">
        <v>140.0</v>
      </c>
      <c r="M40" s="264"/>
      <c r="N40" s="264"/>
      <c r="O40" s="264"/>
      <c r="P40" s="266">
        <v>70.0</v>
      </c>
      <c r="Q40" s="266">
        <v>70.0</v>
      </c>
      <c r="R40" s="264"/>
      <c r="S40" s="264"/>
      <c r="T40" s="264"/>
      <c r="U40" s="264"/>
      <c r="V40" s="264"/>
      <c r="W40" s="264"/>
      <c r="X40" s="266">
        <v>400.0</v>
      </c>
      <c r="Y40" s="266" t="s">
        <v>865</v>
      </c>
      <c r="Z40" s="267">
        <v>140.0</v>
      </c>
      <c r="AA40" s="264"/>
      <c r="AB40" s="264"/>
      <c r="AC40" s="264"/>
      <c r="AD40" s="264"/>
      <c r="AE40" s="206"/>
      <c r="AF40" s="206"/>
      <c r="AG40" s="206"/>
      <c r="AH40" s="206"/>
      <c r="AI40" s="206"/>
      <c r="AJ40" s="206"/>
    </row>
    <row r="41" hidden="1">
      <c r="A41" s="11" t="s">
        <v>819</v>
      </c>
      <c r="B41" s="264"/>
      <c r="C41" s="266" t="s">
        <v>864</v>
      </c>
      <c r="D41" s="264"/>
      <c r="E41" s="264"/>
      <c r="F41" s="264"/>
      <c r="G41" s="264"/>
      <c r="H41" s="264"/>
      <c r="I41" s="264"/>
      <c r="J41" s="264"/>
      <c r="K41" s="266">
        <v>140.0</v>
      </c>
      <c r="L41" s="266">
        <v>140.0</v>
      </c>
      <c r="M41" s="264"/>
      <c r="N41" s="264"/>
      <c r="O41" s="264"/>
      <c r="P41" s="266">
        <v>70.0</v>
      </c>
      <c r="Q41" s="266">
        <v>70.0</v>
      </c>
      <c r="R41" s="264"/>
      <c r="S41" s="264"/>
      <c r="T41" s="264"/>
      <c r="U41" s="264"/>
      <c r="V41" s="264"/>
      <c r="W41" s="264"/>
      <c r="X41" s="266">
        <v>400.0</v>
      </c>
      <c r="Y41" s="266" t="s">
        <v>865</v>
      </c>
      <c r="Z41" s="266">
        <v>140.0</v>
      </c>
      <c r="AA41" s="264"/>
      <c r="AB41" s="264"/>
      <c r="AC41" s="264"/>
      <c r="AD41" s="264"/>
      <c r="AE41" s="206"/>
      <c r="AF41" s="206"/>
      <c r="AG41" s="206"/>
      <c r="AH41" s="206"/>
      <c r="AI41" s="206"/>
      <c r="AJ41" s="206"/>
    </row>
    <row r="42" hidden="1">
      <c r="A42" s="20" t="s">
        <v>10</v>
      </c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8"/>
      <c r="M42" s="264"/>
      <c r="N42" s="264"/>
      <c r="O42" s="264"/>
      <c r="P42" s="266">
        <v>70.0</v>
      </c>
      <c r="Q42" s="267">
        <v>140.0</v>
      </c>
      <c r="R42" s="266">
        <v>70.0</v>
      </c>
      <c r="S42" s="266">
        <v>140.0</v>
      </c>
      <c r="T42" s="264"/>
      <c r="U42" s="270"/>
      <c r="V42" s="264"/>
      <c r="W42" s="265"/>
      <c r="X42" s="267">
        <v>140.0</v>
      </c>
      <c r="Y42" s="267">
        <v>70.0</v>
      </c>
      <c r="Z42" s="265"/>
      <c r="AA42" s="270"/>
      <c r="AB42" s="264"/>
      <c r="AC42" s="265"/>
      <c r="AD42" s="265"/>
      <c r="AE42" s="271"/>
      <c r="AF42" s="271"/>
      <c r="AG42" s="271"/>
      <c r="AH42" s="271"/>
      <c r="AI42" s="271"/>
      <c r="AJ42" s="271"/>
    </row>
    <row r="43" hidden="1">
      <c r="A43" s="17" t="s">
        <v>866</v>
      </c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8"/>
      <c r="M43" s="264"/>
      <c r="N43" s="264"/>
      <c r="O43" s="264"/>
      <c r="P43" s="266">
        <v>70.0</v>
      </c>
      <c r="Q43" s="266">
        <v>140.0</v>
      </c>
      <c r="R43" s="266">
        <v>70.0</v>
      </c>
      <c r="S43" s="267">
        <v>140.0</v>
      </c>
      <c r="T43" s="264"/>
      <c r="U43" s="264"/>
      <c r="V43" s="264"/>
      <c r="W43" s="264"/>
      <c r="X43" s="264"/>
      <c r="Y43" s="267">
        <v>70.0</v>
      </c>
      <c r="Z43" s="264"/>
      <c r="AA43" s="264"/>
      <c r="AB43" s="264"/>
      <c r="AC43" s="264"/>
      <c r="AD43" s="264"/>
      <c r="AE43" s="206"/>
      <c r="AF43" s="206"/>
      <c r="AG43" s="206"/>
      <c r="AH43" s="206"/>
      <c r="AI43" s="206"/>
      <c r="AJ43" s="206"/>
    </row>
    <row r="44" hidden="1">
      <c r="A44" s="17" t="s">
        <v>867</v>
      </c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8"/>
      <c r="M44" s="264"/>
      <c r="N44" s="264"/>
      <c r="O44" s="264"/>
      <c r="P44" s="266">
        <v>70.0</v>
      </c>
      <c r="Q44" s="266">
        <v>140.0</v>
      </c>
      <c r="R44" s="266">
        <v>70.0</v>
      </c>
      <c r="S44" s="267">
        <v>140.0</v>
      </c>
      <c r="T44" s="264"/>
      <c r="U44" s="264"/>
      <c r="V44" s="264"/>
      <c r="W44" s="264"/>
      <c r="X44" s="264"/>
      <c r="Y44" s="267">
        <v>70.0</v>
      </c>
      <c r="Z44" s="264"/>
      <c r="AA44" s="264"/>
      <c r="AB44" s="264"/>
      <c r="AC44" s="264"/>
      <c r="AD44" s="264"/>
      <c r="AE44" s="206"/>
      <c r="AF44" s="206"/>
      <c r="AG44" s="206"/>
      <c r="AH44" s="206"/>
      <c r="AI44" s="206"/>
      <c r="AJ44" s="206"/>
    </row>
    <row r="45" hidden="1">
      <c r="A45" s="17" t="s">
        <v>818</v>
      </c>
      <c r="B45" s="264"/>
      <c r="C45" s="264"/>
      <c r="D45" s="264"/>
      <c r="E45" s="264"/>
      <c r="F45" s="264"/>
      <c r="G45" s="266">
        <v>500.0</v>
      </c>
      <c r="H45" s="264"/>
      <c r="I45" s="266">
        <v>70.0</v>
      </c>
      <c r="J45" s="264"/>
      <c r="K45" s="266">
        <v>70.0</v>
      </c>
      <c r="L45" s="266">
        <v>140.0</v>
      </c>
      <c r="M45" s="264"/>
      <c r="N45" s="264"/>
      <c r="O45" s="264"/>
      <c r="P45" s="266">
        <v>70.0</v>
      </c>
      <c r="Q45" s="264"/>
      <c r="R45" s="264"/>
      <c r="S45" s="265"/>
      <c r="T45" s="266">
        <v>500.0</v>
      </c>
      <c r="U45" s="264"/>
      <c r="V45" s="264"/>
      <c r="W45" s="264"/>
      <c r="X45" s="264"/>
      <c r="Y45" s="269"/>
      <c r="Z45" s="266" t="s">
        <v>823</v>
      </c>
      <c r="AA45" s="264"/>
      <c r="AB45" s="264"/>
      <c r="AC45" s="264"/>
      <c r="AD45" s="264"/>
      <c r="AE45" s="206"/>
      <c r="AF45" s="206"/>
      <c r="AG45" s="206"/>
      <c r="AH45" s="206"/>
      <c r="AI45" s="206"/>
      <c r="AJ45" s="206"/>
    </row>
    <row r="46" hidden="1">
      <c r="A46" s="17" t="s">
        <v>827</v>
      </c>
      <c r="B46" s="264"/>
      <c r="C46" s="264"/>
      <c r="D46" s="264"/>
      <c r="E46" s="264"/>
      <c r="F46" s="264"/>
      <c r="G46" s="266">
        <v>500.0</v>
      </c>
      <c r="H46" s="264"/>
      <c r="I46" s="266">
        <v>70.0</v>
      </c>
      <c r="J46" s="264"/>
      <c r="K46" s="266">
        <v>70.0</v>
      </c>
      <c r="L46" s="266">
        <v>140.0</v>
      </c>
      <c r="M46" s="264"/>
      <c r="N46" s="264"/>
      <c r="O46" s="264"/>
      <c r="P46" s="266">
        <v>70.0</v>
      </c>
      <c r="Q46" s="264"/>
      <c r="R46" s="264"/>
      <c r="S46" s="265"/>
      <c r="T46" s="266">
        <v>500.0</v>
      </c>
      <c r="U46" s="264"/>
      <c r="V46" s="264"/>
      <c r="W46" s="264"/>
      <c r="X46" s="264"/>
      <c r="Y46" s="264"/>
      <c r="Z46" s="266" t="s">
        <v>823</v>
      </c>
      <c r="AA46" s="264"/>
      <c r="AB46" s="264"/>
      <c r="AC46" s="264"/>
      <c r="AD46" s="264"/>
      <c r="AE46" s="206"/>
      <c r="AF46" s="206"/>
      <c r="AG46" s="206"/>
      <c r="AH46" s="206"/>
      <c r="AI46" s="206"/>
      <c r="AJ46" s="206"/>
    </row>
    <row r="47" hidden="1">
      <c r="A47" s="20" t="s">
        <v>832</v>
      </c>
      <c r="B47" s="264"/>
      <c r="C47" s="264"/>
      <c r="D47" s="264"/>
      <c r="E47" s="264"/>
      <c r="F47" s="270"/>
      <c r="G47" s="264"/>
      <c r="H47" s="264"/>
      <c r="I47" s="270"/>
      <c r="J47" s="266" t="s">
        <v>868</v>
      </c>
      <c r="K47" s="266">
        <v>140.0</v>
      </c>
      <c r="L47" s="264"/>
      <c r="M47" s="264"/>
      <c r="N47" s="264"/>
      <c r="O47" s="264"/>
      <c r="P47" s="266">
        <v>70.0</v>
      </c>
      <c r="Q47" s="266">
        <v>70.0</v>
      </c>
      <c r="R47" s="264"/>
      <c r="S47" s="264"/>
      <c r="T47" s="264"/>
      <c r="U47" s="264"/>
      <c r="V47" s="264"/>
      <c r="W47" s="265"/>
      <c r="X47" s="265"/>
      <c r="Y47" s="267">
        <v>70.0</v>
      </c>
      <c r="Z47" s="265"/>
      <c r="AA47" s="264"/>
      <c r="AB47" s="264"/>
      <c r="AC47" s="264"/>
      <c r="AD47" s="264"/>
      <c r="AE47" s="206"/>
      <c r="AF47" s="206"/>
      <c r="AG47" s="206"/>
      <c r="AH47" s="206"/>
      <c r="AI47" s="206"/>
      <c r="AJ47" s="206"/>
    </row>
    <row r="48" hidden="1">
      <c r="A48" s="20" t="s">
        <v>835</v>
      </c>
      <c r="B48" s="264"/>
      <c r="C48" s="264"/>
      <c r="D48" s="264"/>
      <c r="E48" s="264"/>
      <c r="F48" s="270"/>
      <c r="G48" s="264"/>
      <c r="H48" s="264"/>
      <c r="I48" s="270"/>
      <c r="J48" s="266" t="s">
        <v>868</v>
      </c>
      <c r="K48" s="266">
        <v>140.0</v>
      </c>
      <c r="L48" s="264"/>
      <c r="M48" s="264"/>
      <c r="N48" s="264"/>
      <c r="O48" s="264"/>
      <c r="P48" s="266">
        <v>70.0</v>
      </c>
      <c r="Q48" s="266">
        <v>70.0</v>
      </c>
      <c r="R48" s="264"/>
      <c r="S48" s="264"/>
      <c r="T48" s="264"/>
      <c r="U48" s="264"/>
      <c r="V48" s="264"/>
      <c r="W48" s="265"/>
      <c r="X48" s="265"/>
      <c r="Y48" s="267">
        <v>70.0</v>
      </c>
      <c r="Z48" s="265"/>
      <c r="AA48" s="264"/>
      <c r="AB48" s="264"/>
      <c r="AC48" s="264"/>
      <c r="AD48" s="264"/>
      <c r="AE48" s="206"/>
      <c r="AF48" s="206"/>
      <c r="AG48" s="206"/>
      <c r="AH48" s="206"/>
      <c r="AI48" s="206"/>
      <c r="AJ48" s="206"/>
    </row>
    <row r="49" hidden="1">
      <c r="A49" s="20" t="s">
        <v>836</v>
      </c>
      <c r="B49" s="264"/>
      <c r="C49" s="264"/>
      <c r="D49" s="264"/>
      <c r="E49" s="264"/>
      <c r="F49" s="270"/>
      <c r="G49" s="264"/>
      <c r="H49" s="264"/>
      <c r="I49" s="270"/>
      <c r="J49" s="266" t="s">
        <v>868</v>
      </c>
      <c r="K49" s="266">
        <v>140.0</v>
      </c>
      <c r="L49" s="264"/>
      <c r="M49" s="264"/>
      <c r="N49" s="264"/>
      <c r="O49" s="264"/>
      <c r="P49" s="266">
        <v>70.0</v>
      </c>
      <c r="Q49" s="266">
        <v>70.0</v>
      </c>
      <c r="R49" s="264"/>
      <c r="S49" s="264"/>
      <c r="T49" s="264"/>
      <c r="U49" s="264"/>
      <c r="V49" s="264"/>
      <c r="W49" s="265"/>
      <c r="X49" s="265"/>
      <c r="Y49" s="267">
        <v>70.0</v>
      </c>
      <c r="Z49" s="265"/>
      <c r="AA49" s="264"/>
      <c r="AB49" s="264"/>
      <c r="AC49" s="264"/>
      <c r="AD49" s="264"/>
      <c r="AE49" s="206"/>
      <c r="AF49" s="206"/>
      <c r="AG49" s="206"/>
      <c r="AH49" s="206"/>
      <c r="AI49" s="206"/>
      <c r="AJ49" s="206"/>
    </row>
    <row r="50" hidden="1">
      <c r="A50" s="272" t="s">
        <v>824</v>
      </c>
      <c r="B50" s="264"/>
      <c r="C50" s="264"/>
      <c r="D50" s="264"/>
      <c r="E50" s="264"/>
      <c r="F50" s="264"/>
      <c r="G50" s="264"/>
      <c r="H50" s="264"/>
      <c r="I50" s="264"/>
      <c r="J50" s="264"/>
      <c r="K50" s="266">
        <v>640.0</v>
      </c>
      <c r="L50" s="264"/>
      <c r="M50" s="264"/>
      <c r="N50" s="264"/>
      <c r="O50" s="264"/>
      <c r="P50" s="266">
        <v>70.0</v>
      </c>
      <c r="Q50" s="266">
        <v>140.0</v>
      </c>
      <c r="R50" s="264"/>
      <c r="S50" s="77"/>
      <c r="T50" s="264"/>
      <c r="U50" s="264"/>
      <c r="V50" s="264"/>
      <c r="W50" s="264"/>
      <c r="X50" s="273">
        <v>140.0</v>
      </c>
      <c r="Y50" s="265"/>
      <c r="Z50" s="264"/>
      <c r="AA50" s="264"/>
      <c r="AB50" s="264"/>
      <c r="AC50" s="264"/>
      <c r="AD50" s="264"/>
      <c r="AE50" s="206"/>
      <c r="AF50" s="206"/>
      <c r="AG50" s="206"/>
      <c r="AH50" s="206"/>
      <c r="AI50" s="206"/>
      <c r="AJ50" s="206"/>
    </row>
    <row r="51" hidden="1">
      <c r="A51" s="67" t="s">
        <v>869</v>
      </c>
      <c r="B51" s="264"/>
      <c r="C51" s="264"/>
      <c r="D51" s="264"/>
      <c r="E51" s="264"/>
      <c r="F51" s="264"/>
      <c r="G51" s="264"/>
      <c r="H51" s="264"/>
      <c r="I51" s="264"/>
      <c r="J51" s="264"/>
      <c r="K51" s="266">
        <v>640.0</v>
      </c>
      <c r="L51" s="264"/>
      <c r="M51" s="264"/>
      <c r="N51" s="264"/>
      <c r="O51" s="264"/>
      <c r="P51" s="266">
        <v>70.0</v>
      </c>
      <c r="Q51" s="266">
        <v>140.0</v>
      </c>
      <c r="R51" s="264"/>
      <c r="S51" s="77"/>
      <c r="T51" s="264"/>
      <c r="U51" s="264"/>
      <c r="V51" s="264"/>
      <c r="W51" s="264"/>
      <c r="X51" s="267">
        <v>140.0</v>
      </c>
      <c r="Y51" s="265"/>
      <c r="Z51" s="264"/>
      <c r="AA51" s="264"/>
      <c r="AB51" s="264"/>
      <c r="AC51" s="264"/>
      <c r="AD51" s="264"/>
      <c r="AE51" s="206"/>
      <c r="AF51" s="206"/>
      <c r="AG51" s="206"/>
      <c r="AH51" s="206"/>
      <c r="AI51" s="206"/>
      <c r="AJ51" s="206"/>
    </row>
    <row r="52" hidden="1">
      <c r="A52" s="67" t="s">
        <v>870</v>
      </c>
      <c r="B52" s="264"/>
      <c r="C52" s="264"/>
      <c r="D52" s="264"/>
      <c r="E52" s="264"/>
      <c r="F52" s="264"/>
      <c r="G52" s="264"/>
      <c r="H52" s="264"/>
      <c r="I52" s="264"/>
      <c r="J52" s="264"/>
      <c r="K52" s="266">
        <v>640.0</v>
      </c>
      <c r="L52" s="264"/>
      <c r="M52" s="264"/>
      <c r="N52" s="264"/>
      <c r="O52" s="264"/>
      <c r="P52" s="266">
        <v>70.0</v>
      </c>
      <c r="Q52" s="266">
        <v>140.0</v>
      </c>
      <c r="R52" s="264"/>
      <c r="S52" s="77"/>
      <c r="T52" s="264"/>
      <c r="U52" s="264"/>
      <c r="V52" s="264"/>
      <c r="W52" s="264"/>
      <c r="X52" s="267">
        <v>140.0</v>
      </c>
      <c r="Y52" s="265"/>
      <c r="Z52" s="264"/>
      <c r="AA52" s="264"/>
      <c r="AB52" s="264"/>
      <c r="AC52" s="264"/>
      <c r="AD52" s="264"/>
      <c r="AE52" s="206"/>
      <c r="AF52" s="206"/>
      <c r="AG52" s="206"/>
      <c r="AH52" s="206"/>
      <c r="AI52" s="206"/>
      <c r="AJ52" s="206"/>
    </row>
    <row r="53" hidden="1">
      <c r="A53" s="272" t="s">
        <v>825</v>
      </c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4"/>
      <c r="AE53" s="206"/>
      <c r="AF53" s="206"/>
      <c r="AG53" s="206"/>
      <c r="AH53" s="206"/>
      <c r="AI53" s="206"/>
      <c r="AJ53" s="206"/>
    </row>
    <row r="54" hidden="1">
      <c r="A54" s="272" t="s">
        <v>826</v>
      </c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64"/>
      <c r="AA54" s="264"/>
      <c r="AB54" s="264"/>
      <c r="AC54" s="264"/>
      <c r="AD54" s="264"/>
      <c r="AE54" s="206"/>
      <c r="AF54" s="206"/>
      <c r="AG54" s="206"/>
      <c r="AH54" s="206"/>
      <c r="AI54" s="206"/>
      <c r="AJ54" s="206"/>
    </row>
    <row r="55" hidden="1">
      <c r="A55" s="274" t="s">
        <v>680</v>
      </c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264"/>
      <c r="AB55" s="264"/>
      <c r="AC55" s="264"/>
      <c r="AD55" s="264"/>
      <c r="AE55" s="206"/>
      <c r="AF55" s="206"/>
      <c r="AG55" s="206"/>
      <c r="AH55" s="206"/>
      <c r="AI55" s="206"/>
      <c r="AJ55" s="206"/>
    </row>
    <row r="56" hidden="1">
      <c r="A56" s="274" t="s">
        <v>828</v>
      </c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264"/>
      <c r="AB56" s="264"/>
      <c r="AC56" s="264"/>
      <c r="AD56" s="264"/>
      <c r="AE56" s="206"/>
      <c r="AF56" s="206"/>
      <c r="AG56" s="206"/>
      <c r="AH56" s="206"/>
      <c r="AI56" s="206"/>
      <c r="AJ56" s="206"/>
    </row>
    <row r="57" hidden="1">
      <c r="A57" s="20" t="s">
        <v>829</v>
      </c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  <c r="AA57" s="264"/>
      <c r="AB57" s="264"/>
      <c r="AC57" s="264"/>
      <c r="AD57" s="264"/>
      <c r="AE57" s="206"/>
      <c r="AF57" s="206"/>
      <c r="AG57" s="206"/>
      <c r="AH57" s="206"/>
      <c r="AI57" s="206"/>
      <c r="AJ57" s="206"/>
    </row>
    <row r="58" hidden="1">
      <c r="A58" s="20" t="s">
        <v>830</v>
      </c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  <c r="AA58" s="264"/>
      <c r="AB58" s="264"/>
      <c r="AC58" s="264"/>
      <c r="AD58" s="264"/>
      <c r="AE58" s="206"/>
      <c r="AF58" s="206"/>
      <c r="AG58" s="206"/>
      <c r="AH58" s="206"/>
      <c r="AI58" s="206"/>
      <c r="AJ58" s="206"/>
    </row>
    <row r="59" hidden="1">
      <c r="A59" s="67" t="s">
        <v>871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6">
        <v>475.0</v>
      </c>
      <c r="AC59" s="264"/>
      <c r="AD59" s="264"/>
      <c r="AE59" s="206"/>
      <c r="AF59" s="206"/>
      <c r="AG59" s="206"/>
      <c r="AH59" s="206"/>
      <c r="AI59" s="206"/>
      <c r="AJ59" s="206"/>
    </row>
    <row r="60" hidden="1">
      <c r="A60" s="67" t="s">
        <v>872</v>
      </c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75"/>
      <c r="Y60" s="264"/>
      <c r="Z60" s="264"/>
      <c r="AA60" s="264"/>
      <c r="AB60" s="266">
        <v>475.0</v>
      </c>
      <c r="AC60" s="264"/>
      <c r="AD60" s="264"/>
      <c r="AE60" s="206"/>
      <c r="AF60" s="206"/>
      <c r="AG60" s="206"/>
      <c r="AH60" s="206"/>
      <c r="AI60" s="206"/>
      <c r="AJ60" s="206"/>
    </row>
    <row r="61" hidden="1">
      <c r="A61" s="67" t="s">
        <v>873</v>
      </c>
      <c r="B61" s="264"/>
      <c r="C61" s="264"/>
      <c r="D61" s="264"/>
      <c r="E61" s="264"/>
      <c r="F61" s="270"/>
      <c r="G61" s="264"/>
      <c r="H61" s="264"/>
      <c r="I61" s="270"/>
      <c r="J61" s="264"/>
      <c r="K61" s="264"/>
      <c r="L61" s="264"/>
      <c r="M61" s="264"/>
      <c r="N61" s="264"/>
      <c r="O61" s="264"/>
      <c r="P61" s="264"/>
      <c r="Q61" s="270"/>
      <c r="R61" s="264"/>
      <c r="S61" s="264"/>
      <c r="T61" s="264"/>
      <c r="U61" s="264"/>
      <c r="V61" s="264"/>
      <c r="W61" s="265"/>
      <c r="X61" s="265"/>
      <c r="Y61" s="265"/>
      <c r="Z61" s="265"/>
      <c r="AA61" s="264"/>
      <c r="AB61" s="266">
        <v>475.0</v>
      </c>
      <c r="AC61" s="264"/>
      <c r="AD61" s="264"/>
      <c r="AE61" s="206"/>
      <c r="AF61" s="206"/>
      <c r="AG61" s="206"/>
      <c r="AH61" s="206"/>
      <c r="AI61" s="206"/>
      <c r="AJ61" s="206"/>
    </row>
    <row r="62" hidden="1">
      <c r="A62" s="20" t="s">
        <v>837</v>
      </c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  <c r="AA62" s="264"/>
      <c r="AB62" s="264"/>
      <c r="AC62" s="264"/>
      <c r="AD62" s="264"/>
      <c r="AE62" s="206"/>
      <c r="AF62" s="206"/>
      <c r="AG62" s="206"/>
      <c r="AH62" s="206"/>
      <c r="AI62" s="206"/>
      <c r="AJ62" s="206"/>
    </row>
    <row r="63" hidden="1">
      <c r="A63" s="20" t="s">
        <v>12</v>
      </c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7">
        <v>140.0</v>
      </c>
      <c r="Y63" s="264"/>
      <c r="Z63" s="264"/>
      <c r="AA63" s="264"/>
      <c r="AB63" s="264"/>
      <c r="AC63" s="264"/>
      <c r="AD63" s="264"/>
      <c r="AE63" s="206"/>
      <c r="AF63" s="206"/>
      <c r="AG63" s="206"/>
      <c r="AH63" s="206"/>
      <c r="AI63" s="206"/>
      <c r="AJ63" s="206"/>
    </row>
    <row r="64" hidden="1">
      <c r="A64" s="20" t="s">
        <v>838</v>
      </c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  <c r="AA64" s="264"/>
      <c r="AB64" s="264"/>
      <c r="AC64" s="264"/>
      <c r="AD64" s="264"/>
      <c r="AE64" s="206"/>
      <c r="AF64" s="206"/>
      <c r="AG64" s="206"/>
      <c r="AH64" s="206"/>
      <c r="AI64" s="206"/>
      <c r="AJ64" s="206"/>
    </row>
    <row r="65" hidden="1">
      <c r="A65" s="67" t="s">
        <v>822</v>
      </c>
      <c r="B65" s="77"/>
      <c r="C65" s="241" t="s">
        <v>874</v>
      </c>
      <c r="D65" s="241" t="s">
        <v>868</v>
      </c>
      <c r="E65" s="241">
        <v>140.0</v>
      </c>
      <c r="F65" s="77"/>
      <c r="G65" s="77"/>
      <c r="H65" s="77"/>
      <c r="I65" s="241">
        <v>70.0</v>
      </c>
      <c r="J65" s="77"/>
      <c r="K65" s="241">
        <v>70.0</v>
      </c>
      <c r="L65" s="77"/>
      <c r="M65" s="77"/>
      <c r="N65" s="77"/>
      <c r="O65" s="77"/>
      <c r="P65" s="77"/>
      <c r="Q65" s="276"/>
      <c r="R65" s="77"/>
      <c r="S65" s="241">
        <v>140.0</v>
      </c>
      <c r="T65" s="77"/>
      <c r="U65" s="77"/>
      <c r="V65" s="77"/>
      <c r="W65" s="77"/>
      <c r="X65" s="77"/>
      <c r="Y65" s="77"/>
      <c r="Z65" s="273">
        <v>140.0</v>
      </c>
      <c r="AA65" s="77"/>
      <c r="AB65" s="77"/>
      <c r="AC65" s="77"/>
      <c r="AD65" s="77"/>
    </row>
    <row r="66" hidden="1">
      <c r="A66" s="67" t="s">
        <v>677</v>
      </c>
      <c r="B66" s="77"/>
      <c r="C66" s="241" t="s">
        <v>874</v>
      </c>
      <c r="D66" s="241" t="s">
        <v>868</v>
      </c>
      <c r="E66" s="241">
        <v>140.0</v>
      </c>
      <c r="F66" s="77"/>
      <c r="G66" s="77"/>
      <c r="H66" s="77"/>
      <c r="I66" s="241">
        <v>70.0</v>
      </c>
      <c r="J66" s="77"/>
      <c r="K66" s="241">
        <v>70.0</v>
      </c>
      <c r="L66" s="77"/>
      <c r="M66" s="77"/>
      <c r="N66" s="77"/>
      <c r="O66" s="77"/>
      <c r="P66" s="77"/>
      <c r="Q66" s="276"/>
      <c r="R66" s="77"/>
      <c r="S66" s="241">
        <v>140.0</v>
      </c>
      <c r="T66" s="77"/>
      <c r="U66" s="77"/>
      <c r="V66" s="77"/>
      <c r="W66" s="77"/>
      <c r="X66" s="77"/>
      <c r="Y66" s="77"/>
      <c r="Z66" s="241">
        <v>140.0</v>
      </c>
      <c r="AA66" s="77"/>
      <c r="AB66" s="77"/>
      <c r="AC66" s="77"/>
      <c r="AD66" s="77"/>
    </row>
    <row r="67" hidden="1">
      <c r="A67" s="67" t="s">
        <v>875</v>
      </c>
      <c r="B67" s="77"/>
      <c r="C67" s="241" t="s">
        <v>874</v>
      </c>
      <c r="D67" s="241" t="s">
        <v>868</v>
      </c>
      <c r="E67" s="241">
        <v>140.0</v>
      </c>
      <c r="F67" s="77"/>
      <c r="G67" s="77"/>
      <c r="H67" s="77"/>
      <c r="I67" s="241">
        <v>70.0</v>
      </c>
      <c r="J67" s="77"/>
      <c r="K67" s="241">
        <v>70.0</v>
      </c>
      <c r="L67" s="77"/>
      <c r="M67" s="77"/>
      <c r="N67" s="77"/>
      <c r="O67" s="77"/>
      <c r="P67" s="77"/>
      <c r="Q67" s="276"/>
      <c r="R67" s="77"/>
      <c r="S67" s="241">
        <v>140.0</v>
      </c>
      <c r="T67" s="77"/>
      <c r="U67" s="77"/>
      <c r="V67" s="77"/>
      <c r="W67" s="77"/>
      <c r="X67" s="77"/>
      <c r="Y67" s="77"/>
      <c r="Z67" s="241">
        <v>140.0</v>
      </c>
      <c r="AA67" s="77"/>
      <c r="AB67" s="77"/>
      <c r="AC67" s="77"/>
      <c r="AD67" s="77"/>
    </row>
    <row r="68" hidden="1">
      <c r="A68" s="212" t="s">
        <v>263</v>
      </c>
      <c r="Q68" s="212"/>
    </row>
    <row r="69" hidden="1">
      <c r="A69" s="212"/>
      <c r="Q69" s="212"/>
    </row>
    <row r="70" hidden="1">
      <c r="A70" s="212"/>
      <c r="Q70" s="212"/>
    </row>
    <row r="71" hidden="1">
      <c r="A71" s="251" t="s">
        <v>788</v>
      </c>
      <c r="B71" s="252"/>
      <c r="C71" s="253" t="s">
        <v>789</v>
      </c>
      <c r="D71" s="253" t="s">
        <v>27</v>
      </c>
      <c r="E71" s="253" t="s">
        <v>2</v>
      </c>
      <c r="F71" s="253" t="s">
        <v>3</v>
      </c>
      <c r="G71" s="254" t="s">
        <v>790</v>
      </c>
      <c r="H71" s="255"/>
      <c r="I71" s="253" t="s">
        <v>25</v>
      </c>
      <c r="J71" s="253" t="s">
        <v>789</v>
      </c>
      <c r="K71" s="253" t="s">
        <v>27</v>
      </c>
      <c r="L71" s="253" t="s">
        <v>2</v>
      </c>
      <c r="M71" s="253" t="s">
        <v>3</v>
      </c>
      <c r="N71" s="254" t="s">
        <v>790</v>
      </c>
      <c r="O71" s="255"/>
      <c r="P71" s="253" t="s">
        <v>25</v>
      </c>
      <c r="Q71" s="256" t="s">
        <v>789</v>
      </c>
      <c r="R71" s="253" t="s">
        <v>27</v>
      </c>
      <c r="S71" s="253" t="s">
        <v>2</v>
      </c>
      <c r="T71" s="253" t="s">
        <v>3</v>
      </c>
      <c r="U71" s="254" t="s">
        <v>790</v>
      </c>
      <c r="V71" s="255"/>
      <c r="W71" s="253" t="s">
        <v>25</v>
      </c>
      <c r="X71" s="256" t="s">
        <v>789</v>
      </c>
      <c r="Y71" s="253" t="s">
        <v>27</v>
      </c>
      <c r="Z71" s="253" t="s">
        <v>2</v>
      </c>
      <c r="AA71" s="253" t="s">
        <v>3</v>
      </c>
      <c r="AB71" s="257" t="s">
        <v>790</v>
      </c>
      <c r="AC71" s="277"/>
      <c r="AD71" s="278" t="s">
        <v>25</v>
      </c>
      <c r="AE71" s="279" t="s">
        <v>789</v>
      </c>
      <c r="AF71" s="278" t="s">
        <v>27</v>
      </c>
      <c r="AG71" s="278" t="s">
        <v>2</v>
      </c>
      <c r="AH71" s="278" t="s">
        <v>3</v>
      </c>
      <c r="AI71" s="254"/>
      <c r="AJ71" s="258"/>
    </row>
    <row r="72" hidden="1">
      <c r="A72" s="206"/>
      <c r="B72" s="259"/>
      <c r="C72" s="260" t="s">
        <v>876</v>
      </c>
      <c r="D72" s="260" t="s">
        <v>877</v>
      </c>
      <c r="E72" s="260" t="s">
        <v>878</v>
      </c>
      <c r="F72" s="260" t="s">
        <v>879</v>
      </c>
      <c r="G72" s="260" t="s">
        <v>880</v>
      </c>
      <c r="H72" s="260"/>
      <c r="I72" s="260" t="s">
        <v>881</v>
      </c>
      <c r="J72" s="260" t="s">
        <v>882</v>
      </c>
      <c r="K72" s="260" t="s">
        <v>883</v>
      </c>
      <c r="L72" s="260" t="s">
        <v>884</v>
      </c>
      <c r="M72" s="260" t="s">
        <v>885</v>
      </c>
      <c r="N72" s="260" t="s">
        <v>886</v>
      </c>
      <c r="O72" s="260"/>
      <c r="P72" s="260" t="s">
        <v>887</v>
      </c>
      <c r="Q72" s="260" t="s">
        <v>888</v>
      </c>
      <c r="R72" s="260" t="s">
        <v>889</v>
      </c>
      <c r="S72" s="260" t="s">
        <v>890</v>
      </c>
      <c r="T72" s="260" t="s">
        <v>891</v>
      </c>
      <c r="U72" s="260" t="s">
        <v>892</v>
      </c>
      <c r="V72" s="260"/>
      <c r="W72" s="260" t="s">
        <v>893</v>
      </c>
      <c r="X72" s="260" t="s">
        <v>894</v>
      </c>
      <c r="Y72" s="260" t="s">
        <v>895</v>
      </c>
      <c r="Z72" s="260" t="s">
        <v>896</v>
      </c>
      <c r="AA72" s="260" t="s">
        <v>897</v>
      </c>
      <c r="AB72" s="260" t="s">
        <v>898</v>
      </c>
      <c r="AC72" s="260"/>
      <c r="AD72" s="280" t="s">
        <v>899</v>
      </c>
      <c r="AE72" s="280" t="s">
        <v>900</v>
      </c>
      <c r="AF72" s="280" t="s">
        <v>901</v>
      </c>
      <c r="AG72" s="280" t="s">
        <v>902</v>
      </c>
      <c r="AH72" s="280" t="s">
        <v>903</v>
      </c>
      <c r="AI72" s="262"/>
      <c r="AJ72" s="262"/>
    </row>
    <row r="73" hidden="1">
      <c r="A73" s="263" t="s">
        <v>816</v>
      </c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5"/>
      <c r="N73" s="264"/>
      <c r="O73" s="264"/>
      <c r="P73" s="266">
        <v>140.0</v>
      </c>
      <c r="Q73" s="267">
        <v>140.0</v>
      </c>
      <c r="R73" s="266">
        <v>70.0</v>
      </c>
      <c r="S73" s="267">
        <v>140.0</v>
      </c>
      <c r="T73" s="264"/>
      <c r="U73" s="264"/>
      <c r="V73" s="264"/>
      <c r="W73" s="266" t="s">
        <v>904</v>
      </c>
      <c r="X73" s="266">
        <v>140.0</v>
      </c>
      <c r="Y73" s="264"/>
      <c r="Z73" s="265"/>
      <c r="AA73" s="266">
        <v>100.0</v>
      </c>
      <c r="AB73" s="264"/>
      <c r="AC73" s="264"/>
      <c r="AD73" s="268"/>
      <c r="AE73" s="266">
        <v>140.0</v>
      </c>
      <c r="AF73" s="264"/>
      <c r="AG73" s="266">
        <v>70.0</v>
      </c>
      <c r="AH73" s="264"/>
      <c r="AI73" s="206"/>
      <c r="AJ73" s="206"/>
    </row>
    <row r="74" hidden="1">
      <c r="A74" s="11" t="s">
        <v>817</v>
      </c>
      <c r="B74" s="264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81"/>
      <c r="N74" s="264"/>
      <c r="O74" s="264"/>
      <c r="P74" s="266">
        <v>140.0</v>
      </c>
      <c r="Q74" s="267">
        <v>140.0</v>
      </c>
      <c r="R74" s="266">
        <v>70.0</v>
      </c>
      <c r="S74" s="267">
        <v>140.0</v>
      </c>
      <c r="T74" s="264"/>
      <c r="U74" s="264"/>
      <c r="V74" s="264"/>
      <c r="W74" s="266" t="s">
        <v>904</v>
      </c>
      <c r="X74" s="266">
        <v>140.0</v>
      </c>
      <c r="Y74" s="264"/>
      <c r="Z74" s="265"/>
      <c r="AA74" s="266">
        <v>100.0</v>
      </c>
      <c r="AB74" s="264"/>
      <c r="AC74" s="264"/>
      <c r="AD74" s="268"/>
      <c r="AE74" s="266">
        <v>140.0</v>
      </c>
      <c r="AF74" s="264"/>
      <c r="AG74" s="266">
        <v>70.0</v>
      </c>
      <c r="AH74" s="264"/>
      <c r="AI74" s="206"/>
      <c r="AJ74" s="206"/>
    </row>
    <row r="75" hidden="1">
      <c r="A75" s="11" t="s">
        <v>310</v>
      </c>
      <c r="B75" s="264"/>
      <c r="C75" s="282"/>
      <c r="D75" s="275"/>
      <c r="E75" s="275"/>
      <c r="F75" s="275"/>
      <c r="G75" s="275"/>
      <c r="H75" s="275"/>
      <c r="I75" s="266">
        <v>140.0</v>
      </c>
      <c r="J75" s="266" t="s">
        <v>905</v>
      </c>
      <c r="K75" s="282"/>
      <c r="L75" s="282"/>
      <c r="M75" s="275"/>
      <c r="N75" s="264"/>
      <c r="O75" s="264"/>
      <c r="P75" s="266">
        <v>70.0</v>
      </c>
      <c r="Q75" s="283"/>
      <c r="R75" s="266">
        <v>140.0</v>
      </c>
      <c r="S75" s="266">
        <v>70.0</v>
      </c>
      <c r="T75" s="264"/>
      <c r="U75" s="264"/>
      <c r="V75" s="264"/>
      <c r="W75" s="266" t="s">
        <v>906</v>
      </c>
      <c r="X75" s="266">
        <v>60.0</v>
      </c>
      <c r="Y75" s="266">
        <v>60.0</v>
      </c>
      <c r="Z75" s="267">
        <v>60.0</v>
      </c>
      <c r="AA75" s="264"/>
      <c r="AB75" s="264"/>
      <c r="AC75" s="264"/>
      <c r="AD75" s="266">
        <v>140.0</v>
      </c>
      <c r="AE75" s="264"/>
      <c r="AF75" s="264"/>
      <c r="AG75" s="266">
        <v>70.0</v>
      </c>
      <c r="AH75" s="264"/>
      <c r="AI75" s="206"/>
      <c r="AJ75" s="206"/>
    </row>
    <row r="76" hidden="1">
      <c r="A76" s="11" t="s">
        <v>819</v>
      </c>
      <c r="B76" s="264"/>
      <c r="C76" s="282"/>
      <c r="D76" s="275"/>
      <c r="E76" s="275"/>
      <c r="F76" s="275"/>
      <c r="G76" s="275"/>
      <c r="H76" s="275"/>
      <c r="I76" s="266">
        <v>140.0</v>
      </c>
      <c r="J76" s="266" t="s">
        <v>905</v>
      </c>
      <c r="K76" s="282"/>
      <c r="L76" s="282"/>
      <c r="M76" s="275"/>
      <c r="N76" s="264"/>
      <c r="O76" s="264"/>
      <c r="P76" s="266">
        <v>70.0</v>
      </c>
      <c r="Q76" s="268"/>
      <c r="R76" s="266">
        <v>140.0</v>
      </c>
      <c r="S76" s="266">
        <v>70.0</v>
      </c>
      <c r="T76" s="264"/>
      <c r="U76" s="264"/>
      <c r="V76" s="264"/>
      <c r="W76" s="266" t="s">
        <v>906</v>
      </c>
      <c r="X76" s="266">
        <v>60.0</v>
      </c>
      <c r="Y76" s="266">
        <v>60.0</v>
      </c>
      <c r="Z76" s="266">
        <v>60.0</v>
      </c>
      <c r="AA76" s="264"/>
      <c r="AB76" s="264"/>
      <c r="AC76" s="264"/>
      <c r="AD76" s="266">
        <v>140.0</v>
      </c>
      <c r="AE76" s="264"/>
      <c r="AF76" s="264"/>
      <c r="AG76" s="266">
        <v>70.0</v>
      </c>
      <c r="AH76" s="264"/>
      <c r="AI76" s="206"/>
      <c r="AJ76" s="206"/>
    </row>
    <row r="77" hidden="1">
      <c r="A77" s="20" t="s">
        <v>10</v>
      </c>
      <c r="B77" s="264"/>
      <c r="C77" s="275"/>
      <c r="D77" s="275"/>
      <c r="E77" s="275"/>
      <c r="F77" s="275"/>
      <c r="G77" s="275"/>
      <c r="H77" s="275"/>
      <c r="I77" s="275"/>
      <c r="J77" s="266">
        <v>140.0</v>
      </c>
      <c r="K77" s="275"/>
      <c r="L77" s="282"/>
      <c r="M77" s="266">
        <v>70.0</v>
      </c>
      <c r="N77" s="264"/>
      <c r="O77" s="264"/>
      <c r="P77" s="282"/>
      <c r="Q77" s="267">
        <v>140.0</v>
      </c>
      <c r="R77" s="266">
        <v>140.0</v>
      </c>
      <c r="S77" s="266">
        <v>70.0</v>
      </c>
      <c r="T77" s="264"/>
      <c r="U77" s="270"/>
      <c r="V77" s="264"/>
      <c r="W77" s="265"/>
      <c r="X77" s="283"/>
      <c r="Y77" s="283"/>
      <c r="Z77" s="265"/>
      <c r="AA77" s="270"/>
      <c r="AB77" s="264"/>
      <c r="AC77" s="265"/>
      <c r="AD77" s="267">
        <v>60.0</v>
      </c>
      <c r="AE77" s="267">
        <v>60.0</v>
      </c>
      <c r="AF77" s="267">
        <v>60.0</v>
      </c>
      <c r="AG77" s="267" t="s">
        <v>907</v>
      </c>
      <c r="AH77" s="265"/>
      <c r="AI77" s="271"/>
      <c r="AJ77" s="271"/>
    </row>
    <row r="78" hidden="1">
      <c r="A78" s="17" t="s">
        <v>866</v>
      </c>
      <c r="B78" s="264"/>
      <c r="C78" s="275"/>
      <c r="D78" s="275"/>
      <c r="E78" s="275"/>
      <c r="F78" s="275"/>
      <c r="G78" s="275"/>
      <c r="H78" s="275"/>
      <c r="I78" s="275"/>
      <c r="J78" s="266">
        <v>140.0</v>
      </c>
      <c r="K78" s="275"/>
      <c r="L78" s="282"/>
      <c r="M78" s="266">
        <v>70.0</v>
      </c>
      <c r="N78" s="264"/>
      <c r="O78" s="264"/>
      <c r="P78" s="282"/>
      <c r="Q78" s="267">
        <v>140.0</v>
      </c>
      <c r="R78" s="266">
        <v>140.0</v>
      </c>
      <c r="S78" s="267">
        <v>70.0</v>
      </c>
      <c r="T78" s="264"/>
      <c r="U78" s="264"/>
      <c r="V78" s="264"/>
      <c r="W78" s="264"/>
      <c r="X78" s="264"/>
      <c r="Y78" s="283"/>
      <c r="Z78" s="264"/>
      <c r="AA78" s="264"/>
      <c r="AB78" s="264"/>
      <c r="AC78" s="264"/>
      <c r="AD78" s="266">
        <v>60.0</v>
      </c>
      <c r="AE78" s="267">
        <v>60.0</v>
      </c>
      <c r="AF78" s="266">
        <v>60.0</v>
      </c>
      <c r="AG78" s="267" t="s">
        <v>907</v>
      </c>
      <c r="AH78" s="264"/>
      <c r="AI78" s="206"/>
      <c r="AJ78" s="206"/>
    </row>
    <row r="79" hidden="1">
      <c r="A79" s="17" t="s">
        <v>867</v>
      </c>
      <c r="B79" s="264"/>
      <c r="C79" s="275"/>
      <c r="D79" s="275"/>
      <c r="E79" s="275"/>
      <c r="F79" s="275"/>
      <c r="G79" s="275"/>
      <c r="H79" s="275"/>
      <c r="I79" s="275"/>
      <c r="J79" s="266">
        <v>140.0</v>
      </c>
      <c r="K79" s="275"/>
      <c r="L79" s="282"/>
      <c r="M79" s="266">
        <v>70.0</v>
      </c>
      <c r="N79" s="264"/>
      <c r="O79" s="264"/>
      <c r="P79" s="282"/>
      <c r="Q79" s="267">
        <v>140.0</v>
      </c>
      <c r="R79" s="266">
        <v>140.0</v>
      </c>
      <c r="S79" s="267">
        <v>70.0</v>
      </c>
      <c r="T79" s="264"/>
      <c r="U79" s="264"/>
      <c r="V79" s="264"/>
      <c r="W79" s="264"/>
      <c r="X79" s="264"/>
      <c r="Y79" s="283"/>
      <c r="Z79" s="264"/>
      <c r="AA79" s="264"/>
      <c r="AB79" s="269"/>
      <c r="AC79" s="264"/>
      <c r="AD79" s="266">
        <v>60.0</v>
      </c>
      <c r="AE79" s="267">
        <v>60.0</v>
      </c>
      <c r="AF79" s="266">
        <v>60.0</v>
      </c>
      <c r="AG79" s="267" t="s">
        <v>907</v>
      </c>
      <c r="AH79" s="264"/>
      <c r="AI79" s="206"/>
      <c r="AJ79" s="206"/>
    </row>
    <row r="80" hidden="1">
      <c r="A80" s="17" t="s">
        <v>818</v>
      </c>
      <c r="B80" s="264"/>
      <c r="C80" s="77"/>
      <c r="D80" s="266" t="s">
        <v>908</v>
      </c>
      <c r="E80" s="275"/>
      <c r="F80" s="275"/>
      <c r="G80" s="282"/>
      <c r="H80" s="275"/>
      <c r="I80" s="266">
        <v>60.0</v>
      </c>
      <c r="J80" s="266">
        <v>60.0</v>
      </c>
      <c r="K80" s="266">
        <v>60.0</v>
      </c>
      <c r="L80" s="266">
        <v>60.0</v>
      </c>
      <c r="M80" s="275"/>
      <c r="N80" s="264"/>
      <c r="O80" s="264"/>
      <c r="P80" s="282"/>
      <c r="Q80" s="266">
        <v>140.0</v>
      </c>
      <c r="R80" s="266">
        <v>70.0</v>
      </c>
      <c r="S80" s="265"/>
      <c r="T80" s="268"/>
      <c r="U80" s="264"/>
      <c r="V80" s="264"/>
      <c r="W80" s="264"/>
      <c r="X80" s="266">
        <v>140.0</v>
      </c>
      <c r="Y80" s="264"/>
      <c r="Z80" s="268"/>
      <c r="AA80" s="264"/>
      <c r="AB80" s="264"/>
      <c r="AC80" s="264"/>
      <c r="AD80" s="264"/>
      <c r="AE80" s="266" t="s">
        <v>909</v>
      </c>
      <c r="AF80" s="266">
        <v>60.0</v>
      </c>
      <c r="AG80" s="267">
        <v>70.0</v>
      </c>
      <c r="AH80" s="266">
        <v>70.0</v>
      </c>
      <c r="AI80" s="206"/>
      <c r="AJ80" s="206"/>
    </row>
    <row r="81" hidden="1">
      <c r="A81" s="17" t="s">
        <v>827</v>
      </c>
      <c r="B81" s="264"/>
      <c r="C81" s="77"/>
      <c r="D81" s="266" t="s">
        <v>908</v>
      </c>
      <c r="E81" s="275"/>
      <c r="F81" s="275"/>
      <c r="G81" s="282"/>
      <c r="H81" s="275"/>
      <c r="I81" s="266">
        <v>60.0</v>
      </c>
      <c r="J81" s="266">
        <v>60.0</v>
      </c>
      <c r="K81" s="266">
        <v>60.0</v>
      </c>
      <c r="L81" s="266">
        <v>60.0</v>
      </c>
      <c r="M81" s="275"/>
      <c r="N81" s="264"/>
      <c r="O81" s="264"/>
      <c r="P81" s="282"/>
      <c r="Q81" s="266">
        <v>140.0</v>
      </c>
      <c r="R81" s="266">
        <v>70.0</v>
      </c>
      <c r="S81" s="265"/>
      <c r="T81" s="268"/>
      <c r="U81" s="264"/>
      <c r="V81" s="264"/>
      <c r="W81" s="264"/>
      <c r="X81" s="266">
        <v>140.0</v>
      </c>
      <c r="Y81" s="264"/>
      <c r="Z81" s="268"/>
      <c r="AA81" s="264"/>
      <c r="AB81" s="264"/>
      <c r="AC81" s="264"/>
      <c r="AD81" s="264"/>
      <c r="AE81" s="266" t="s">
        <v>909</v>
      </c>
      <c r="AF81" s="266">
        <v>60.0</v>
      </c>
      <c r="AG81" s="267">
        <v>70.0</v>
      </c>
      <c r="AH81" s="266">
        <v>70.0</v>
      </c>
      <c r="AI81" s="206"/>
      <c r="AJ81" s="206"/>
    </row>
    <row r="82" hidden="1">
      <c r="A82" s="20" t="s">
        <v>832</v>
      </c>
      <c r="B82" s="264"/>
      <c r="C82" s="275"/>
      <c r="D82" s="266" t="s">
        <v>908</v>
      </c>
      <c r="E82" s="275"/>
      <c r="F82" s="284"/>
      <c r="G82" s="275"/>
      <c r="H82" s="275"/>
      <c r="I82" s="284"/>
      <c r="J82" s="266">
        <v>140.0</v>
      </c>
      <c r="K82" s="282"/>
      <c r="L82" s="275"/>
      <c r="M82" s="275"/>
      <c r="N82" s="264"/>
      <c r="O82" s="264"/>
      <c r="P82" s="266">
        <v>70.0</v>
      </c>
      <c r="Q82" s="268"/>
      <c r="R82" s="266">
        <v>70.0</v>
      </c>
      <c r="S82" s="266">
        <v>140.0</v>
      </c>
      <c r="T82" s="264"/>
      <c r="U82" s="264"/>
      <c r="V82" s="264"/>
      <c r="W82" s="267">
        <v>140.0</v>
      </c>
      <c r="X82" s="267">
        <v>140.0</v>
      </c>
      <c r="Y82" s="267">
        <v>150.0</v>
      </c>
      <c r="Z82" s="265"/>
      <c r="AA82" s="264"/>
      <c r="AB82" s="264"/>
      <c r="AC82" s="264"/>
      <c r="AD82" s="266">
        <v>60.0</v>
      </c>
      <c r="AE82" s="267">
        <v>60.0</v>
      </c>
      <c r="AF82" s="266">
        <v>60.0</v>
      </c>
      <c r="AG82" s="267" t="s">
        <v>910</v>
      </c>
      <c r="AH82" s="264"/>
      <c r="AI82" s="206"/>
      <c r="AJ82" s="206"/>
    </row>
    <row r="83" hidden="1">
      <c r="A83" s="20" t="s">
        <v>835</v>
      </c>
      <c r="B83" s="264"/>
      <c r="C83" s="275"/>
      <c r="D83" s="266" t="s">
        <v>908</v>
      </c>
      <c r="E83" s="275"/>
      <c r="F83" s="284"/>
      <c r="G83" s="275"/>
      <c r="H83" s="275"/>
      <c r="I83" s="284"/>
      <c r="J83" s="266">
        <v>140.0</v>
      </c>
      <c r="K83" s="282"/>
      <c r="L83" s="275"/>
      <c r="M83" s="275"/>
      <c r="N83" s="264"/>
      <c r="O83" s="264"/>
      <c r="P83" s="266">
        <v>70.0</v>
      </c>
      <c r="Q83" s="268"/>
      <c r="R83" s="266">
        <v>70.0</v>
      </c>
      <c r="S83" s="266">
        <v>140.0</v>
      </c>
      <c r="T83" s="264"/>
      <c r="U83" s="264"/>
      <c r="V83" s="264"/>
      <c r="W83" s="267">
        <v>140.0</v>
      </c>
      <c r="X83" s="267">
        <v>140.0</v>
      </c>
      <c r="Y83" s="267">
        <v>150.0</v>
      </c>
      <c r="Z83" s="265"/>
      <c r="AA83" s="264"/>
      <c r="AB83" s="264"/>
      <c r="AC83" s="264"/>
      <c r="AD83" s="266">
        <v>60.0</v>
      </c>
      <c r="AE83" s="267">
        <v>60.0</v>
      </c>
      <c r="AF83" s="266">
        <v>60.0</v>
      </c>
      <c r="AG83" s="267" t="s">
        <v>910</v>
      </c>
      <c r="AH83" s="264"/>
      <c r="AI83" s="206"/>
      <c r="AJ83" s="206"/>
    </row>
    <row r="84" hidden="1">
      <c r="A84" s="20" t="s">
        <v>836</v>
      </c>
      <c r="B84" s="264"/>
      <c r="C84" s="275"/>
      <c r="D84" s="266" t="s">
        <v>908</v>
      </c>
      <c r="E84" s="275"/>
      <c r="F84" s="284"/>
      <c r="G84" s="275"/>
      <c r="H84" s="275"/>
      <c r="I84" s="284"/>
      <c r="J84" s="266">
        <v>140.0</v>
      </c>
      <c r="K84" s="282"/>
      <c r="L84" s="275"/>
      <c r="M84" s="275"/>
      <c r="N84" s="264"/>
      <c r="O84" s="264"/>
      <c r="P84" s="266">
        <v>70.0</v>
      </c>
      <c r="Q84" s="268"/>
      <c r="R84" s="266">
        <v>70.0</v>
      </c>
      <c r="S84" s="266">
        <v>140.0</v>
      </c>
      <c r="T84" s="264"/>
      <c r="U84" s="264"/>
      <c r="V84" s="264"/>
      <c r="W84" s="267">
        <v>140.0</v>
      </c>
      <c r="X84" s="267">
        <v>140.0</v>
      </c>
      <c r="Y84" s="267">
        <v>150.0</v>
      </c>
      <c r="Z84" s="265"/>
      <c r="AA84" s="264"/>
      <c r="AB84" s="264"/>
      <c r="AC84" s="264"/>
      <c r="AD84" s="266">
        <v>60.0</v>
      </c>
      <c r="AE84" s="267">
        <v>60.0</v>
      </c>
      <c r="AF84" s="266">
        <v>60.0</v>
      </c>
      <c r="AG84" s="267" t="s">
        <v>910</v>
      </c>
      <c r="AH84" s="264"/>
      <c r="AI84" s="206"/>
      <c r="AJ84" s="206"/>
    </row>
    <row r="85" hidden="1">
      <c r="A85" s="272" t="s">
        <v>824</v>
      </c>
      <c r="B85" s="264"/>
      <c r="C85" s="266" t="s">
        <v>823</v>
      </c>
      <c r="D85" s="275"/>
      <c r="E85" s="275"/>
      <c r="F85" s="275"/>
      <c r="G85" s="275"/>
      <c r="H85" s="275"/>
      <c r="I85" s="266">
        <v>140.0</v>
      </c>
      <c r="J85" s="275"/>
      <c r="K85" s="282"/>
      <c r="L85" s="275"/>
      <c r="M85" s="275"/>
      <c r="N85" s="264"/>
      <c r="O85" s="264"/>
      <c r="P85" s="266">
        <v>140.0</v>
      </c>
      <c r="Q85" s="267">
        <v>140.0</v>
      </c>
      <c r="R85" s="266">
        <v>70.0</v>
      </c>
      <c r="S85" s="267">
        <v>70.0</v>
      </c>
      <c r="U85" s="264"/>
      <c r="V85" s="264"/>
      <c r="W85" s="266">
        <v>60.0</v>
      </c>
      <c r="X85" s="273">
        <v>60.0</v>
      </c>
      <c r="Y85" s="273">
        <v>60.0</v>
      </c>
      <c r="Z85" s="266">
        <v>373.0</v>
      </c>
      <c r="AA85" s="264"/>
      <c r="AB85" s="264"/>
      <c r="AC85" s="264"/>
      <c r="AD85" s="264"/>
      <c r="AE85" s="266">
        <v>620.0</v>
      </c>
      <c r="AF85" s="264"/>
      <c r="AG85" s="264"/>
      <c r="AH85" s="266">
        <v>70.0</v>
      </c>
      <c r="AI85" s="206"/>
      <c r="AJ85" s="206"/>
    </row>
    <row r="86" hidden="1">
      <c r="A86" s="67" t="s">
        <v>869</v>
      </c>
      <c r="B86" s="264"/>
      <c r="C86" s="266" t="s">
        <v>823</v>
      </c>
      <c r="D86" s="275"/>
      <c r="E86" s="275"/>
      <c r="F86" s="275"/>
      <c r="G86" s="275"/>
      <c r="H86" s="275"/>
      <c r="I86" s="266">
        <v>140.0</v>
      </c>
      <c r="J86" s="275"/>
      <c r="K86" s="282"/>
      <c r="L86" s="275"/>
      <c r="M86" s="275"/>
      <c r="N86" s="264"/>
      <c r="O86" s="264"/>
      <c r="P86" s="266">
        <v>140.0</v>
      </c>
      <c r="Q86" s="267">
        <v>140.0</v>
      </c>
      <c r="R86" s="266">
        <v>70.0</v>
      </c>
      <c r="S86" s="267">
        <v>70.0</v>
      </c>
      <c r="U86" s="264"/>
      <c r="V86" s="264"/>
      <c r="W86" s="266">
        <v>60.0</v>
      </c>
      <c r="X86" s="267">
        <v>60.0</v>
      </c>
      <c r="Y86" s="267">
        <v>60.0</v>
      </c>
      <c r="Z86" s="266">
        <v>373.0</v>
      </c>
      <c r="AA86" s="264"/>
      <c r="AB86" s="264"/>
      <c r="AC86" s="264"/>
      <c r="AD86" s="264"/>
      <c r="AE86" s="266">
        <v>620.0</v>
      </c>
      <c r="AF86" s="264"/>
      <c r="AG86" s="264"/>
      <c r="AH86" s="266">
        <v>70.0</v>
      </c>
      <c r="AI86" s="206"/>
      <c r="AJ86" s="206"/>
    </row>
    <row r="87" hidden="1">
      <c r="A87" s="67" t="s">
        <v>870</v>
      </c>
      <c r="B87" s="264"/>
      <c r="C87" s="266" t="s">
        <v>823</v>
      </c>
      <c r="D87" s="275"/>
      <c r="E87" s="275"/>
      <c r="F87" s="275"/>
      <c r="G87" s="275"/>
      <c r="H87" s="275"/>
      <c r="I87" s="266">
        <v>140.0</v>
      </c>
      <c r="J87" s="275"/>
      <c r="K87" s="282"/>
      <c r="L87" s="275"/>
      <c r="M87" s="275"/>
      <c r="N87" s="264"/>
      <c r="O87" s="264"/>
      <c r="P87" s="266">
        <v>140.0</v>
      </c>
      <c r="Q87" s="267">
        <v>140.0</v>
      </c>
      <c r="R87" s="266">
        <v>70.0</v>
      </c>
      <c r="S87" s="267">
        <v>70.0</v>
      </c>
      <c r="U87" s="264"/>
      <c r="V87" s="264"/>
      <c r="W87" s="266">
        <v>60.0</v>
      </c>
      <c r="X87" s="267">
        <v>60.0</v>
      </c>
      <c r="Y87" s="267">
        <v>60.0</v>
      </c>
      <c r="Z87" s="266">
        <v>373.0</v>
      </c>
      <c r="AA87" s="264"/>
      <c r="AB87" s="264"/>
      <c r="AC87" s="264"/>
      <c r="AD87" s="264"/>
      <c r="AE87" s="266">
        <v>620.0</v>
      </c>
      <c r="AF87" s="264"/>
      <c r="AG87" s="264"/>
      <c r="AH87" s="266">
        <v>70.0</v>
      </c>
      <c r="AI87" s="206"/>
      <c r="AJ87" s="206"/>
    </row>
    <row r="88" hidden="1">
      <c r="A88" s="272" t="s">
        <v>825</v>
      </c>
      <c r="B88" s="264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64"/>
      <c r="O88" s="264"/>
      <c r="P88" s="275"/>
      <c r="Q88" s="264"/>
      <c r="R88" s="264"/>
      <c r="S88" s="264"/>
      <c r="T88" s="264"/>
      <c r="U88" s="264"/>
      <c r="V88" s="264"/>
      <c r="W88" s="264"/>
      <c r="X88" s="264"/>
      <c r="Y88" s="264"/>
      <c r="Z88" s="264"/>
      <c r="AA88" s="264"/>
      <c r="AB88" s="264"/>
      <c r="AC88" s="264"/>
      <c r="AD88" s="264"/>
      <c r="AE88" s="264"/>
      <c r="AF88" s="264"/>
      <c r="AG88" s="264"/>
      <c r="AH88" s="264"/>
      <c r="AI88" s="206"/>
      <c r="AJ88" s="206"/>
    </row>
    <row r="89" hidden="1">
      <c r="A89" s="272" t="s">
        <v>826</v>
      </c>
      <c r="B89" s="264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64"/>
      <c r="AA89" s="264"/>
      <c r="AB89" s="264"/>
      <c r="AC89" s="264"/>
      <c r="AD89" s="264"/>
      <c r="AE89" s="264"/>
      <c r="AF89" s="264"/>
      <c r="AG89" s="264"/>
      <c r="AH89" s="264"/>
      <c r="AI89" s="206"/>
      <c r="AJ89" s="206"/>
    </row>
    <row r="90" hidden="1">
      <c r="A90" s="274" t="s">
        <v>680</v>
      </c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  <c r="AA90" s="264"/>
      <c r="AB90" s="264"/>
      <c r="AC90" s="264"/>
      <c r="AD90" s="264"/>
      <c r="AE90" s="264"/>
      <c r="AF90" s="264"/>
      <c r="AG90" s="264"/>
      <c r="AH90" s="264"/>
      <c r="AI90" s="206"/>
      <c r="AJ90" s="206"/>
    </row>
    <row r="91" hidden="1">
      <c r="A91" s="36" t="s">
        <v>911</v>
      </c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82"/>
      <c r="AF91" s="264"/>
      <c r="AG91" s="266">
        <v>70.0</v>
      </c>
      <c r="AH91" s="264"/>
      <c r="AI91" s="206"/>
      <c r="AJ91" s="206"/>
    </row>
    <row r="92" hidden="1">
      <c r="A92" s="20" t="s">
        <v>829</v>
      </c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8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06"/>
      <c r="AJ92" s="206"/>
    </row>
    <row r="93" hidden="1">
      <c r="A93" s="20" t="s">
        <v>830</v>
      </c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9"/>
      <c r="V93" s="264"/>
      <c r="W93" s="264"/>
      <c r="X93" s="264"/>
      <c r="Y93" s="264"/>
      <c r="Z93" s="264"/>
      <c r="AA93" s="264"/>
      <c r="AB93" s="264"/>
      <c r="AC93" s="264"/>
      <c r="AD93" s="264"/>
      <c r="AE93" s="264"/>
      <c r="AF93" s="264"/>
      <c r="AG93" s="264"/>
      <c r="AH93" s="264"/>
      <c r="AI93" s="206"/>
      <c r="AJ93" s="206"/>
    </row>
    <row r="94" hidden="1">
      <c r="A94" s="67" t="s">
        <v>871</v>
      </c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  <c r="AA94" s="264"/>
      <c r="AB94" s="268"/>
      <c r="AC94" s="264"/>
      <c r="AD94" s="264"/>
      <c r="AE94" s="264"/>
      <c r="AF94" s="264"/>
      <c r="AG94" s="264"/>
      <c r="AH94" s="264"/>
      <c r="AI94" s="206"/>
      <c r="AJ94" s="206"/>
    </row>
    <row r="95" hidden="1">
      <c r="A95" s="67" t="s">
        <v>872</v>
      </c>
      <c r="B95" s="264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  <c r="AA95" s="264"/>
      <c r="AB95" s="268"/>
      <c r="AC95" s="264"/>
      <c r="AD95" s="264"/>
      <c r="AE95" s="264"/>
      <c r="AF95" s="264"/>
      <c r="AG95" s="264"/>
      <c r="AH95" s="264"/>
      <c r="AI95" s="206"/>
      <c r="AJ95" s="206"/>
    </row>
    <row r="96" hidden="1">
      <c r="A96" s="67" t="s">
        <v>873</v>
      </c>
      <c r="B96" s="264"/>
      <c r="C96" s="275"/>
      <c r="D96" s="275"/>
      <c r="E96" s="275"/>
      <c r="F96" s="284"/>
      <c r="G96" s="275"/>
      <c r="H96" s="275"/>
      <c r="I96" s="284"/>
      <c r="J96" s="275"/>
      <c r="K96" s="275"/>
      <c r="L96" s="275"/>
      <c r="M96" s="264"/>
      <c r="N96" s="264"/>
      <c r="O96" s="264"/>
      <c r="P96" s="264"/>
      <c r="Q96" s="270"/>
      <c r="R96" s="264"/>
      <c r="S96" s="264"/>
      <c r="T96" s="264"/>
      <c r="U96" s="264"/>
      <c r="V96" s="264"/>
      <c r="W96" s="265"/>
      <c r="X96" s="265"/>
      <c r="Y96" s="265"/>
      <c r="Z96" s="265"/>
      <c r="AA96" s="264"/>
      <c r="AB96" s="268"/>
      <c r="AC96" s="264"/>
      <c r="AD96" s="264"/>
      <c r="AE96" s="264"/>
      <c r="AF96" s="264"/>
      <c r="AG96" s="264"/>
      <c r="AH96" s="264"/>
      <c r="AI96" s="206"/>
      <c r="AJ96" s="206"/>
    </row>
    <row r="97" hidden="1">
      <c r="A97" s="20" t="s">
        <v>837</v>
      </c>
      <c r="B97" s="264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06"/>
      <c r="AJ97" s="206"/>
    </row>
    <row r="98" hidden="1">
      <c r="A98" s="20" t="s">
        <v>12</v>
      </c>
      <c r="B98" s="264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83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06"/>
      <c r="AJ98" s="206"/>
    </row>
    <row r="99" hidden="1">
      <c r="A99" s="20" t="s">
        <v>838</v>
      </c>
      <c r="B99" s="264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6" t="s">
        <v>912</v>
      </c>
      <c r="Z99" s="264"/>
      <c r="AA99" s="264"/>
      <c r="AB99" s="264"/>
      <c r="AC99" s="264"/>
      <c r="AD99" s="264"/>
      <c r="AE99" s="264"/>
      <c r="AF99" s="264"/>
      <c r="AG99" s="264"/>
      <c r="AH99" s="264"/>
      <c r="AI99" s="206"/>
      <c r="AJ99" s="206"/>
    </row>
    <row r="100" hidden="1">
      <c r="A100" s="67" t="s">
        <v>822</v>
      </c>
      <c r="B100" s="77"/>
      <c r="C100" s="285"/>
      <c r="D100" s="285"/>
      <c r="E100" s="285"/>
      <c r="F100" s="112"/>
      <c r="G100" s="112"/>
      <c r="H100" s="112"/>
      <c r="I100" s="285"/>
      <c r="J100" s="112"/>
      <c r="K100" s="285"/>
      <c r="L100" s="112"/>
      <c r="M100" s="77"/>
      <c r="N100" s="77"/>
      <c r="O100" s="77"/>
      <c r="P100" s="77"/>
      <c r="Q100" s="241">
        <v>140.0</v>
      </c>
      <c r="R100" s="241" t="s">
        <v>913</v>
      </c>
      <c r="S100" s="241">
        <v>70.0</v>
      </c>
      <c r="T100" s="77"/>
      <c r="U100" s="77"/>
      <c r="V100" s="77"/>
      <c r="W100" s="77"/>
      <c r="X100" s="241">
        <v>140.0</v>
      </c>
      <c r="Y100" s="77"/>
      <c r="Z100" s="286"/>
      <c r="AA100" s="77"/>
      <c r="AB100" s="77"/>
      <c r="AC100" s="77"/>
      <c r="AD100" s="285"/>
      <c r="AE100" s="285"/>
      <c r="AF100" s="77"/>
      <c r="AG100" s="285"/>
      <c r="AH100" s="77"/>
    </row>
    <row r="101" hidden="1">
      <c r="A101" s="67" t="s">
        <v>677</v>
      </c>
      <c r="B101" s="77"/>
      <c r="C101" s="285"/>
      <c r="D101" s="285"/>
      <c r="E101" s="285"/>
      <c r="F101" s="112"/>
      <c r="G101" s="112"/>
      <c r="H101" s="112"/>
      <c r="I101" s="285"/>
      <c r="J101" s="112"/>
      <c r="K101" s="285"/>
      <c r="L101" s="112"/>
      <c r="M101" s="77"/>
      <c r="N101" s="77"/>
      <c r="O101" s="77"/>
      <c r="P101" s="77"/>
      <c r="Q101" s="241">
        <v>140.0</v>
      </c>
      <c r="R101" s="241" t="s">
        <v>913</v>
      </c>
      <c r="S101" s="241">
        <v>70.0</v>
      </c>
      <c r="T101" s="77"/>
      <c r="U101" s="77"/>
      <c r="V101" s="77"/>
      <c r="W101" s="77"/>
      <c r="X101" s="241">
        <v>140.0</v>
      </c>
      <c r="Y101" s="77"/>
      <c r="Z101" s="226"/>
      <c r="AA101" s="77"/>
      <c r="AB101" s="77"/>
      <c r="AC101" s="77"/>
      <c r="AD101" s="241">
        <v>70.0</v>
      </c>
      <c r="AE101" s="241">
        <v>140.0</v>
      </c>
      <c r="AF101" s="77"/>
      <c r="AG101" s="241">
        <v>70.0</v>
      </c>
      <c r="AH101" s="77"/>
    </row>
    <row r="102" hidden="1">
      <c r="A102" s="67" t="s">
        <v>875</v>
      </c>
      <c r="B102" s="77"/>
      <c r="C102" s="285"/>
      <c r="D102" s="285"/>
      <c r="E102" s="285"/>
      <c r="F102" s="112"/>
      <c r="G102" s="112"/>
      <c r="H102" s="112"/>
      <c r="I102" s="285"/>
      <c r="J102" s="112"/>
      <c r="K102" s="285"/>
      <c r="L102" s="112"/>
      <c r="M102" s="77"/>
      <c r="N102" s="77"/>
      <c r="O102" s="77"/>
      <c r="P102" s="77"/>
      <c r="Q102" s="241">
        <v>140.0</v>
      </c>
      <c r="R102" s="241" t="s">
        <v>913</v>
      </c>
      <c r="S102" s="241">
        <v>70.0</v>
      </c>
      <c r="T102" s="77"/>
      <c r="U102" s="77"/>
      <c r="V102" s="77"/>
      <c r="W102" s="77"/>
      <c r="X102" s="241">
        <v>140.0</v>
      </c>
      <c r="Y102" s="77"/>
      <c r="Z102" s="226"/>
      <c r="AA102" s="77"/>
      <c r="AB102" s="77"/>
      <c r="AC102" s="77"/>
      <c r="AD102" s="241">
        <v>70.0</v>
      </c>
      <c r="AE102" s="285"/>
      <c r="AF102" s="77"/>
      <c r="AG102" s="285"/>
      <c r="AH102" s="77"/>
    </row>
    <row r="103" hidden="1">
      <c r="A103" s="67" t="s">
        <v>263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Q103" s="276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</row>
    <row r="104" hidden="1">
      <c r="A104" s="67" t="s">
        <v>914</v>
      </c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241">
        <v>140.0</v>
      </c>
      <c r="Q104" s="241">
        <v>140.0</v>
      </c>
      <c r="R104" s="241">
        <v>70.0</v>
      </c>
      <c r="S104" s="77"/>
      <c r="T104" s="77"/>
      <c r="U104" s="77"/>
      <c r="V104" s="77"/>
      <c r="W104" s="241">
        <v>140.0</v>
      </c>
      <c r="X104" s="77"/>
      <c r="Y104" s="77"/>
      <c r="Z104" s="77"/>
      <c r="AA104" s="241">
        <v>100.0</v>
      </c>
      <c r="AB104" s="77"/>
      <c r="AC104" s="77"/>
      <c r="AD104" s="77"/>
      <c r="AE104" s="241">
        <v>140.0</v>
      </c>
      <c r="AF104" s="77"/>
      <c r="AG104" s="77"/>
      <c r="AH104" s="77"/>
    </row>
    <row r="105" hidden="1"/>
    <row r="106" hidden="1"/>
    <row r="107" hidden="1">
      <c r="A107" s="251" t="s">
        <v>788</v>
      </c>
      <c r="B107" s="252" t="s">
        <v>25</v>
      </c>
      <c r="C107" s="253" t="s">
        <v>789</v>
      </c>
      <c r="D107" s="253" t="s">
        <v>27</v>
      </c>
      <c r="E107" s="253" t="s">
        <v>2</v>
      </c>
      <c r="F107" s="253" t="s">
        <v>3</v>
      </c>
      <c r="G107" s="254" t="s">
        <v>790</v>
      </c>
      <c r="H107" s="255"/>
      <c r="I107" s="253" t="s">
        <v>25</v>
      </c>
      <c r="J107" s="253" t="s">
        <v>789</v>
      </c>
      <c r="K107" s="253" t="s">
        <v>27</v>
      </c>
      <c r="L107" s="253" t="s">
        <v>2</v>
      </c>
      <c r="M107" s="253" t="s">
        <v>3</v>
      </c>
      <c r="N107" s="287" t="s">
        <v>790</v>
      </c>
      <c r="O107" s="255"/>
      <c r="P107" s="253" t="s">
        <v>25</v>
      </c>
      <c r="Q107" s="256" t="s">
        <v>789</v>
      </c>
      <c r="R107" s="253" t="s">
        <v>27</v>
      </c>
      <c r="S107" s="253" t="s">
        <v>2</v>
      </c>
      <c r="T107" s="253" t="s">
        <v>3</v>
      </c>
      <c r="U107" s="254" t="s">
        <v>790</v>
      </c>
      <c r="V107" s="255"/>
      <c r="W107" s="253" t="s">
        <v>25</v>
      </c>
      <c r="X107" s="256" t="s">
        <v>789</v>
      </c>
      <c r="Y107" s="253" t="s">
        <v>27</v>
      </c>
      <c r="Z107" s="253" t="s">
        <v>2</v>
      </c>
      <c r="AA107" s="253" t="s">
        <v>3</v>
      </c>
      <c r="AB107" s="257" t="s">
        <v>790</v>
      </c>
      <c r="AC107" s="277"/>
      <c r="AD107" s="278"/>
      <c r="AE107" s="279"/>
      <c r="AF107" s="278"/>
      <c r="AG107" s="278"/>
      <c r="AH107" s="278" t="s">
        <v>3</v>
      </c>
      <c r="AI107" s="254"/>
      <c r="AJ107" s="258"/>
    </row>
    <row r="108" hidden="1">
      <c r="A108" s="206"/>
      <c r="B108" s="260" t="s">
        <v>915</v>
      </c>
      <c r="C108" s="260" t="s">
        <v>916</v>
      </c>
      <c r="D108" s="260" t="s">
        <v>917</v>
      </c>
      <c r="E108" s="260" t="s">
        <v>918</v>
      </c>
      <c r="F108" s="260" t="s">
        <v>919</v>
      </c>
      <c r="G108" s="260"/>
      <c r="H108" s="260"/>
      <c r="I108" s="260"/>
      <c r="J108" s="260" t="s">
        <v>920</v>
      </c>
      <c r="K108" s="260" t="s">
        <v>921</v>
      </c>
      <c r="L108" s="260" t="s">
        <v>922</v>
      </c>
      <c r="M108" s="260" t="s">
        <v>923</v>
      </c>
      <c r="N108" s="260" t="s">
        <v>924</v>
      </c>
      <c r="O108" s="260"/>
      <c r="P108" s="260" t="s">
        <v>925</v>
      </c>
      <c r="Q108" s="260" t="s">
        <v>926</v>
      </c>
      <c r="R108" s="260" t="s">
        <v>927</v>
      </c>
      <c r="S108" s="260" t="s">
        <v>928</v>
      </c>
      <c r="T108" s="260" t="s">
        <v>929</v>
      </c>
      <c r="U108" s="260" t="s">
        <v>930</v>
      </c>
      <c r="V108" s="260"/>
      <c r="W108" s="260" t="s">
        <v>931</v>
      </c>
      <c r="X108" s="260" t="s">
        <v>932</v>
      </c>
      <c r="Y108" s="260" t="s">
        <v>933</v>
      </c>
      <c r="Z108" s="260" t="s">
        <v>934</v>
      </c>
      <c r="AA108" s="260" t="s">
        <v>935</v>
      </c>
      <c r="AB108" s="260"/>
      <c r="AC108" s="260"/>
      <c r="AD108" s="280"/>
      <c r="AE108" s="280"/>
      <c r="AF108" s="280"/>
      <c r="AG108" s="280"/>
      <c r="AH108" s="280"/>
      <c r="AI108" s="262"/>
      <c r="AJ108" s="262"/>
    </row>
    <row r="109" hidden="1">
      <c r="A109" s="263" t="s">
        <v>816</v>
      </c>
      <c r="B109" s="275"/>
      <c r="C109" s="266">
        <v>70.0</v>
      </c>
      <c r="D109" s="266">
        <v>140.0</v>
      </c>
      <c r="E109" s="266">
        <v>70.0</v>
      </c>
      <c r="F109" s="275"/>
      <c r="G109" s="275"/>
      <c r="H109" s="275"/>
      <c r="I109" s="275"/>
      <c r="J109" s="266">
        <v>140.0</v>
      </c>
      <c r="K109" s="275"/>
      <c r="L109" s="275"/>
      <c r="M109" s="281"/>
      <c r="N109" s="275"/>
      <c r="O109" s="275"/>
      <c r="P109" s="282"/>
      <c r="Q109" s="288"/>
      <c r="R109" s="289">
        <v>140.0</v>
      </c>
      <c r="S109" s="288"/>
      <c r="T109" s="275"/>
      <c r="U109" s="275"/>
      <c r="V109" s="275"/>
      <c r="W109" s="282"/>
      <c r="X109" s="282"/>
      <c r="Y109" s="275"/>
      <c r="Z109" s="281"/>
      <c r="AA109" s="282"/>
      <c r="AB109" s="275"/>
      <c r="AC109" s="275"/>
      <c r="AD109" s="282"/>
      <c r="AE109" s="282"/>
      <c r="AF109" s="275"/>
      <c r="AG109" s="275"/>
      <c r="AH109" s="275"/>
      <c r="AI109" s="206"/>
      <c r="AJ109" s="206"/>
    </row>
    <row r="110" hidden="1">
      <c r="A110" s="11" t="s">
        <v>817</v>
      </c>
      <c r="B110" s="275"/>
      <c r="C110" s="266">
        <v>70.0</v>
      </c>
      <c r="D110" s="266">
        <v>140.0</v>
      </c>
      <c r="E110" s="266">
        <v>70.0</v>
      </c>
      <c r="F110" s="275"/>
      <c r="G110" s="275"/>
      <c r="H110" s="275"/>
      <c r="I110" s="275"/>
      <c r="J110" s="266">
        <v>140.0</v>
      </c>
      <c r="K110" s="275"/>
      <c r="L110" s="275"/>
      <c r="M110" s="281"/>
      <c r="N110" s="275"/>
      <c r="O110" s="275"/>
      <c r="P110" s="282"/>
      <c r="Q110" s="288"/>
      <c r="R110" s="289">
        <v>140.0</v>
      </c>
      <c r="S110" s="288"/>
      <c r="T110" s="275"/>
      <c r="U110" s="275"/>
      <c r="V110" s="275"/>
      <c r="W110" s="290">
        <v>70.0</v>
      </c>
      <c r="X110" s="289">
        <v>70.0</v>
      </c>
      <c r="Y110" s="275"/>
      <c r="Z110" s="281"/>
      <c r="AA110" s="282"/>
      <c r="AB110" s="275"/>
      <c r="AC110" s="275"/>
      <c r="AD110" s="282"/>
      <c r="AE110" s="282"/>
      <c r="AF110" s="275"/>
      <c r="AG110" s="275"/>
      <c r="AH110" s="275"/>
      <c r="AI110" s="206"/>
      <c r="AJ110" s="206"/>
    </row>
    <row r="111" hidden="1">
      <c r="A111" s="17" t="s">
        <v>44</v>
      </c>
      <c r="B111" s="275"/>
      <c r="C111" s="266">
        <v>70.0</v>
      </c>
      <c r="D111" s="266">
        <v>140.0</v>
      </c>
      <c r="E111" s="266">
        <v>70.0</v>
      </c>
      <c r="F111" s="275"/>
      <c r="G111" s="275"/>
      <c r="H111" s="275"/>
      <c r="I111" s="275"/>
      <c r="J111" s="266">
        <v>140.0</v>
      </c>
      <c r="K111" s="275"/>
      <c r="L111" s="275"/>
      <c r="M111" s="281"/>
      <c r="N111" s="275"/>
      <c r="O111" s="275"/>
      <c r="P111" s="282"/>
      <c r="Q111" s="288"/>
      <c r="R111" s="282"/>
      <c r="S111" s="288"/>
      <c r="T111" s="275"/>
      <c r="U111" s="275"/>
      <c r="V111" s="275"/>
      <c r="W111" s="290">
        <v>70.0</v>
      </c>
      <c r="X111" s="289">
        <v>70.0</v>
      </c>
      <c r="Y111" s="275"/>
      <c r="Z111" s="281"/>
      <c r="AA111" s="282"/>
      <c r="AB111" s="275"/>
      <c r="AC111" s="275"/>
      <c r="AD111" s="282"/>
      <c r="AE111" s="282"/>
      <c r="AF111" s="275"/>
      <c r="AG111" s="275"/>
      <c r="AH111" s="275"/>
      <c r="AI111" s="206"/>
      <c r="AJ111" s="206"/>
    </row>
    <row r="112" hidden="1">
      <c r="A112" s="11" t="s">
        <v>310</v>
      </c>
      <c r="B112" s="266">
        <v>140.0</v>
      </c>
      <c r="C112" s="282"/>
      <c r="D112" s="266" t="s">
        <v>936</v>
      </c>
      <c r="E112" s="275"/>
      <c r="F112" s="275"/>
      <c r="G112" s="275"/>
      <c r="H112" s="275"/>
      <c r="I112" s="282"/>
      <c r="J112" s="266">
        <v>140.0</v>
      </c>
      <c r="K112" s="282"/>
      <c r="L112" s="266">
        <v>140.0</v>
      </c>
      <c r="M112" s="275"/>
      <c r="N112" s="275"/>
      <c r="O112" s="275"/>
      <c r="P112" s="291" t="s">
        <v>910</v>
      </c>
      <c r="Q112" s="291" t="s">
        <v>910</v>
      </c>
      <c r="R112" s="291">
        <v>60.0</v>
      </c>
      <c r="S112" s="291" t="s">
        <v>937</v>
      </c>
      <c r="T112" s="275"/>
      <c r="U112" s="275"/>
      <c r="V112" s="275"/>
      <c r="W112" s="282"/>
      <c r="X112" s="282"/>
      <c r="Y112" s="282"/>
      <c r="Z112" s="288"/>
      <c r="AA112" s="275"/>
      <c r="AB112" s="275"/>
      <c r="AC112" s="275"/>
      <c r="AD112" s="282"/>
      <c r="AE112" s="275"/>
      <c r="AF112" s="275"/>
      <c r="AG112" s="275"/>
      <c r="AH112" s="275"/>
      <c r="AI112" s="206"/>
      <c r="AJ112" s="206"/>
    </row>
    <row r="113" hidden="1">
      <c r="A113" s="11" t="s">
        <v>819</v>
      </c>
      <c r="B113" s="266">
        <v>140.0</v>
      </c>
      <c r="C113" s="282"/>
      <c r="D113" s="266" t="s">
        <v>936</v>
      </c>
      <c r="E113" s="275"/>
      <c r="F113" s="275"/>
      <c r="G113" s="275"/>
      <c r="H113" s="275"/>
      <c r="I113" s="282"/>
      <c r="J113" s="266">
        <v>140.0</v>
      </c>
      <c r="K113" s="282"/>
      <c r="L113" s="266">
        <v>140.0</v>
      </c>
      <c r="M113" s="275"/>
      <c r="N113" s="275"/>
      <c r="O113" s="275"/>
      <c r="P113" s="291" t="s">
        <v>910</v>
      </c>
      <c r="Q113" s="291" t="s">
        <v>910</v>
      </c>
      <c r="R113" s="291">
        <v>60.0</v>
      </c>
      <c r="S113" s="291" t="s">
        <v>937</v>
      </c>
      <c r="T113" s="275"/>
      <c r="U113" s="275"/>
      <c r="V113" s="275"/>
      <c r="W113" s="282"/>
      <c r="X113" s="282"/>
      <c r="Y113" s="282"/>
      <c r="Z113" s="290">
        <v>140.0</v>
      </c>
      <c r="AA113" s="290">
        <v>70.0</v>
      </c>
      <c r="AB113" s="275"/>
      <c r="AC113" s="275"/>
      <c r="AD113" s="282"/>
      <c r="AE113" s="275"/>
      <c r="AF113" s="275"/>
      <c r="AG113" s="275"/>
      <c r="AH113" s="275"/>
      <c r="AI113" s="206"/>
      <c r="AJ113" s="206"/>
    </row>
    <row r="114" hidden="1">
      <c r="A114" s="17" t="s">
        <v>938</v>
      </c>
      <c r="B114" s="266">
        <v>140.0</v>
      </c>
      <c r="C114" s="282"/>
      <c r="D114" s="266" t="s">
        <v>936</v>
      </c>
      <c r="E114" s="275"/>
      <c r="F114" s="275"/>
      <c r="G114" s="275"/>
      <c r="H114" s="275"/>
      <c r="I114" s="282"/>
      <c r="J114" s="266">
        <v>140.0</v>
      </c>
      <c r="K114" s="282"/>
      <c r="L114" s="266">
        <v>140.0</v>
      </c>
      <c r="M114" s="275"/>
      <c r="N114" s="275"/>
      <c r="O114" s="275"/>
      <c r="P114" s="289">
        <v>60.0</v>
      </c>
      <c r="Q114" s="289">
        <v>60.0</v>
      </c>
      <c r="R114" s="289">
        <v>60.0</v>
      </c>
      <c r="S114" s="289">
        <v>60.0</v>
      </c>
      <c r="T114" s="275"/>
      <c r="U114" s="275"/>
      <c r="V114" s="275"/>
      <c r="W114" s="282"/>
      <c r="X114" s="282"/>
      <c r="Y114" s="282"/>
      <c r="Z114" s="289">
        <v>140.0</v>
      </c>
      <c r="AA114" s="289">
        <v>70.0</v>
      </c>
      <c r="AB114" s="275"/>
      <c r="AC114" s="275"/>
      <c r="AD114" s="282"/>
      <c r="AE114" s="275"/>
      <c r="AF114" s="275"/>
      <c r="AG114" s="275"/>
      <c r="AH114" s="275"/>
      <c r="AI114" s="206"/>
      <c r="AJ114" s="206"/>
    </row>
    <row r="115" hidden="1">
      <c r="A115" s="17" t="s">
        <v>735</v>
      </c>
      <c r="B115" s="282"/>
      <c r="C115" s="282"/>
      <c r="D115" s="282"/>
      <c r="E115" s="275"/>
      <c r="F115" s="275"/>
      <c r="G115" s="275"/>
      <c r="H115" s="275"/>
      <c r="I115" s="282"/>
      <c r="J115" s="290">
        <v>70.0</v>
      </c>
      <c r="K115" s="290">
        <v>70.0</v>
      </c>
      <c r="L115" s="290">
        <v>70.0</v>
      </c>
      <c r="M115" s="290">
        <v>70.0</v>
      </c>
      <c r="N115" s="275"/>
      <c r="O115" s="275"/>
      <c r="P115" s="282"/>
      <c r="Q115" s="282"/>
      <c r="R115" s="282"/>
      <c r="S115" s="282"/>
      <c r="T115" s="275"/>
      <c r="U115" s="275"/>
      <c r="V115" s="275"/>
      <c r="W115" s="282"/>
      <c r="X115" s="282"/>
      <c r="Y115" s="282"/>
      <c r="Z115" s="290">
        <v>200.0</v>
      </c>
      <c r="AA115" s="275"/>
      <c r="AB115" s="275"/>
      <c r="AC115" s="275"/>
      <c r="AD115" s="282"/>
      <c r="AE115" s="275"/>
      <c r="AF115" s="275"/>
      <c r="AG115" s="275"/>
      <c r="AH115" s="275"/>
      <c r="AI115" s="206"/>
      <c r="AJ115" s="206"/>
    </row>
    <row r="116" hidden="1">
      <c r="A116" s="17" t="s">
        <v>866</v>
      </c>
      <c r="B116" s="275"/>
      <c r="C116" s="275"/>
      <c r="D116" s="275"/>
      <c r="E116" s="275"/>
      <c r="F116" s="275"/>
      <c r="G116" s="275"/>
      <c r="H116" s="275"/>
      <c r="I116" s="275"/>
      <c r="J116" s="290">
        <v>70.0</v>
      </c>
      <c r="K116" s="290">
        <v>70.0</v>
      </c>
      <c r="L116" s="290">
        <v>70.0</v>
      </c>
      <c r="M116" s="290">
        <v>70.0</v>
      </c>
      <c r="N116" s="275"/>
      <c r="O116" s="275"/>
      <c r="P116" s="282"/>
      <c r="Q116" s="288"/>
      <c r="R116" s="282"/>
      <c r="S116" s="288"/>
      <c r="T116" s="275"/>
      <c r="U116" s="275"/>
      <c r="V116" s="275"/>
      <c r="W116" s="275"/>
      <c r="X116" s="275"/>
      <c r="Y116" s="288"/>
      <c r="Z116" s="290">
        <v>200.0</v>
      </c>
      <c r="AA116" s="275"/>
      <c r="AB116" s="275"/>
      <c r="AC116" s="275"/>
      <c r="AD116" s="282"/>
      <c r="AE116" s="288"/>
      <c r="AF116" s="282"/>
      <c r="AG116" s="288"/>
      <c r="AH116" s="275"/>
      <c r="AI116" s="206"/>
      <c r="AJ116" s="206"/>
    </row>
    <row r="117" hidden="1">
      <c r="A117" s="17" t="s">
        <v>867</v>
      </c>
      <c r="B117" s="275"/>
      <c r="C117" s="275"/>
      <c r="D117" s="275"/>
      <c r="E117" s="275"/>
      <c r="F117" s="275"/>
      <c r="G117" s="275"/>
      <c r="H117" s="275"/>
      <c r="I117" s="275"/>
      <c r="J117" s="290">
        <v>70.0</v>
      </c>
      <c r="K117" s="290">
        <v>70.0</v>
      </c>
      <c r="L117" s="290">
        <v>70.0</v>
      </c>
      <c r="M117" s="290">
        <v>70.0</v>
      </c>
      <c r="N117" s="275"/>
      <c r="O117" s="275"/>
      <c r="P117" s="282"/>
      <c r="Q117" s="288"/>
      <c r="R117" s="282"/>
      <c r="S117" s="288"/>
      <c r="T117" s="275"/>
      <c r="U117" s="275"/>
      <c r="V117" s="275"/>
      <c r="W117" s="275"/>
      <c r="X117" s="275"/>
      <c r="Y117" s="288"/>
      <c r="Z117" s="290">
        <v>200.0</v>
      </c>
      <c r="AA117" s="275"/>
      <c r="AB117" s="275"/>
      <c r="AC117" s="275"/>
      <c r="AD117" s="282"/>
      <c r="AE117" s="288"/>
      <c r="AF117" s="282"/>
      <c r="AG117" s="288"/>
      <c r="AH117" s="275"/>
      <c r="AI117" s="206"/>
      <c r="AJ117" s="206"/>
    </row>
    <row r="118" hidden="1">
      <c r="A118" s="17" t="s">
        <v>818</v>
      </c>
      <c r="B118" s="266">
        <v>70.0</v>
      </c>
      <c r="C118" s="241">
        <v>140.0</v>
      </c>
      <c r="D118" s="282"/>
      <c r="E118" s="275"/>
      <c r="F118" s="275"/>
      <c r="G118" s="282"/>
      <c r="H118" s="275"/>
      <c r="I118" s="282"/>
      <c r="J118" s="282"/>
      <c r="K118" s="266">
        <v>70.0</v>
      </c>
      <c r="L118" s="282"/>
      <c r="M118" s="275"/>
      <c r="N118" s="275"/>
      <c r="O118" s="275"/>
      <c r="P118" s="282"/>
      <c r="Q118" s="282"/>
      <c r="R118" s="282"/>
      <c r="S118" s="281"/>
      <c r="T118" s="282"/>
      <c r="U118" s="275"/>
      <c r="V118" s="275"/>
      <c r="W118" s="290">
        <v>140.0</v>
      </c>
      <c r="X118" s="290">
        <v>70.0</v>
      </c>
      <c r="Y118" s="290">
        <v>140.0</v>
      </c>
      <c r="Z118" s="290">
        <v>70.0</v>
      </c>
      <c r="AA118" s="275"/>
      <c r="AB118" s="275"/>
      <c r="AC118" s="275"/>
      <c r="AD118" s="275"/>
      <c r="AE118" s="282"/>
      <c r="AF118" s="282"/>
      <c r="AG118" s="288"/>
      <c r="AH118" s="282"/>
      <c r="AI118" s="206"/>
      <c r="AJ118" s="206"/>
    </row>
    <row r="119" hidden="1">
      <c r="A119" s="17" t="s">
        <v>827</v>
      </c>
      <c r="B119" s="266">
        <v>70.0</v>
      </c>
      <c r="C119" s="241">
        <v>140.0</v>
      </c>
      <c r="D119" s="282"/>
      <c r="E119" s="275"/>
      <c r="F119" s="275"/>
      <c r="G119" s="282"/>
      <c r="H119" s="275"/>
      <c r="I119" s="282"/>
      <c r="J119" s="282"/>
      <c r="K119" s="266">
        <v>70.0</v>
      </c>
      <c r="L119" s="282"/>
      <c r="M119" s="275"/>
      <c r="N119" s="275"/>
      <c r="O119" s="275"/>
      <c r="P119" s="282"/>
      <c r="Q119" s="282"/>
      <c r="R119" s="282"/>
      <c r="S119" s="281"/>
      <c r="T119" s="282"/>
      <c r="U119" s="275"/>
      <c r="V119" s="275"/>
      <c r="W119" s="290">
        <v>140.0</v>
      </c>
      <c r="X119" s="290">
        <v>70.0</v>
      </c>
      <c r="Y119" s="290">
        <v>140.0</v>
      </c>
      <c r="Z119" s="290">
        <v>70.0</v>
      </c>
      <c r="AA119" s="290">
        <v>180.0</v>
      </c>
      <c r="AB119" s="275"/>
      <c r="AC119" s="275"/>
      <c r="AD119" s="275"/>
      <c r="AE119" s="282"/>
      <c r="AF119" s="282"/>
      <c r="AG119" s="288"/>
      <c r="AH119" s="282"/>
      <c r="AI119" s="206"/>
      <c r="AJ119" s="206"/>
    </row>
    <row r="120" hidden="1">
      <c r="A120" s="20" t="s">
        <v>832</v>
      </c>
      <c r="B120" s="266">
        <v>70.0</v>
      </c>
      <c r="C120" s="266">
        <v>140.0</v>
      </c>
      <c r="D120" s="266">
        <v>140.0</v>
      </c>
      <c r="E120" s="275"/>
      <c r="F120" s="284"/>
      <c r="G120" s="275"/>
      <c r="H120" s="275"/>
      <c r="I120" s="284"/>
      <c r="J120" s="266">
        <v>140.0</v>
      </c>
      <c r="K120" s="282"/>
      <c r="L120" s="275"/>
      <c r="M120" s="275"/>
      <c r="N120" s="275"/>
      <c r="O120" s="275"/>
      <c r="P120" s="282"/>
      <c r="Q120" s="282"/>
      <c r="R120" s="290">
        <v>140.0</v>
      </c>
      <c r="S120" s="290">
        <v>70.0</v>
      </c>
      <c r="T120" s="275"/>
      <c r="U120" s="275"/>
      <c r="V120" s="275"/>
      <c r="W120" s="291">
        <v>70.0</v>
      </c>
      <c r="X120" s="288"/>
      <c r="Y120" s="288"/>
      <c r="Z120" s="291">
        <v>140.0</v>
      </c>
      <c r="AA120" s="290">
        <v>180.0</v>
      </c>
      <c r="AB120" s="275"/>
      <c r="AC120" s="275"/>
      <c r="AD120" s="282"/>
      <c r="AE120" s="288"/>
      <c r="AF120" s="282"/>
      <c r="AG120" s="288"/>
      <c r="AH120" s="275"/>
      <c r="AI120" s="206"/>
      <c r="AJ120" s="206"/>
    </row>
    <row r="121" hidden="1">
      <c r="A121" s="20" t="s">
        <v>835</v>
      </c>
      <c r="B121" s="266">
        <v>70.0</v>
      </c>
      <c r="C121" s="266">
        <v>140.0</v>
      </c>
      <c r="D121" s="266">
        <v>140.0</v>
      </c>
      <c r="E121" s="275"/>
      <c r="F121" s="284"/>
      <c r="G121" s="275"/>
      <c r="H121" s="275"/>
      <c r="I121" s="284"/>
      <c r="J121" s="266">
        <v>140.0</v>
      </c>
      <c r="K121" s="282"/>
      <c r="L121" s="275"/>
      <c r="M121" s="275"/>
      <c r="N121" s="275"/>
      <c r="O121" s="275"/>
      <c r="P121" s="282"/>
      <c r="Q121" s="282"/>
      <c r="R121" s="290">
        <v>140.0</v>
      </c>
      <c r="S121" s="290">
        <v>70.0</v>
      </c>
      <c r="T121" s="275"/>
      <c r="U121" s="275"/>
      <c r="V121" s="275"/>
      <c r="W121" s="291">
        <v>70.0</v>
      </c>
      <c r="X121" s="288"/>
      <c r="Y121" s="288"/>
      <c r="Z121" s="291">
        <v>140.0</v>
      </c>
      <c r="AA121" s="290">
        <v>180.0</v>
      </c>
      <c r="AB121" s="275"/>
      <c r="AC121" s="275"/>
      <c r="AD121" s="282"/>
      <c r="AE121" s="288"/>
      <c r="AF121" s="282"/>
      <c r="AG121" s="288"/>
      <c r="AH121" s="275"/>
      <c r="AI121" s="206"/>
      <c r="AJ121" s="206"/>
    </row>
    <row r="122" hidden="1">
      <c r="A122" s="20" t="s">
        <v>836</v>
      </c>
      <c r="B122" s="266">
        <v>70.0</v>
      </c>
      <c r="C122" s="266">
        <v>140.0</v>
      </c>
      <c r="D122" s="266">
        <v>140.0</v>
      </c>
      <c r="E122" s="275"/>
      <c r="F122" s="284"/>
      <c r="G122" s="275"/>
      <c r="H122" s="275"/>
      <c r="I122" s="284"/>
      <c r="J122" s="266">
        <v>140.0</v>
      </c>
      <c r="K122" s="282"/>
      <c r="L122" s="275"/>
      <c r="M122" s="275"/>
      <c r="N122" s="275"/>
      <c r="O122" s="275"/>
      <c r="P122" s="282"/>
      <c r="Q122" s="282"/>
      <c r="R122" s="290">
        <v>140.0</v>
      </c>
      <c r="S122" s="290">
        <v>70.0</v>
      </c>
      <c r="T122" s="275"/>
      <c r="U122" s="275"/>
      <c r="V122" s="275"/>
      <c r="W122" s="291">
        <v>70.0</v>
      </c>
      <c r="X122" s="288"/>
      <c r="Y122" s="288"/>
      <c r="Z122" s="291">
        <v>140.0</v>
      </c>
      <c r="AA122" s="290">
        <v>180.0</v>
      </c>
      <c r="AB122" s="275"/>
      <c r="AC122" s="275"/>
      <c r="AD122" s="282"/>
      <c r="AE122" s="288"/>
      <c r="AF122" s="282"/>
      <c r="AG122" s="288"/>
      <c r="AH122" s="275"/>
      <c r="AI122" s="206"/>
      <c r="AJ122" s="206"/>
    </row>
    <row r="123" hidden="1">
      <c r="A123" s="272" t="s">
        <v>824</v>
      </c>
      <c r="B123" s="266" t="s">
        <v>939</v>
      </c>
      <c r="C123" s="266">
        <v>70.0</v>
      </c>
      <c r="D123" s="275"/>
      <c r="E123" s="266">
        <v>70.0</v>
      </c>
      <c r="F123" s="275"/>
      <c r="G123" s="275"/>
      <c r="H123" s="275"/>
      <c r="I123" s="282"/>
      <c r="J123" s="266">
        <v>140.0</v>
      </c>
      <c r="K123" s="282"/>
      <c r="L123" s="266">
        <v>140.0</v>
      </c>
      <c r="M123" s="275"/>
      <c r="N123" s="275"/>
      <c r="O123" s="275"/>
      <c r="P123" s="290" t="s">
        <v>940</v>
      </c>
      <c r="Q123" s="290" t="s">
        <v>941</v>
      </c>
      <c r="R123" s="290">
        <v>60.0</v>
      </c>
      <c r="S123" s="290">
        <v>60.0</v>
      </c>
      <c r="T123" s="112"/>
      <c r="U123" s="275"/>
      <c r="V123" s="275"/>
      <c r="W123" s="288"/>
      <c r="X123" s="292"/>
      <c r="Y123" s="293">
        <v>140.0</v>
      </c>
      <c r="Z123" s="290">
        <v>140.0</v>
      </c>
      <c r="AA123" s="275"/>
      <c r="AB123" s="275"/>
      <c r="AC123" s="275"/>
      <c r="AD123" s="275"/>
      <c r="AE123" s="282"/>
      <c r="AF123" s="275"/>
      <c r="AG123" s="275"/>
      <c r="AH123" s="282"/>
      <c r="AI123" s="206"/>
      <c r="AJ123" s="206"/>
    </row>
    <row r="124" hidden="1">
      <c r="A124" s="67" t="s">
        <v>869</v>
      </c>
      <c r="B124" s="266" t="s">
        <v>939</v>
      </c>
      <c r="C124" s="266">
        <v>70.0</v>
      </c>
      <c r="D124" s="275"/>
      <c r="E124" s="266">
        <v>70.0</v>
      </c>
      <c r="F124" s="275"/>
      <c r="G124" s="275"/>
      <c r="H124" s="275"/>
      <c r="I124" s="282"/>
      <c r="J124" s="266">
        <v>140.0</v>
      </c>
      <c r="K124" s="282"/>
      <c r="L124" s="266">
        <v>140.0</v>
      </c>
      <c r="M124" s="275"/>
      <c r="N124" s="275"/>
      <c r="O124" s="275"/>
      <c r="P124" s="290" t="s">
        <v>942</v>
      </c>
      <c r="Q124" s="290" t="s">
        <v>941</v>
      </c>
      <c r="R124" s="290">
        <v>60.0</v>
      </c>
      <c r="S124" s="290">
        <v>60.0</v>
      </c>
      <c r="T124" s="112"/>
      <c r="U124" s="275"/>
      <c r="V124" s="275"/>
      <c r="W124" s="282"/>
      <c r="X124" s="288"/>
      <c r="Y124" s="291">
        <v>140.0</v>
      </c>
      <c r="Z124" s="290">
        <v>140.0</v>
      </c>
      <c r="AA124" s="275"/>
      <c r="AB124" s="275"/>
      <c r="AC124" s="275"/>
      <c r="AD124" s="275"/>
      <c r="AE124" s="275"/>
      <c r="AF124" s="275"/>
      <c r="AG124" s="275"/>
      <c r="AH124" s="282"/>
      <c r="AI124" s="206"/>
      <c r="AJ124" s="206"/>
    </row>
    <row r="125" hidden="1">
      <c r="A125" s="67" t="s">
        <v>870</v>
      </c>
      <c r="B125" s="266" t="s">
        <v>939</v>
      </c>
      <c r="C125" s="266">
        <v>70.0</v>
      </c>
      <c r="D125" s="275"/>
      <c r="E125" s="266">
        <v>70.0</v>
      </c>
      <c r="F125" s="275"/>
      <c r="G125" s="275"/>
      <c r="H125" s="275"/>
      <c r="I125" s="282"/>
      <c r="J125" s="266">
        <v>140.0</v>
      </c>
      <c r="K125" s="282"/>
      <c r="L125" s="266">
        <v>140.0</v>
      </c>
      <c r="M125" s="275"/>
      <c r="N125" s="275"/>
      <c r="O125" s="275"/>
      <c r="P125" s="290" t="s">
        <v>943</v>
      </c>
      <c r="Q125" s="290" t="s">
        <v>941</v>
      </c>
      <c r="R125" s="290">
        <v>60.0</v>
      </c>
      <c r="S125" s="290">
        <v>60.0</v>
      </c>
      <c r="T125" s="112"/>
      <c r="U125" s="275"/>
      <c r="V125" s="275"/>
      <c r="W125" s="282"/>
      <c r="X125" s="288"/>
      <c r="Y125" s="291">
        <v>140.0</v>
      </c>
      <c r="Z125" s="290">
        <v>140.0</v>
      </c>
      <c r="AA125" s="275"/>
      <c r="AB125" s="275"/>
      <c r="AC125" s="275"/>
      <c r="AD125" s="275"/>
      <c r="AE125" s="275"/>
      <c r="AF125" s="275"/>
      <c r="AG125" s="275"/>
      <c r="AH125" s="282"/>
      <c r="AI125" s="206"/>
      <c r="AJ125" s="206"/>
    </row>
    <row r="126" hidden="1">
      <c r="A126" s="272" t="s">
        <v>825</v>
      </c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  <c r="AB126" s="275"/>
      <c r="AC126" s="275"/>
      <c r="AD126" s="275"/>
      <c r="AE126" s="275"/>
      <c r="AF126" s="275"/>
      <c r="AG126" s="275"/>
      <c r="AH126" s="275"/>
      <c r="AI126" s="206"/>
      <c r="AJ126" s="206"/>
    </row>
    <row r="127" hidden="1">
      <c r="A127" s="272" t="s">
        <v>826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  <c r="AB127" s="275"/>
      <c r="AC127" s="275"/>
      <c r="AD127" s="275"/>
      <c r="AE127" s="275"/>
      <c r="AF127" s="275"/>
      <c r="AG127" s="275"/>
      <c r="AH127" s="275"/>
      <c r="AI127" s="206"/>
      <c r="AJ127" s="206"/>
    </row>
    <row r="128" hidden="1">
      <c r="A128" s="274" t="s">
        <v>680</v>
      </c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  <c r="AB128" s="275"/>
      <c r="AC128" s="275"/>
      <c r="AD128" s="275"/>
      <c r="AE128" s="275"/>
      <c r="AF128" s="275"/>
      <c r="AG128" s="275"/>
      <c r="AH128" s="275"/>
      <c r="AI128" s="206"/>
      <c r="AJ128" s="206"/>
    </row>
    <row r="129" hidden="1">
      <c r="A129" s="274" t="s">
        <v>828</v>
      </c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  <c r="AB129" s="275"/>
      <c r="AC129" s="275"/>
      <c r="AD129" s="275"/>
      <c r="AE129" s="275"/>
      <c r="AF129" s="275"/>
      <c r="AG129" s="275"/>
      <c r="AH129" s="275"/>
      <c r="AI129" s="206"/>
      <c r="AJ129" s="206"/>
    </row>
    <row r="130" hidden="1">
      <c r="A130" s="20" t="s">
        <v>829</v>
      </c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82"/>
      <c r="Q130" s="275"/>
      <c r="R130" s="275"/>
      <c r="S130" s="282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06"/>
      <c r="AJ130" s="206"/>
    </row>
    <row r="131" hidden="1">
      <c r="A131" s="20" t="s">
        <v>830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82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  <c r="AB131" s="275"/>
      <c r="AC131" s="275"/>
      <c r="AD131" s="275"/>
      <c r="AE131" s="275"/>
      <c r="AF131" s="275"/>
      <c r="AG131" s="275"/>
      <c r="AH131" s="275"/>
      <c r="AI131" s="206"/>
      <c r="AJ131" s="206"/>
    </row>
    <row r="132" hidden="1">
      <c r="A132" s="67" t="s">
        <v>871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82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  <c r="AB132" s="282"/>
      <c r="AC132" s="275"/>
      <c r="AD132" s="275"/>
      <c r="AE132" s="275"/>
      <c r="AF132" s="275"/>
      <c r="AG132" s="275"/>
      <c r="AH132" s="275"/>
      <c r="AI132" s="206"/>
      <c r="AJ132" s="206"/>
    </row>
    <row r="133" hidden="1">
      <c r="A133" s="67" t="s">
        <v>872</v>
      </c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  <c r="AB133" s="282"/>
      <c r="AC133" s="275"/>
      <c r="AD133" s="275"/>
      <c r="AE133" s="275"/>
      <c r="AF133" s="275"/>
      <c r="AG133" s="275"/>
      <c r="AH133" s="275"/>
      <c r="AI133" s="206"/>
      <c r="AJ133" s="206"/>
    </row>
    <row r="134" hidden="1">
      <c r="A134" s="67" t="s">
        <v>873</v>
      </c>
      <c r="B134" s="275"/>
      <c r="C134" s="275"/>
      <c r="D134" s="275"/>
      <c r="E134" s="275"/>
      <c r="F134" s="284"/>
      <c r="G134" s="275"/>
      <c r="H134" s="275"/>
      <c r="I134" s="284"/>
      <c r="J134" s="275"/>
      <c r="K134" s="275"/>
      <c r="L134" s="275"/>
      <c r="M134" s="275"/>
      <c r="N134" s="275"/>
      <c r="O134" s="275"/>
      <c r="P134" s="275"/>
      <c r="Q134" s="284"/>
      <c r="R134" s="275"/>
      <c r="S134" s="275"/>
      <c r="T134" s="275"/>
      <c r="U134" s="275"/>
      <c r="V134" s="275"/>
      <c r="W134" s="281"/>
      <c r="X134" s="281"/>
      <c r="Y134" s="281"/>
      <c r="Z134" s="281"/>
      <c r="AA134" s="275"/>
      <c r="AB134" s="282"/>
      <c r="AC134" s="275"/>
      <c r="AD134" s="275"/>
      <c r="AE134" s="275"/>
      <c r="AF134" s="275"/>
      <c r="AG134" s="275"/>
      <c r="AH134" s="275"/>
      <c r="AI134" s="206"/>
      <c r="AJ134" s="206"/>
    </row>
    <row r="135" hidden="1">
      <c r="A135" s="20" t="s">
        <v>837</v>
      </c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  <c r="AD135" s="275"/>
      <c r="AE135" s="275"/>
      <c r="AF135" s="275"/>
      <c r="AG135" s="275"/>
      <c r="AH135" s="275"/>
      <c r="AI135" s="206"/>
      <c r="AJ135" s="206"/>
    </row>
    <row r="136" hidden="1">
      <c r="A136" s="20" t="s">
        <v>12</v>
      </c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88"/>
      <c r="Y136" s="275"/>
      <c r="Z136" s="275"/>
      <c r="AA136" s="275"/>
      <c r="AB136" s="275"/>
      <c r="AC136" s="275"/>
      <c r="AD136" s="275"/>
      <c r="AE136" s="275"/>
      <c r="AF136" s="275"/>
      <c r="AG136" s="275"/>
      <c r="AH136" s="275"/>
      <c r="AI136" s="206"/>
      <c r="AJ136" s="206"/>
    </row>
    <row r="137" hidden="1">
      <c r="A137" s="20" t="s">
        <v>838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82"/>
      <c r="Z137" s="275"/>
      <c r="AA137" s="275"/>
      <c r="AB137" s="275"/>
      <c r="AC137" s="275"/>
      <c r="AD137" s="275"/>
      <c r="AE137" s="275"/>
      <c r="AF137" s="275"/>
      <c r="AG137" s="275"/>
      <c r="AH137" s="275"/>
      <c r="AI137" s="206"/>
      <c r="AJ137" s="206"/>
    </row>
    <row r="138" hidden="1">
      <c r="A138" s="67" t="s">
        <v>822</v>
      </c>
      <c r="B138" s="112"/>
      <c r="C138" s="285"/>
      <c r="D138" s="285"/>
      <c r="E138" s="285"/>
      <c r="F138" s="112"/>
      <c r="G138" s="112"/>
      <c r="H138" s="112"/>
      <c r="I138" s="285"/>
      <c r="J138" s="112"/>
      <c r="K138" s="241">
        <v>70.0</v>
      </c>
      <c r="L138" s="241">
        <v>140.0</v>
      </c>
      <c r="M138" s="112"/>
      <c r="N138" s="112"/>
      <c r="O138" s="112"/>
      <c r="P138" s="294">
        <v>70.0</v>
      </c>
      <c r="Q138" s="285"/>
      <c r="R138" s="295">
        <v>70.0</v>
      </c>
      <c r="S138" s="295">
        <v>140.0</v>
      </c>
      <c r="T138" s="112"/>
      <c r="U138" s="112"/>
      <c r="V138" s="112"/>
      <c r="W138" s="295">
        <v>100.0</v>
      </c>
      <c r="X138" s="295">
        <v>100.0</v>
      </c>
      <c r="Y138" s="295">
        <v>100.0</v>
      </c>
      <c r="Z138" s="295">
        <v>100.0</v>
      </c>
      <c r="AA138" s="112"/>
      <c r="AB138" s="112"/>
      <c r="AC138" s="112"/>
      <c r="AD138" s="112"/>
      <c r="AE138" s="112"/>
      <c r="AF138" s="112"/>
      <c r="AG138" s="112"/>
      <c r="AH138" s="112"/>
    </row>
    <row r="139" hidden="1">
      <c r="A139" s="67" t="s">
        <v>677</v>
      </c>
      <c r="B139" s="112"/>
      <c r="C139" s="285"/>
      <c r="D139" s="241">
        <v>70.0</v>
      </c>
      <c r="E139" s="285"/>
      <c r="F139" s="112"/>
      <c r="G139" s="112"/>
      <c r="H139" s="112"/>
      <c r="I139" s="285"/>
      <c r="J139" s="112"/>
      <c r="K139" s="241">
        <v>70.0</v>
      </c>
      <c r="L139" s="241">
        <v>140.0</v>
      </c>
      <c r="M139" s="112"/>
      <c r="N139" s="112"/>
      <c r="O139" s="112"/>
      <c r="P139" s="294">
        <v>70.0</v>
      </c>
      <c r="Q139" s="285"/>
      <c r="R139" s="295">
        <v>70.0</v>
      </c>
      <c r="S139" s="295">
        <v>140.0</v>
      </c>
      <c r="T139" s="112"/>
      <c r="U139" s="112"/>
      <c r="V139" s="112"/>
      <c r="W139" s="295">
        <v>100.0</v>
      </c>
      <c r="X139" s="295">
        <v>100.0</v>
      </c>
      <c r="Y139" s="295">
        <v>100.0</v>
      </c>
      <c r="Z139" s="295">
        <v>100.0</v>
      </c>
      <c r="AA139" s="112"/>
      <c r="AB139" s="112"/>
      <c r="AC139" s="112"/>
      <c r="AD139" s="112"/>
      <c r="AE139" s="112"/>
      <c r="AF139" s="112"/>
      <c r="AG139" s="112"/>
      <c r="AH139" s="112"/>
    </row>
    <row r="140" hidden="1">
      <c r="A140" s="67" t="s">
        <v>875</v>
      </c>
      <c r="B140" s="112"/>
      <c r="C140" s="285"/>
      <c r="D140" s="241">
        <v>70.0</v>
      </c>
      <c r="E140" s="285"/>
      <c r="F140" s="112"/>
      <c r="G140" s="112"/>
      <c r="H140" s="112"/>
      <c r="I140" s="285"/>
      <c r="J140" s="112"/>
      <c r="K140" s="241">
        <v>70.0</v>
      </c>
      <c r="L140" s="241">
        <v>140.0</v>
      </c>
      <c r="M140" s="112"/>
      <c r="N140" s="112"/>
      <c r="O140" s="112"/>
      <c r="P140" s="294">
        <v>70.0</v>
      </c>
      <c r="Q140" s="285"/>
      <c r="R140" s="295">
        <v>70.0</v>
      </c>
      <c r="S140" s="295">
        <v>140.0</v>
      </c>
      <c r="T140" s="112"/>
      <c r="U140" s="112"/>
      <c r="V140" s="112"/>
      <c r="W140" s="295">
        <v>100.0</v>
      </c>
      <c r="X140" s="295">
        <v>100.0</v>
      </c>
      <c r="Y140" s="295">
        <v>100.0</v>
      </c>
      <c r="Z140" s="295">
        <v>100.0</v>
      </c>
      <c r="AA140" s="112"/>
      <c r="AB140" s="112"/>
      <c r="AC140" s="112"/>
      <c r="AD140" s="112"/>
      <c r="AE140" s="112"/>
      <c r="AF140" s="112"/>
      <c r="AG140" s="112"/>
      <c r="AH140" s="112"/>
    </row>
    <row r="141" hidden="1">
      <c r="A141" s="67" t="s">
        <v>263</v>
      </c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285"/>
      <c r="Q141" s="296"/>
      <c r="R141" s="112"/>
      <c r="S141" s="112"/>
      <c r="T141" s="112"/>
      <c r="U141" s="112"/>
      <c r="V141" s="112"/>
      <c r="W141" s="295">
        <v>100.0</v>
      </c>
      <c r="X141" s="295">
        <v>100.0</v>
      </c>
      <c r="Y141" s="295">
        <v>100.0</v>
      </c>
      <c r="Z141" s="295">
        <v>100.0</v>
      </c>
      <c r="AA141" s="112"/>
      <c r="AB141" s="112"/>
      <c r="AC141" s="112"/>
      <c r="AD141" s="112"/>
      <c r="AE141" s="112"/>
      <c r="AF141" s="112"/>
      <c r="AG141" s="112"/>
      <c r="AH141" s="112"/>
    </row>
    <row r="142" hidden="1">
      <c r="A142" s="67" t="s">
        <v>944</v>
      </c>
      <c r="B142" s="77"/>
      <c r="C142" s="77"/>
      <c r="D142" s="241">
        <v>280.0</v>
      </c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295">
        <v>100.0</v>
      </c>
      <c r="X142" s="295">
        <v>100.0</v>
      </c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</row>
    <row r="143" hidden="1">
      <c r="A143" s="67" t="s">
        <v>945</v>
      </c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226" t="s">
        <v>946</v>
      </c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</row>
    <row r="144" hidden="1">
      <c r="A144" s="67" t="s">
        <v>947</v>
      </c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295">
        <v>180.0</v>
      </c>
      <c r="AB144" s="77"/>
      <c r="AC144" s="77"/>
      <c r="AD144" s="77"/>
      <c r="AE144" s="77"/>
      <c r="AF144" s="77"/>
      <c r="AG144" s="77"/>
      <c r="AH144" s="77"/>
    </row>
    <row r="145" hidden="1"/>
    <row r="146" hidden="1"/>
    <row r="147" hidden="1">
      <c r="A147" s="251" t="s">
        <v>788</v>
      </c>
      <c r="B147" s="252" t="s">
        <v>25</v>
      </c>
      <c r="C147" s="253" t="s">
        <v>789</v>
      </c>
      <c r="D147" s="253" t="s">
        <v>27</v>
      </c>
      <c r="E147" s="253" t="s">
        <v>2</v>
      </c>
      <c r="F147" s="253" t="s">
        <v>3</v>
      </c>
      <c r="G147" s="254" t="s">
        <v>790</v>
      </c>
      <c r="H147" s="255"/>
      <c r="I147" s="253" t="s">
        <v>25</v>
      </c>
      <c r="J147" s="253" t="s">
        <v>789</v>
      </c>
      <c r="K147" s="253" t="s">
        <v>27</v>
      </c>
      <c r="L147" s="253" t="s">
        <v>2</v>
      </c>
      <c r="M147" s="253" t="s">
        <v>3</v>
      </c>
      <c r="N147" s="287" t="s">
        <v>790</v>
      </c>
      <c r="O147" s="255"/>
      <c r="P147" s="253" t="s">
        <v>25</v>
      </c>
      <c r="Q147" s="256" t="s">
        <v>789</v>
      </c>
      <c r="R147" s="253" t="s">
        <v>27</v>
      </c>
      <c r="S147" s="253" t="s">
        <v>2</v>
      </c>
      <c r="T147" s="253" t="s">
        <v>3</v>
      </c>
      <c r="U147" s="254" t="s">
        <v>790</v>
      </c>
      <c r="V147" s="255"/>
      <c r="W147" s="253" t="s">
        <v>25</v>
      </c>
      <c r="X147" s="256" t="s">
        <v>789</v>
      </c>
      <c r="Y147" s="253" t="s">
        <v>27</v>
      </c>
      <c r="Z147" s="253" t="s">
        <v>2</v>
      </c>
      <c r="AA147" s="253" t="s">
        <v>3</v>
      </c>
      <c r="AB147" s="257" t="s">
        <v>790</v>
      </c>
      <c r="AC147" s="277"/>
      <c r="AD147" s="278" t="s">
        <v>25</v>
      </c>
      <c r="AE147" s="279" t="s">
        <v>789</v>
      </c>
      <c r="AF147" s="278" t="s">
        <v>27</v>
      </c>
      <c r="AG147" s="278" t="s">
        <v>2</v>
      </c>
      <c r="AH147" s="278" t="s">
        <v>3</v>
      </c>
      <c r="AI147" s="254"/>
      <c r="AJ147" s="258"/>
    </row>
    <row r="148" hidden="1">
      <c r="A148" s="206"/>
      <c r="B148" s="260">
        <v>30.06</v>
      </c>
      <c r="C148" s="260">
        <v>1.07</v>
      </c>
      <c r="D148" s="260">
        <v>2.07</v>
      </c>
      <c r="E148" s="260">
        <v>3.07</v>
      </c>
      <c r="F148" s="260">
        <v>4.07</v>
      </c>
      <c r="G148" s="260">
        <v>5.07</v>
      </c>
      <c r="H148" s="260"/>
      <c r="I148" s="260">
        <v>7.07</v>
      </c>
      <c r="J148" s="260">
        <v>8.07</v>
      </c>
      <c r="K148" s="260">
        <v>9.07</v>
      </c>
      <c r="L148" s="260">
        <v>10.07</v>
      </c>
      <c r="M148" s="260">
        <v>11.07</v>
      </c>
      <c r="N148" s="260">
        <v>12.07</v>
      </c>
      <c r="O148" s="260"/>
      <c r="P148" s="260">
        <v>14.07</v>
      </c>
      <c r="Q148" s="260">
        <v>15.07</v>
      </c>
      <c r="R148" s="260">
        <v>16.07</v>
      </c>
      <c r="S148" s="260">
        <v>17.07</v>
      </c>
      <c r="T148" s="260">
        <v>18.07</v>
      </c>
      <c r="U148" s="260">
        <v>19.07</v>
      </c>
      <c r="V148" s="260"/>
      <c r="W148" s="260">
        <v>21.07</v>
      </c>
      <c r="X148" s="260">
        <v>22.07</v>
      </c>
      <c r="Y148" s="260">
        <v>23.07</v>
      </c>
      <c r="Z148" s="260">
        <v>24.07</v>
      </c>
      <c r="AA148" s="260">
        <v>25.07</v>
      </c>
      <c r="AB148" s="260">
        <v>26.07</v>
      </c>
      <c r="AC148" s="260"/>
      <c r="AD148" s="280">
        <v>28.07</v>
      </c>
      <c r="AE148" s="280">
        <v>29.07</v>
      </c>
      <c r="AF148" s="280">
        <v>30.07</v>
      </c>
      <c r="AG148" s="280">
        <v>31.07</v>
      </c>
      <c r="AH148" s="280">
        <v>2.08</v>
      </c>
      <c r="AI148" s="262"/>
      <c r="AJ148" s="262"/>
    </row>
    <row r="149" hidden="1">
      <c r="A149" s="263" t="s">
        <v>816</v>
      </c>
      <c r="B149" s="275"/>
      <c r="C149" s="282"/>
      <c r="D149" s="282"/>
      <c r="E149" s="290">
        <v>70.0</v>
      </c>
      <c r="F149" s="275"/>
      <c r="G149" s="275"/>
      <c r="H149" s="275"/>
      <c r="I149" s="297">
        <v>140.0</v>
      </c>
      <c r="J149" s="282"/>
      <c r="K149" s="275"/>
      <c r="L149" s="297">
        <v>140.0</v>
      </c>
      <c r="M149" s="281"/>
      <c r="N149" s="275"/>
      <c r="O149" s="275"/>
      <c r="P149" s="282"/>
      <c r="Q149" s="288"/>
      <c r="R149" s="297">
        <v>140.0</v>
      </c>
      <c r="S149" s="288"/>
      <c r="T149" s="275"/>
      <c r="U149" s="275"/>
      <c r="V149" s="275"/>
      <c r="W149" s="282"/>
      <c r="X149" s="282"/>
      <c r="Y149" s="297">
        <v>70.0</v>
      </c>
      <c r="Z149" s="281"/>
      <c r="AA149" s="282"/>
      <c r="AB149" s="275"/>
      <c r="AC149" s="275"/>
      <c r="AD149" s="282"/>
      <c r="AE149" s="282"/>
      <c r="AF149" s="275"/>
      <c r="AG149" s="275"/>
      <c r="AH149" s="275"/>
      <c r="AI149" s="206"/>
      <c r="AJ149" s="206"/>
    </row>
    <row r="150" hidden="1">
      <c r="A150" s="11" t="s">
        <v>817</v>
      </c>
      <c r="B150" s="275"/>
      <c r="C150" s="282"/>
      <c r="D150" s="282"/>
      <c r="E150" s="282"/>
      <c r="F150" s="275"/>
      <c r="G150" s="275"/>
      <c r="H150" s="275"/>
      <c r="I150" s="297">
        <v>140.0</v>
      </c>
      <c r="J150" s="282"/>
      <c r="K150" s="275"/>
      <c r="L150" s="297">
        <v>140.0</v>
      </c>
      <c r="M150" s="281"/>
      <c r="N150" s="275"/>
      <c r="O150" s="275"/>
      <c r="P150" s="282"/>
      <c r="Q150" s="288"/>
      <c r="R150" s="282"/>
      <c r="S150" s="288"/>
      <c r="T150" s="275"/>
      <c r="U150" s="275"/>
      <c r="V150" s="275"/>
      <c r="W150" s="282"/>
      <c r="X150" s="282"/>
      <c r="Y150" s="275"/>
      <c r="Z150" s="281"/>
      <c r="AA150" s="282"/>
      <c r="AB150" s="275"/>
      <c r="AC150" s="275"/>
      <c r="AD150" s="282"/>
      <c r="AE150" s="297">
        <v>150.0</v>
      </c>
      <c r="AF150" s="297">
        <v>70.0</v>
      </c>
      <c r="AG150" s="275"/>
      <c r="AH150" s="275"/>
      <c r="AI150" s="206"/>
      <c r="AJ150" s="206"/>
    </row>
    <row r="151" hidden="1">
      <c r="A151" s="17" t="s">
        <v>44</v>
      </c>
      <c r="B151" s="275"/>
      <c r="C151" s="282"/>
      <c r="D151" s="282"/>
      <c r="E151" s="282"/>
      <c r="F151" s="275"/>
      <c r="G151" s="275"/>
      <c r="H151" s="275"/>
      <c r="I151" s="275"/>
      <c r="J151" s="290">
        <v>140.0</v>
      </c>
      <c r="K151" s="275"/>
      <c r="L151" s="275"/>
      <c r="M151" s="281"/>
      <c r="N151" s="275"/>
      <c r="O151" s="275"/>
      <c r="P151" s="282"/>
      <c r="Q151" s="288"/>
      <c r="R151" s="297">
        <v>70.0</v>
      </c>
      <c r="S151" s="288"/>
      <c r="T151" s="275"/>
      <c r="U151" s="275"/>
      <c r="V151" s="275"/>
      <c r="W151" s="282"/>
      <c r="X151" s="282"/>
      <c r="Y151" s="297">
        <v>70.0</v>
      </c>
      <c r="Z151" s="281"/>
      <c r="AA151" s="282"/>
      <c r="AB151" s="275"/>
      <c r="AC151" s="275"/>
      <c r="AD151" s="282"/>
      <c r="AE151" s="297">
        <v>150.0</v>
      </c>
      <c r="AF151" s="297">
        <v>70.0</v>
      </c>
      <c r="AG151" s="275"/>
      <c r="AH151" s="275"/>
      <c r="AI151" s="206"/>
      <c r="AJ151" s="206"/>
    </row>
    <row r="152" hidden="1">
      <c r="A152" s="11" t="s">
        <v>310</v>
      </c>
      <c r="B152" s="290">
        <v>60.0</v>
      </c>
      <c r="C152" s="290">
        <v>60.0</v>
      </c>
      <c r="D152" s="282"/>
      <c r="E152" s="297">
        <v>70.0</v>
      </c>
      <c r="F152" s="297">
        <v>400.0</v>
      </c>
      <c r="G152" s="275"/>
      <c r="H152" s="275"/>
      <c r="I152" s="290">
        <v>140.0</v>
      </c>
      <c r="J152" s="290">
        <v>140.0</v>
      </c>
      <c r="K152" s="282"/>
      <c r="L152" s="282"/>
      <c r="M152" s="275"/>
      <c r="N152" s="275"/>
      <c r="O152" s="275"/>
      <c r="P152" s="282"/>
      <c r="Q152" s="288"/>
      <c r="R152" s="297">
        <v>70.0</v>
      </c>
      <c r="S152" s="282"/>
      <c r="T152" s="275"/>
      <c r="U152" s="275"/>
      <c r="V152" s="275"/>
      <c r="W152" s="297">
        <v>70.0</v>
      </c>
      <c r="X152" s="298">
        <v>540.0</v>
      </c>
      <c r="Y152" s="282"/>
      <c r="Z152" s="298">
        <v>140.0</v>
      </c>
      <c r="AA152" s="297">
        <v>70.0</v>
      </c>
      <c r="AB152" s="275"/>
      <c r="AC152" s="275"/>
      <c r="AD152" s="282"/>
      <c r="AE152" s="282"/>
      <c r="AF152" s="275"/>
      <c r="AG152" s="275"/>
      <c r="AH152" s="275"/>
      <c r="AI152" s="206"/>
      <c r="AJ152" s="206"/>
    </row>
    <row r="153" hidden="1">
      <c r="A153" s="11" t="s">
        <v>819</v>
      </c>
      <c r="B153" s="290">
        <v>60.0</v>
      </c>
      <c r="C153" s="290">
        <v>60.0</v>
      </c>
      <c r="D153" s="282"/>
      <c r="E153" s="297">
        <v>70.0</v>
      </c>
      <c r="F153" s="297">
        <v>400.0</v>
      </c>
      <c r="G153" s="275"/>
      <c r="H153" s="275"/>
      <c r="I153" s="290">
        <v>140.0</v>
      </c>
      <c r="J153" s="290">
        <v>140.0</v>
      </c>
      <c r="K153" s="282"/>
      <c r="L153" s="282"/>
      <c r="M153" s="275"/>
      <c r="N153" s="275"/>
      <c r="O153" s="275"/>
      <c r="P153" s="282"/>
      <c r="Q153" s="282"/>
      <c r="R153" s="282"/>
      <c r="S153" s="282"/>
      <c r="T153" s="275"/>
      <c r="U153" s="275"/>
      <c r="V153" s="275"/>
      <c r="W153" s="297">
        <v>70.0</v>
      </c>
      <c r="X153" s="298">
        <v>540.0</v>
      </c>
      <c r="Y153" s="282"/>
      <c r="Z153" s="297">
        <v>140.0</v>
      </c>
      <c r="AA153" s="297">
        <v>70.0</v>
      </c>
      <c r="AB153" s="282"/>
      <c r="AC153" s="275"/>
      <c r="AD153" s="297">
        <v>140.0</v>
      </c>
      <c r="AE153" s="297">
        <v>60.0</v>
      </c>
      <c r="AF153" s="275"/>
      <c r="AG153" s="275"/>
      <c r="AH153" s="297">
        <v>70.0</v>
      </c>
      <c r="AI153" s="206"/>
      <c r="AJ153" s="206"/>
    </row>
    <row r="154" hidden="1">
      <c r="A154" s="17" t="s">
        <v>735</v>
      </c>
      <c r="B154" s="297">
        <v>70.0</v>
      </c>
      <c r="C154" s="297">
        <v>70.0</v>
      </c>
      <c r="D154" s="297">
        <v>70.0</v>
      </c>
      <c r="E154" s="290">
        <v>200.0</v>
      </c>
      <c r="F154" s="275"/>
      <c r="G154" s="275"/>
      <c r="H154" s="275"/>
      <c r="I154" s="282"/>
      <c r="J154" s="282"/>
      <c r="K154" s="297">
        <v>60.0</v>
      </c>
      <c r="L154" s="297">
        <v>60.0</v>
      </c>
      <c r="M154" s="297">
        <v>60.0</v>
      </c>
      <c r="N154" s="275"/>
      <c r="O154" s="275"/>
      <c r="P154" s="282"/>
      <c r="Q154" s="282"/>
      <c r="R154" s="282"/>
      <c r="S154" s="282"/>
      <c r="T154" s="275"/>
      <c r="U154" s="275"/>
      <c r="V154" s="275"/>
      <c r="W154" s="282"/>
      <c r="X154" s="282"/>
      <c r="Y154" s="282"/>
      <c r="Z154" s="282"/>
      <c r="AA154" s="275"/>
      <c r="AB154" s="275"/>
      <c r="AC154" s="275"/>
      <c r="AD154" s="282"/>
      <c r="AE154" s="275"/>
      <c r="AF154" s="275"/>
      <c r="AG154" s="275"/>
      <c r="AH154" s="275"/>
      <c r="AI154" s="206"/>
      <c r="AJ154" s="206"/>
    </row>
    <row r="155" hidden="1">
      <c r="A155" s="17" t="s">
        <v>866</v>
      </c>
      <c r="B155" s="297">
        <v>70.0</v>
      </c>
      <c r="C155" s="297">
        <v>70.0</v>
      </c>
      <c r="D155" s="297">
        <v>70.0</v>
      </c>
      <c r="E155" s="290">
        <v>200.0</v>
      </c>
      <c r="F155" s="275"/>
      <c r="G155" s="275"/>
      <c r="H155" s="275"/>
      <c r="I155" s="275"/>
      <c r="J155" s="282"/>
      <c r="K155" s="297">
        <v>60.0</v>
      </c>
      <c r="L155" s="297">
        <v>60.0</v>
      </c>
      <c r="M155" s="297">
        <v>60.0</v>
      </c>
      <c r="N155" s="275"/>
      <c r="O155" s="275"/>
      <c r="P155" s="282"/>
      <c r="Q155" s="288"/>
      <c r="R155" s="282"/>
      <c r="S155" s="288"/>
      <c r="T155" s="275"/>
      <c r="U155" s="275"/>
      <c r="V155" s="275"/>
      <c r="W155" s="275"/>
      <c r="X155" s="275"/>
      <c r="Y155" s="288"/>
      <c r="Z155" s="282"/>
      <c r="AA155" s="275"/>
      <c r="AB155" s="275"/>
      <c r="AC155" s="275"/>
      <c r="AD155" s="282"/>
      <c r="AE155" s="288"/>
      <c r="AF155" s="282"/>
      <c r="AG155" s="288"/>
      <c r="AH155" s="275"/>
      <c r="AI155" s="206"/>
      <c r="AJ155" s="206"/>
    </row>
    <row r="156" hidden="1">
      <c r="A156" s="17" t="s">
        <v>867</v>
      </c>
      <c r="B156" s="297">
        <v>70.0</v>
      </c>
      <c r="C156" s="297">
        <v>70.0</v>
      </c>
      <c r="D156" s="297">
        <v>70.0</v>
      </c>
      <c r="E156" s="290">
        <v>200.0</v>
      </c>
      <c r="F156" s="275"/>
      <c r="G156" s="275"/>
      <c r="H156" s="275"/>
      <c r="I156" s="275"/>
      <c r="J156" s="282"/>
      <c r="K156" s="297">
        <v>60.0</v>
      </c>
      <c r="L156" s="297">
        <v>60.0</v>
      </c>
      <c r="M156" s="297">
        <v>60.0</v>
      </c>
      <c r="N156" s="275"/>
      <c r="O156" s="275"/>
      <c r="P156" s="282"/>
      <c r="Q156" s="288"/>
      <c r="R156" s="282"/>
      <c r="S156" s="288"/>
      <c r="T156" s="275"/>
      <c r="U156" s="275"/>
      <c r="V156" s="275"/>
      <c r="W156" s="275"/>
      <c r="X156" s="275"/>
      <c r="Y156" s="288"/>
      <c r="Z156" s="282"/>
      <c r="AA156" s="275"/>
      <c r="AB156" s="275"/>
      <c r="AC156" s="275"/>
      <c r="AD156" s="282"/>
      <c r="AE156" s="288"/>
      <c r="AF156" s="282"/>
      <c r="AG156" s="288"/>
      <c r="AH156" s="275"/>
      <c r="AI156" s="206"/>
      <c r="AJ156" s="206"/>
    </row>
    <row r="157" hidden="1">
      <c r="A157" s="17" t="s">
        <v>818</v>
      </c>
      <c r="B157" s="295">
        <v>140.0</v>
      </c>
      <c r="C157" s="299">
        <v>140.0</v>
      </c>
      <c r="D157" s="290">
        <v>140.0</v>
      </c>
      <c r="E157" s="290">
        <v>70.0</v>
      </c>
      <c r="F157" s="290">
        <v>70.0</v>
      </c>
      <c r="G157" s="282"/>
      <c r="H157" s="275"/>
      <c r="I157" s="297">
        <v>140.0</v>
      </c>
      <c r="J157" s="282"/>
      <c r="K157" s="282"/>
      <c r="L157" s="282"/>
      <c r="M157" s="290">
        <v>140.0</v>
      </c>
      <c r="N157" s="275"/>
      <c r="O157" s="275"/>
      <c r="P157" s="282"/>
      <c r="Q157" s="297">
        <v>140.0</v>
      </c>
      <c r="R157" s="297">
        <v>140.0</v>
      </c>
      <c r="S157" s="298">
        <v>140.0</v>
      </c>
      <c r="T157" s="282"/>
      <c r="U157" s="275"/>
      <c r="V157" s="275"/>
      <c r="W157" s="297">
        <v>140.0</v>
      </c>
      <c r="X157" s="297">
        <v>140.0</v>
      </c>
      <c r="Y157" s="282"/>
      <c r="Z157" s="282"/>
      <c r="AA157" s="275"/>
      <c r="AB157" s="275"/>
      <c r="AC157" s="275"/>
      <c r="AD157" s="275"/>
      <c r="AE157" s="282"/>
      <c r="AF157" s="282"/>
      <c r="AG157" s="288"/>
      <c r="AH157" s="282"/>
      <c r="AI157" s="206"/>
      <c r="AJ157" s="206"/>
    </row>
    <row r="158" hidden="1">
      <c r="A158" s="17" t="s">
        <v>827</v>
      </c>
      <c r="B158" s="295">
        <v>140.0</v>
      </c>
      <c r="C158" s="299">
        <v>140.0</v>
      </c>
      <c r="D158" s="290">
        <v>140.0</v>
      </c>
      <c r="E158" s="290">
        <v>70.0</v>
      </c>
      <c r="F158" s="290">
        <v>70.0</v>
      </c>
      <c r="G158" s="282"/>
      <c r="H158" s="275"/>
      <c r="I158" s="297">
        <v>140.0</v>
      </c>
      <c r="J158" s="282"/>
      <c r="K158" s="282"/>
      <c r="L158" s="282"/>
      <c r="M158" s="290">
        <v>140.0</v>
      </c>
      <c r="N158" s="275"/>
      <c r="O158" s="275"/>
      <c r="P158" s="282"/>
      <c r="Q158" s="297">
        <v>140.0</v>
      </c>
      <c r="R158" s="297">
        <v>140.0</v>
      </c>
      <c r="S158" s="298">
        <v>140.0</v>
      </c>
      <c r="T158" s="282"/>
      <c r="U158" s="275"/>
      <c r="V158" s="275"/>
      <c r="W158" s="297">
        <v>140.0</v>
      </c>
      <c r="X158" s="297">
        <v>140.0</v>
      </c>
      <c r="Y158" s="282"/>
      <c r="Z158" s="282"/>
      <c r="AA158" s="275"/>
      <c r="AB158" s="275"/>
      <c r="AC158" s="275"/>
      <c r="AD158" s="297">
        <v>140.0</v>
      </c>
      <c r="AE158" s="297">
        <v>60.0</v>
      </c>
      <c r="AF158" s="282"/>
      <c r="AG158" s="288"/>
      <c r="AH158" s="297">
        <v>70.0</v>
      </c>
      <c r="AI158" s="206"/>
      <c r="AJ158" s="206"/>
    </row>
    <row r="159" hidden="1">
      <c r="A159" s="20" t="s">
        <v>832</v>
      </c>
      <c r="B159" s="290">
        <v>140.0</v>
      </c>
      <c r="C159" s="282"/>
      <c r="D159" s="290">
        <v>140.0</v>
      </c>
      <c r="E159" s="297">
        <v>140.0</v>
      </c>
      <c r="F159" s="290">
        <v>140.0</v>
      </c>
      <c r="G159" s="275"/>
      <c r="H159" s="275"/>
      <c r="I159" s="284"/>
      <c r="J159" s="297">
        <v>60.0</v>
      </c>
      <c r="K159" s="297">
        <v>60.0</v>
      </c>
      <c r="L159" s="297">
        <v>60.0</v>
      </c>
      <c r="M159" s="297">
        <v>60.0</v>
      </c>
      <c r="N159" s="275"/>
      <c r="O159" s="275"/>
      <c r="P159" s="297">
        <v>60.0</v>
      </c>
      <c r="Q159" s="297">
        <v>60.0</v>
      </c>
      <c r="R159" s="297">
        <v>140.0</v>
      </c>
      <c r="S159" s="282"/>
      <c r="T159" s="275"/>
      <c r="U159" s="275"/>
      <c r="V159" s="275"/>
      <c r="W159" s="298">
        <v>140.0</v>
      </c>
      <c r="X159" s="298">
        <v>140.0</v>
      </c>
      <c r="Y159" s="288"/>
      <c r="Z159" s="288"/>
      <c r="AA159" s="275"/>
      <c r="AB159" s="275"/>
      <c r="AC159" s="275"/>
      <c r="AD159" s="297">
        <v>140.0</v>
      </c>
      <c r="AE159" s="298">
        <v>880.0</v>
      </c>
      <c r="AF159" s="297">
        <v>140.0</v>
      </c>
      <c r="AG159" s="288"/>
      <c r="AH159" s="297">
        <v>70.0</v>
      </c>
      <c r="AI159" s="206"/>
      <c r="AJ159" s="206"/>
    </row>
    <row r="160" hidden="1">
      <c r="A160" s="20" t="s">
        <v>835</v>
      </c>
      <c r="B160" s="290">
        <v>140.0</v>
      </c>
      <c r="C160" s="282"/>
      <c r="D160" s="290">
        <v>140.0</v>
      </c>
      <c r="E160" s="297">
        <v>140.0</v>
      </c>
      <c r="F160" s="290">
        <v>140.0</v>
      </c>
      <c r="G160" s="275"/>
      <c r="H160" s="275"/>
      <c r="I160" s="284"/>
      <c r="J160" s="297">
        <v>60.0</v>
      </c>
      <c r="K160" s="297">
        <v>60.0</v>
      </c>
      <c r="L160" s="297">
        <v>60.0</v>
      </c>
      <c r="M160" s="297">
        <v>60.0</v>
      </c>
      <c r="N160" s="275"/>
      <c r="O160" s="275"/>
      <c r="P160" s="297">
        <v>60.0</v>
      </c>
      <c r="Q160" s="297">
        <v>60.0</v>
      </c>
      <c r="R160" s="297">
        <v>140.0</v>
      </c>
      <c r="S160" s="282"/>
      <c r="T160" s="275"/>
      <c r="U160" s="275"/>
      <c r="V160" s="275"/>
      <c r="W160" s="298">
        <v>140.0</v>
      </c>
      <c r="X160" s="298">
        <v>140.0</v>
      </c>
      <c r="Y160" s="288"/>
      <c r="Z160" s="288"/>
      <c r="AA160" s="275"/>
      <c r="AB160" s="275"/>
      <c r="AC160" s="275"/>
      <c r="AD160" s="297">
        <v>140.0</v>
      </c>
      <c r="AE160" s="288"/>
      <c r="AF160" s="297">
        <v>140.0</v>
      </c>
      <c r="AG160" s="288"/>
      <c r="AH160" s="297">
        <v>70.0</v>
      </c>
      <c r="AI160" s="206"/>
      <c r="AJ160" s="206"/>
    </row>
    <row r="161" hidden="1">
      <c r="A161" s="20" t="s">
        <v>836</v>
      </c>
      <c r="B161" s="290">
        <v>140.0</v>
      </c>
      <c r="C161" s="282"/>
      <c r="D161" s="290">
        <v>140.0</v>
      </c>
      <c r="E161" s="297">
        <v>140.0</v>
      </c>
      <c r="F161" s="290">
        <v>140.0</v>
      </c>
      <c r="G161" s="275"/>
      <c r="H161" s="275"/>
      <c r="I161" s="284"/>
      <c r="J161" s="297">
        <v>60.0</v>
      </c>
      <c r="K161" s="297">
        <v>60.0</v>
      </c>
      <c r="L161" s="297">
        <v>60.0</v>
      </c>
      <c r="M161" s="297">
        <v>60.0</v>
      </c>
      <c r="N161" s="275"/>
      <c r="O161" s="275"/>
      <c r="P161" s="282"/>
      <c r="Q161" s="282"/>
      <c r="R161" s="297">
        <v>140.0</v>
      </c>
      <c r="S161" s="282"/>
      <c r="T161" s="275"/>
      <c r="U161" s="275"/>
      <c r="V161" s="275"/>
      <c r="W161" s="298">
        <v>140.0</v>
      </c>
      <c r="X161" s="298">
        <v>140.0</v>
      </c>
      <c r="Y161" s="288"/>
      <c r="Z161" s="288"/>
      <c r="AA161" s="275"/>
      <c r="AB161" s="275"/>
      <c r="AC161" s="275"/>
      <c r="AD161" s="297">
        <v>140.0</v>
      </c>
      <c r="AE161" s="288"/>
      <c r="AF161" s="297">
        <v>140.0</v>
      </c>
      <c r="AG161" s="288"/>
      <c r="AH161" s="297">
        <v>70.0</v>
      </c>
      <c r="AI161" s="206"/>
      <c r="AJ161" s="206"/>
    </row>
    <row r="162" hidden="1">
      <c r="A162" s="272" t="s">
        <v>824</v>
      </c>
      <c r="B162" s="282"/>
      <c r="C162" s="290">
        <v>140.0</v>
      </c>
      <c r="D162" s="290">
        <v>70.0</v>
      </c>
      <c r="E162" s="282"/>
      <c r="F162" s="275"/>
      <c r="G162" s="275"/>
      <c r="H162" s="275"/>
      <c r="I162" s="282"/>
      <c r="J162" s="282"/>
      <c r="K162" s="282"/>
      <c r="L162" s="282"/>
      <c r="M162" s="275"/>
      <c r="N162" s="275"/>
      <c r="O162" s="275"/>
      <c r="P162" s="282"/>
      <c r="Q162" s="288"/>
      <c r="R162" s="282"/>
      <c r="S162" s="288"/>
      <c r="T162" s="112"/>
      <c r="U162" s="275"/>
      <c r="V162" s="275"/>
      <c r="W162" s="288"/>
      <c r="X162" s="292"/>
      <c r="Y162" s="292"/>
      <c r="Z162" s="282"/>
      <c r="AA162" s="275"/>
      <c r="AB162" s="275"/>
      <c r="AC162" s="275"/>
      <c r="AD162" s="275"/>
      <c r="AE162" s="282"/>
      <c r="AF162" s="275"/>
      <c r="AG162" s="275"/>
      <c r="AH162" s="282"/>
      <c r="AI162" s="206"/>
      <c r="AJ162" s="206"/>
    </row>
    <row r="163" hidden="1">
      <c r="A163" s="67" t="s">
        <v>869</v>
      </c>
      <c r="B163" s="282"/>
      <c r="C163" s="290">
        <v>140.0</v>
      </c>
      <c r="D163" s="290">
        <v>70.0</v>
      </c>
      <c r="E163" s="282"/>
      <c r="F163" s="275"/>
      <c r="G163" s="275"/>
      <c r="H163" s="275"/>
      <c r="I163" s="290">
        <v>100.0</v>
      </c>
      <c r="J163" s="293">
        <v>100.0</v>
      </c>
      <c r="K163" s="290">
        <v>100.0</v>
      </c>
      <c r="L163" s="282"/>
      <c r="M163" s="275"/>
      <c r="N163" s="275"/>
      <c r="O163" s="275"/>
      <c r="P163" s="295">
        <v>100.0</v>
      </c>
      <c r="Q163" s="295">
        <v>100.0</v>
      </c>
      <c r="R163" s="295">
        <v>100.0</v>
      </c>
      <c r="S163" s="295">
        <v>100.0</v>
      </c>
      <c r="T163" s="112"/>
      <c r="U163" s="275"/>
      <c r="V163" s="275"/>
      <c r="W163" s="297">
        <v>100.0</v>
      </c>
      <c r="X163" s="298">
        <v>100.0</v>
      </c>
      <c r="Y163" s="298">
        <v>100.0</v>
      </c>
      <c r="Z163" s="297">
        <v>100.0</v>
      </c>
      <c r="AA163" s="275"/>
      <c r="AB163" s="275"/>
      <c r="AC163" s="275"/>
      <c r="AD163" s="297">
        <v>100.0</v>
      </c>
      <c r="AE163" s="297">
        <v>100.0</v>
      </c>
      <c r="AF163" s="297">
        <v>100.0</v>
      </c>
      <c r="AG163" s="297">
        <v>100.0</v>
      </c>
      <c r="AH163" s="282"/>
      <c r="AI163" s="206"/>
      <c r="AJ163" s="206"/>
    </row>
    <row r="164" hidden="1">
      <c r="A164" s="67" t="s">
        <v>870</v>
      </c>
      <c r="B164" s="282"/>
      <c r="C164" s="290">
        <v>140.0</v>
      </c>
      <c r="D164" s="290">
        <v>70.0</v>
      </c>
      <c r="E164" s="282"/>
      <c r="F164" s="275"/>
      <c r="G164" s="275"/>
      <c r="H164" s="275"/>
      <c r="I164" s="290">
        <v>100.0</v>
      </c>
      <c r="J164" s="290">
        <v>100.0</v>
      </c>
      <c r="K164" s="290">
        <v>100.0</v>
      </c>
      <c r="L164" s="282"/>
      <c r="M164" s="275"/>
      <c r="N164" s="275"/>
      <c r="O164" s="275"/>
      <c r="P164" s="295">
        <v>100.0</v>
      </c>
      <c r="Q164" s="295">
        <v>100.0</v>
      </c>
      <c r="R164" s="295">
        <v>100.0</v>
      </c>
      <c r="S164" s="295">
        <v>100.0</v>
      </c>
      <c r="T164" s="112"/>
      <c r="U164" s="275"/>
      <c r="V164" s="275"/>
      <c r="W164" s="297">
        <v>100.0</v>
      </c>
      <c r="X164" s="298">
        <v>100.0</v>
      </c>
      <c r="Y164" s="298">
        <v>100.0</v>
      </c>
      <c r="Z164" s="297">
        <v>100.0</v>
      </c>
      <c r="AA164" s="275"/>
      <c r="AB164" s="275"/>
      <c r="AC164" s="275"/>
      <c r="AD164" s="297">
        <v>100.0</v>
      </c>
      <c r="AE164" s="297">
        <v>100.0</v>
      </c>
      <c r="AF164" s="297">
        <v>100.0</v>
      </c>
      <c r="AG164" s="297">
        <v>100.0</v>
      </c>
      <c r="AH164" s="282"/>
      <c r="AI164" s="206"/>
      <c r="AJ164" s="206"/>
    </row>
    <row r="165" hidden="1">
      <c r="A165" s="272" t="s">
        <v>825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  <c r="AB165" s="275"/>
      <c r="AC165" s="275"/>
      <c r="AD165" s="275"/>
      <c r="AE165" s="275"/>
      <c r="AF165" s="275"/>
      <c r="AG165" s="275"/>
      <c r="AH165" s="275"/>
      <c r="AI165" s="206"/>
      <c r="AJ165" s="206"/>
    </row>
    <row r="166" hidden="1">
      <c r="A166" s="272" t="s">
        <v>826</v>
      </c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  <c r="AB166" s="275"/>
      <c r="AC166" s="275"/>
      <c r="AD166" s="275"/>
      <c r="AE166" s="275"/>
      <c r="AF166" s="275"/>
      <c r="AG166" s="275"/>
      <c r="AH166" s="275"/>
      <c r="AI166" s="206"/>
      <c r="AJ166" s="206"/>
    </row>
    <row r="167" hidden="1">
      <c r="A167" s="274" t="s">
        <v>680</v>
      </c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  <c r="AD167" s="275"/>
      <c r="AE167" s="275"/>
      <c r="AF167" s="275"/>
      <c r="AG167" s="275"/>
      <c r="AH167" s="275"/>
      <c r="AI167" s="206"/>
      <c r="AJ167" s="206"/>
    </row>
    <row r="168" hidden="1">
      <c r="A168" s="274" t="s">
        <v>828</v>
      </c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  <c r="AD168" s="275"/>
      <c r="AE168" s="275"/>
      <c r="AF168" s="275"/>
      <c r="AG168" s="275"/>
      <c r="AH168" s="275"/>
      <c r="AI168" s="206"/>
      <c r="AJ168" s="206"/>
    </row>
    <row r="169" hidden="1">
      <c r="A169" s="20" t="s">
        <v>829</v>
      </c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82"/>
      <c r="Q169" s="275"/>
      <c r="R169" s="275"/>
      <c r="S169" s="282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  <c r="AD169" s="275"/>
      <c r="AE169" s="275"/>
      <c r="AF169" s="275"/>
      <c r="AG169" s="275"/>
      <c r="AH169" s="275"/>
      <c r="AI169" s="206"/>
      <c r="AJ169" s="206"/>
    </row>
    <row r="170" hidden="1">
      <c r="A170" s="20" t="s">
        <v>830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82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  <c r="AD170" s="275"/>
      <c r="AE170" s="275"/>
      <c r="AF170" s="275"/>
      <c r="AG170" s="275"/>
      <c r="AH170" s="275"/>
      <c r="AI170" s="206"/>
      <c r="AJ170" s="206"/>
    </row>
    <row r="171" hidden="1">
      <c r="A171" s="67" t="s">
        <v>871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82"/>
      <c r="Q171" s="275"/>
      <c r="R171" s="275"/>
      <c r="S171" s="275"/>
      <c r="T171" s="275"/>
      <c r="U171" s="275"/>
      <c r="V171" s="275"/>
      <c r="W171" s="275"/>
      <c r="X171" s="275"/>
      <c r="Y171" s="275"/>
      <c r="Z171" s="297">
        <v>240.0</v>
      </c>
      <c r="AA171" s="297">
        <v>240.0</v>
      </c>
      <c r="AB171" s="282"/>
      <c r="AC171" s="275"/>
      <c r="AD171" s="275"/>
      <c r="AE171" s="275"/>
      <c r="AF171" s="275"/>
      <c r="AG171" s="275"/>
      <c r="AH171" s="275"/>
      <c r="AI171" s="206"/>
      <c r="AJ171" s="206"/>
    </row>
    <row r="172" hidden="1">
      <c r="A172" s="67" t="s">
        <v>948</v>
      </c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82"/>
      <c r="Q172" s="275"/>
      <c r="R172" s="297">
        <v>180.0</v>
      </c>
      <c r="S172" s="275"/>
      <c r="T172" s="275"/>
      <c r="U172" s="275"/>
      <c r="V172" s="275"/>
      <c r="W172" s="275"/>
      <c r="X172" s="275"/>
      <c r="Y172" s="275"/>
      <c r="Z172" s="297">
        <v>240.0</v>
      </c>
      <c r="AA172" s="297">
        <v>240.0</v>
      </c>
      <c r="AB172" s="282"/>
      <c r="AC172" s="275"/>
      <c r="AD172" s="275"/>
      <c r="AE172" s="275"/>
      <c r="AF172" s="275"/>
      <c r="AG172" s="275"/>
      <c r="AH172" s="275"/>
      <c r="AI172" s="206"/>
      <c r="AJ172" s="206"/>
    </row>
    <row r="173" hidden="1">
      <c r="A173" s="67" t="s">
        <v>872</v>
      </c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AB173" s="282"/>
      <c r="AC173" s="275"/>
      <c r="AD173" s="275"/>
      <c r="AE173" s="275"/>
      <c r="AF173" s="275"/>
      <c r="AG173" s="275"/>
      <c r="AH173" s="275"/>
      <c r="AI173" s="206"/>
      <c r="AJ173" s="206"/>
    </row>
    <row r="174" hidden="1">
      <c r="A174" s="67" t="s">
        <v>873</v>
      </c>
      <c r="B174" s="275"/>
      <c r="C174" s="275"/>
      <c r="D174" s="275"/>
      <c r="E174" s="275"/>
      <c r="F174" s="284"/>
      <c r="G174" s="275"/>
      <c r="H174" s="275"/>
      <c r="I174" s="284"/>
      <c r="J174" s="275"/>
      <c r="K174" s="275"/>
      <c r="L174" s="275"/>
      <c r="M174" s="275"/>
      <c r="N174" s="275"/>
      <c r="O174" s="275"/>
      <c r="P174" s="275"/>
      <c r="Q174" s="284"/>
      <c r="R174" s="275"/>
      <c r="S174" s="275"/>
      <c r="T174" s="275"/>
      <c r="U174" s="275"/>
      <c r="V174" s="275"/>
      <c r="W174" s="281"/>
      <c r="X174" s="281"/>
      <c r="Y174" s="281"/>
      <c r="Z174" s="298">
        <v>240.0</v>
      </c>
      <c r="AA174" s="297">
        <v>240.0</v>
      </c>
      <c r="AB174" s="282"/>
      <c r="AC174" s="275"/>
      <c r="AD174" s="275"/>
      <c r="AE174" s="275"/>
      <c r="AF174" s="275"/>
      <c r="AG174" s="275"/>
      <c r="AH174" s="275"/>
      <c r="AI174" s="206"/>
      <c r="AJ174" s="206"/>
    </row>
    <row r="175" hidden="1">
      <c r="A175" s="67" t="s">
        <v>949</v>
      </c>
      <c r="B175" s="275"/>
      <c r="C175" s="275"/>
      <c r="D175" s="275"/>
      <c r="E175" s="275"/>
      <c r="F175" s="284"/>
      <c r="G175" s="275"/>
      <c r="H175" s="275"/>
      <c r="I175" s="284"/>
      <c r="J175" s="275"/>
      <c r="K175" s="275"/>
      <c r="L175" s="275"/>
      <c r="M175" s="275"/>
      <c r="N175" s="275"/>
      <c r="O175" s="275"/>
      <c r="P175" s="275"/>
      <c r="Q175" s="284"/>
      <c r="R175" s="275"/>
      <c r="S175" s="275"/>
      <c r="T175" s="275"/>
      <c r="U175" s="275"/>
      <c r="V175" s="275"/>
      <c r="W175" s="281"/>
      <c r="X175" s="281"/>
      <c r="Y175" s="281"/>
      <c r="Z175" s="297">
        <v>240.0</v>
      </c>
      <c r="AA175" s="297">
        <v>240.0</v>
      </c>
      <c r="AB175" s="282"/>
      <c r="AC175" s="275"/>
      <c r="AD175" s="275"/>
      <c r="AE175" s="275"/>
      <c r="AF175" s="275"/>
      <c r="AG175" s="275"/>
      <c r="AH175" s="275"/>
      <c r="AI175" s="206"/>
      <c r="AJ175" s="206"/>
    </row>
    <row r="176" hidden="1">
      <c r="A176" s="20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  <c r="AB176" s="275"/>
      <c r="AC176" s="275"/>
      <c r="AD176" s="275"/>
      <c r="AE176" s="275"/>
      <c r="AF176" s="275"/>
      <c r="AG176" s="275"/>
      <c r="AH176" s="275"/>
      <c r="AI176" s="206"/>
      <c r="AJ176" s="206"/>
    </row>
    <row r="177" hidden="1">
      <c r="A177" s="20" t="s">
        <v>12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88"/>
      <c r="Y177" s="275"/>
      <c r="Z177" s="275"/>
      <c r="AA177" s="275"/>
      <c r="AB177" s="275"/>
      <c r="AC177" s="275"/>
      <c r="AD177" s="297">
        <v>300.0</v>
      </c>
      <c r="AE177" s="275"/>
      <c r="AF177" s="275"/>
      <c r="AG177" s="275"/>
      <c r="AH177" s="275"/>
      <c r="AI177" s="206"/>
      <c r="AJ177" s="206"/>
    </row>
    <row r="178" hidden="1">
      <c r="A178" s="20" t="s">
        <v>838</v>
      </c>
      <c r="B178" s="275"/>
      <c r="C178" s="275"/>
      <c r="D178" s="275"/>
      <c r="E178" s="290">
        <v>100.0</v>
      </c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97">
        <v>140.0</v>
      </c>
      <c r="S178" s="275"/>
      <c r="T178" s="275"/>
      <c r="U178" s="275"/>
      <c r="V178" s="275"/>
      <c r="W178" s="275"/>
      <c r="X178" s="275"/>
      <c r="Y178" s="282"/>
      <c r="Z178" s="275"/>
      <c r="AA178" s="275"/>
      <c r="AB178" s="275"/>
      <c r="AC178" s="275"/>
      <c r="AD178" s="297">
        <v>300.0</v>
      </c>
      <c r="AE178" s="275"/>
      <c r="AF178" s="275"/>
      <c r="AG178" s="275"/>
      <c r="AH178" s="275"/>
      <c r="AI178" s="206"/>
      <c r="AJ178" s="206"/>
    </row>
    <row r="179" hidden="1">
      <c r="A179" s="67" t="s">
        <v>822</v>
      </c>
      <c r="B179" s="295">
        <v>100.0</v>
      </c>
      <c r="C179" s="295">
        <v>100.0</v>
      </c>
      <c r="D179" s="295">
        <v>100.0</v>
      </c>
      <c r="E179" s="295">
        <v>100.0</v>
      </c>
      <c r="F179" s="112"/>
      <c r="G179" s="112"/>
      <c r="H179" s="112"/>
      <c r="I179" s="295">
        <v>100.0</v>
      </c>
      <c r="J179" s="295">
        <v>100.0</v>
      </c>
      <c r="K179" s="295">
        <v>100.0</v>
      </c>
      <c r="L179" s="285"/>
      <c r="M179" s="112"/>
      <c r="N179" s="112"/>
      <c r="O179" s="112"/>
      <c r="P179" s="285"/>
      <c r="Q179" s="285"/>
      <c r="R179" s="285"/>
      <c r="S179" s="285"/>
      <c r="T179" s="112"/>
      <c r="U179" s="112"/>
      <c r="V179" s="112"/>
      <c r="W179" s="300">
        <v>100.0</v>
      </c>
      <c r="X179" s="300">
        <v>100.0</v>
      </c>
      <c r="Y179" s="300">
        <v>100.0</v>
      </c>
      <c r="Z179" s="301">
        <v>100.0</v>
      </c>
      <c r="AA179" s="112"/>
      <c r="AB179" s="112"/>
      <c r="AC179" s="112"/>
      <c r="AD179" s="300">
        <v>100.0</v>
      </c>
      <c r="AE179" s="300">
        <v>100.0</v>
      </c>
      <c r="AF179" s="300">
        <v>100.0</v>
      </c>
      <c r="AG179" s="300">
        <v>100.0</v>
      </c>
      <c r="AH179" s="112"/>
    </row>
    <row r="180" hidden="1">
      <c r="A180" s="67" t="s">
        <v>677</v>
      </c>
      <c r="B180" s="295">
        <v>100.0</v>
      </c>
      <c r="C180" s="295">
        <v>100.0</v>
      </c>
      <c r="D180" s="295">
        <v>100.0</v>
      </c>
      <c r="E180" s="295">
        <v>100.0</v>
      </c>
      <c r="F180" s="112"/>
      <c r="G180" s="112"/>
      <c r="H180" s="112"/>
      <c r="I180" s="295">
        <v>100.0</v>
      </c>
      <c r="J180" s="295">
        <v>100.0</v>
      </c>
      <c r="K180" s="295">
        <v>100.0</v>
      </c>
      <c r="L180" s="285"/>
      <c r="M180" s="295">
        <v>300.0</v>
      </c>
      <c r="N180" s="295">
        <v>1920.0</v>
      </c>
      <c r="O180" s="112"/>
      <c r="P180" s="295">
        <v>100.0</v>
      </c>
      <c r="Q180" s="295">
        <v>100.0</v>
      </c>
      <c r="R180" s="295">
        <v>100.0</v>
      </c>
      <c r="S180" s="295">
        <v>100.0</v>
      </c>
      <c r="T180" s="112"/>
      <c r="U180" s="112"/>
      <c r="V180" s="112"/>
      <c r="W180" s="300">
        <v>100.0</v>
      </c>
      <c r="X180" s="300">
        <v>100.0</v>
      </c>
      <c r="Y180" s="300">
        <v>100.0</v>
      </c>
      <c r="Z180" s="300">
        <v>100.0</v>
      </c>
      <c r="AA180" s="112"/>
      <c r="AB180" s="112"/>
      <c r="AC180" s="112"/>
      <c r="AD180" s="112"/>
      <c r="AE180" s="112"/>
      <c r="AF180" s="112"/>
      <c r="AG180" s="112"/>
      <c r="AH180" s="112"/>
    </row>
    <row r="181" hidden="1">
      <c r="A181" s="67" t="s">
        <v>875</v>
      </c>
      <c r="B181" s="295">
        <v>100.0</v>
      </c>
      <c r="C181" s="295">
        <v>100.0</v>
      </c>
      <c r="D181" s="295">
        <v>100.0</v>
      </c>
      <c r="E181" s="295">
        <v>100.0</v>
      </c>
      <c r="F181" s="112"/>
      <c r="G181" s="112"/>
      <c r="H181" s="112"/>
      <c r="I181" s="295">
        <v>100.0</v>
      </c>
      <c r="J181" s="295">
        <v>100.0</v>
      </c>
      <c r="K181" s="295">
        <v>100.0</v>
      </c>
      <c r="L181" s="285"/>
      <c r="M181" s="112"/>
      <c r="N181" s="112"/>
      <c r="O181" s="112"/>
      <c r="P181" s="295">
        <v>100.0</v>
      </c>
      <c r="Q181" s="295">
        <v>100.0</v>
      </c>
      <c r="R181" s="295">
        <v>100.0</v>
      </c>
      <c r="S181" s="295">
        <v>100.0</v>
      </c>
      <c r="T181" s="112"/>
      <c r="U181" s="112"/>
      <c r="V181" s="112"/>
      <c r="W181" s="300">
        <v>100.0</v>
      </c>
      <c r="X181" s="300">
        <v>100.0</v>
      </c>
      <c r="Y181" s="300">
        <v>100.0</v>
      </c>
      <c r="Z181" s="300">
        <v>100.0</v>
      </c>
      <c r="AA181" s="112"/>
      <c r="AB181" s="112"/>
      <c r="AC181" s="112"/>
      <c r="AD181" s="300">
        <v>100.0</v>
      </c>
      <c r="AE181" s="300">
        <v>100.0</v>
      </c>
      <c r="AF181" s="300">
        <v>100.0</v>
      </c>
      <c r="AG181" s="300">
        <v>100.0</v>
      </c>
      <c r="AH181" s="112"/>
    </row>
    <row r="182" hidden="1">
      <c r="A182" s="67" t="s">
        <v>263</v>
      </c>
      <c r="B182" s="295">
        <v>100.0</v>
      </c>
      <c r="C182" s="295">
        <v>100.0</v>
      </c>
      <c r="D182" s="295">
        <v>100.0</v>
      </c>
      <c r="E182" s="295">
        <v>100.0</v>
      </c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285"/>
      <c r="Q182" s="296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300">
        <v>100.0</v>
      </c>
      <c r="AE182" s="300">
        <v>100.0</v>
      </c>
      <c r="AF182" s="300">
        <v>100.0</v>
      </c>
      <c r="AG182" s="300">
        <v>100.0</v>
      </c>
      <c r="AH182" s="112"/>
    </row>
    <row r="183" hidden="1">
      <c r="A183" s="67" t="s">
        <v>944</v>
      </c>
      <c r="B183" s="295">
        <v>100.0</v>
      </c>
      <c r="C183" s="295">
        <v>100.0</v>
      </c>
      <c r="D183" s="295">
        <v>100.0</v>
      </c>
      <c r="E183" s="295">
        <v>100.0</v>
      </c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295">
        <v>100.0</v>
      </c>
      <c r="Q183" s="295">
        <v>100.0</v>
      </c>
      <c r="R183" s="295">
        <v>100.0</v>
      </c>
      <c r="S183" s="295">
        <v>100.0</v>
      </c>
      <c r="T183" s="112"/>
      <c r="U183" s="112"/>
      <c r="V183" s="112"/>
      <c r="W183" s="300">
        <v>100.0</v>
      </c>
      <c r="X183" s="300">
        <v>100.0</v>
      </c>
      <c r="Y183" s="300">
        <v>100.0</v>
      </c>
      <c r="Z183" s="300">
        <v>100.0</v>
      </c>
      <c r="AA183" s="112"/>
      <c r="AB183" s="112"/>
      <c r="AC183" s="112"/>
      <c r="AD183" s="300">
        <v>100.0</v>
      </c>
      <c r="AE183" s="300">
        <v>100.0</v>
      </c>
      <c r="AF183" s="300">
        <v>100.0</v>
      </c>
      <c r="AG183" s="300">
        <v>100.0</v>
      </c>
      <c r="AH183" s="77"/>
    </row>
    <row r="184" hidden="1">
      <c r="A184" s="67" t="s">
        <v>945</v>
      </c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285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77"/>
      <c r="AG184" s="77"/>
      <c r="AH184" s="77"/>
    </row>
    <row r="185" hidden="1">
      <c r="A185" s="1">
        <v>2.0</v>
      </c>
    </row>
    <row r="186" hidden="1"/>
    <row r="187" hidden="1"/>
    <row r="188" hidden="1">
      <c r="A188" s="251" t="s">
        <v>788</v>
      </c>
      <c r="B188" s="252" t="s">
        <v>25</v>
      </c>
      <c r="C188" s="253" t="s">
        <v>789</v>
      </c>
      <c r="D188" s="253" t="s">
        <v>27</v>
      </c>
      <c r="E188" s="253" t="s">
        <v>2</v>
      </c>
      <c r="F188" s="253" t="s">
        <v>3</v>
      </c>
      <c r="G188" s="254" t="s">
        <v>790</v>
      </c>
      <c r="H188" s="255"/>
      <c r="I188" s="253" t="s">
        <v>25</v>
      </c>
      <c r="J188" s="253" t="s">
        <v>789</v>
      </c>
      <c r="K188" s="253" t="s">
        <v>27</v>
      </c>
      <c r="L188" s="253" t="s">
        <v>2</v>
      </c>
      <c r="M188" s="253" t="s">
        <v>3</v>
      </c>
      <c r="N188" s="287" t="s">
        <v>790</v>
      </c>
      <c r="O188" s="255"/>
      <c r="P188" s="253" t="s">
        <v>25</v>
      </c>
      <c r="Q188" s="256" t="s">
        <v>789</v>
      </c>
      <c r="R188" s="253" t="s">
        <v>27</v>
      </c>
      <c r="S188" s="253" t="s">
        <v>2</v>
      </c>
      <c r="T188" s="253" t="s">
        <v>3</v>
      </c>
      <c r="U188" s="254" t="s">
        <v>790</v>
      </c>
      <c r="V188" s="255"/>
      <c r="W188" s="253" t="s">
        <v>25</v>
      </c>
      <c r="X188" s="256" t="s">
        <v>789</v>
      </c>
      <c r="Y188" s="253" t="s">
        <v>27</v>
      </c>
      <c r="Z188" s="253" t="s">
        <v>2</v>
      </c>
      <c r="AA188" s="253" t="s">
        <v>3</v>
      </c>
      <c r="AB188" s="257" t="s">
        <v>790</v>
      </c>
      <c r="AC188" s="277"/>
      <c r="AD188" s="278" t="s">
        <v>25</v>
      </c>
      <c r="AE188" s="279" t="s">
        <v>789</v>
      </c>
      <c r="AF188" s="278" t="s">
        <v>27</v>
      </c>
      <c r="AG188" s="278" t="s">
        <v>2</v>
      </c>
      <c r="AH188" s="278" t="s">
        <v>3</v>
      </c>
      <c r="AI188" s="254"/>
      <c r="AJ188" s="258"/>
    </row>
    <row r="189" hidden="1">
      <c r="A189" s="206"/>
      <c r="B189" s="260">
        <v>4.08</v>
      </c>
      <c r="C189" s="260">
        <v>5.08</v>
      </c>
      <c r="D189" s="260">
        <v>6.08</v>
      </c>
      <c r="E189" s="260">
        <v>7.08</v>
      </c>
      <c r="F189" s="260">
        <v>8.08</v>
      </c>
      <c r="G189" s="260">
        <v>9.08</v>
      </c>
      <c r="H189" s="260"/>
      <c r="I189" s="260">
        <v>11.08</v>
      </c>
      <c r="J189" s="260">
        <v>12.08</v>
      </c>
      <c r="K189" s="260">
        <v>13.08</v>
      </c>
      <c r="L189" s="260">
        <v>14.08</v>
      </c>
      <c r="M189" s="260">
        <v>15.08</v>
      </c>
      <c r="N189" s="260">
        <v>16.08</v>
      </c>
      <c r="O189" s="260"/>
      <c r="P189" s="260">
        <v>18.08</v>
      </c>
      <c r="Q189" s="260">
        <v>19.08</v>
      </c>
      <c r="R189" s="260">
        <v>20.08</v>
      </c>
      <c r="S189" s="260">
        <v>21.08</v>
      </c>
      <c r="T189" s="260">
        <v>22.08</v>
      </c>
      <c r="U189" s="260">
        <v>23.08</v>
      </c>
      <c r="V189" s="260"/>
      <c r="W189" s="260">
        <v>25.08</v>
      </c>
      <c r="X189" s="260">
        <v>26.08</v>
      </c>
      <c r="Y189" s="260">
        <v>27.08</v>
      </c>
      <c r="Z189" s="260">
        <v>28.08</v>
      </c>
      <c r="AA189" s="260">
        <v>29.08</v>
      </c>
      <c r="AB189" s="260">
        <v>30.08</v>
      </c>
      <c r="AC189" s="260"/>
      <c r="AD189" s="280"/>
      <c r="AE189" s="280"/>
      <c r="AF189" s="280"/>
      <c r="AG189" s="280"/>
      <c r="AH189" s="280"/>
      <c r="AI189" s="262"/>
      <c r="AJ189" s="262"/>
    </row>
    <row r="190" hidden="1">
      <c r="A190" s="263" t="s">
        <v>816</v>
      </c>
      <c r="B190" s="275"/>
      <c r="C190" s="297">
        <v>70.0</v>
      </c>
      <c r="D190" s="282"/>
      <c r="E190" s="297">
        <v>140.0</v>
      </c>
      <c r="F190" s="275"/>
      <c r="G190" s="275"/>
      <c r="H190" s="275"/>
      <c r="I190" s="282"/>
      <c r="J190" s="297">
        <v>70.0</v>
      </c>
      <c r="K190" s="266">
        <v>70.0</v>
      </c>
      <c r="L190" s="266">
        <v>70.0</v>
      </c>
      <c r="M190" s="288"/>
      <c r="N190" s="275"/>
      <c r="O190" s="275"/>
      <c r="P190" s="266">
        <v>140.0</v>
      </c>
      <c r="Q190" s="267">
        <v>140.0</v>
      </c>
      <c r="R190" s="282"/>
      <c r="S190" s="267">
        <v>70.0</v>
      </c>
      <c r="T190" s="275"/>
      <c r="U190" s="275"/>
      <c r="V190" s="275"/>
      <c r="W190" s="266">
        <v>70.0</v>
      </c>
      <c r="X190" s="282"/>
      <c r="Y190" s="266">
        <v>140.0</v>
      </c>
      <c r="Z190" s="267">
        <v>70.0</v>
      </c>
      <c r="AA190" s="266">
        <v>140.0</v>
      </c>
      <c r="AB190" s="275"/>
      <c r="AC190" s="275"/>
      <c r="AD190" s="282"/>
      <c r="AE190" s="282"/>
      <c r="AF190" s="275"/>
      <c r="AG190" s="275"/>
      <c r="AH190" s="275"/>
      <c r="AI190" s="206"/>
      <c r="AJ190" s="206"/>
    </row>
    <row r="191" hidden="1">
      <c r="A191" s="11" t="s">
        <v>817</v>
      </c>
      <c r="B191" s="275"/>
      <c r="C191" s="297">
        <v>70.0</v>
      </c>
      <c r="D191" s="282"/>
      <c r="E191" s="297">
        <v>140.0</v>
      </c>
      <c r="F191" s="275"/>
      <c r="G191" s="275"/>
      <c r="H191" s="275"/>
      <c r="I191" s="282"/>
      <c r="J191" s="297">
        <v>70.0</v>
      </c>
      <c r="K191" s="266">
        <v>70.0</v>
      </c>
      <c r="L191" s="266">
        <v>70.0</v>
      </c>
      <c r="M191" s="288"/>
      <c r="N191" s="275"/>
      <c r="O191" s="275"/>
      <c r="P191" s="266">
        <v>140.0</v>
      </c>
      <c r="Q191" s="267">
        <v>140.0</v>
      </c>
      <c r="R191" s="282"/>
      <c r="S191" s="267">
        <v>70.0</v>
      </c>
      <c r="T191" s="275"/>
      <c r="U191" s="275"/>
      <c r="V191" s="275"/>
      <c r="W191" s="266">
        <v>70.0</v>
      </c>
      <c r="X191" s="282"/>
      <c r="Y191" s="266">
        <v>140.0</v>
      </c>
      <c r="Z191" s="267">
        <v>70.0</v>
      </c>
      <c r="AA191" s="266">
        <v>140.0</v>
      </c>
      <c r="AB191" s="275"/>
      <c r="AC191" s="275"/>
      <c r="AD191" s="282"/>
      <c r="AE191" s="282"/>
      <c r="AF191" s="282"/>
      <c r="AG191" s="275"/>
      <c r="AH191" s="275"/>
      <c r="AI191" s="206"/>
      <c r="AJ191" s="206"/>
    </row>
    <row r="192" hidden="1">
      <c r="A192" s="17" t="s">
        <v>44</v>
      </c>
      <c r="B192" s="297">
        <v>140.0</v>
      </c>
      <c r="C192" s="297">
        <v>140.0</v>
      </c>
      <c r="D192" s="297">
        <v>140.0</v>
      </c>
      <c r="E192" s="282"/>
      <c r="F192" s="275"/>
      <c r="G192" s="275"/>
      <c r="H192" s="275"/>
      <c r="I192" s="275"/>
      <c r="J192" s="282"/>
      <c r="K192" s="275"/>
      <c r="L192" s="275"/>
      <c r="M192" s="281"/>
      <c r="N192" s="275"/>
      <c r="O192" s="275"/>
      <c r="P192" s="282"/>
      <c r="Q192" s="288"/>
      <c r="R192" s="282"/>
      <c r="S192" s="288"/>
      <c r="T192" s="275"/>
      <c r="U192" s="275"/>
      <c r="V192" s="275"/>
      <c r="W192" s="282"/>
      <c r="X192" s="282"/>
      <c r="Y192" s="282"/>
      <c r="Z192" s="281"/>
      <c r="AA192" s="282"/>
      <c r="AB192" s="275"/>
      <c r="AC192" s="275"/>
      <c r="AD192" s="282"/>
      <c r="AE192" s="282"/>
      <c r="AF192" s="282"/>
      <c r="AG192" s="275"/>
      <c r="AH192" s="275"/>
      <c r="AI192" s="206"/>
      <c r="AJ192" s="206"/>
    </row>
    <row r="193" hidden="1">
      <c r="A193" s="11" t="s">
        <v>310</v>
      </c>
      <c r="B193" s="297">
        <v>140.0</v>
      </c>
      <c r="C193" s="282"/>
      <c r="D193" s="282"/>
      <c r="E193" s="282"/>
      <c r="F193" s="282"/>
      <c r="G193" s="275"/>
      <c r="H193" s="275"/>
      <c r="I193" s="297">
        <v>140.0</v>
      </c>
      <c r="J193" s="282"/>
      <c r="K193" s="282"/>
      <c r="L193" s="282"/>
      <c r="M193" s="275"/>
      <c r="N193" s="275"/>
      <c r="O193" s="275"/>
      <c r="P193" s="282"/>
      <c r="Q193" s="288"/>
      <c r="R193" s="282"/>
      <c r="S193" s="266">
        <v>140.0</v>
      </c>
      <c r="T193" s="266">
        <v>100.0</v>
      </c>
      <c r="U193" s="275"/>
      <c r="V193" s="275"/>
      <c r="W193" s="266">
        <v>60.0</v>
      </c>
      <c r="X193" s="267">
        <v>440.0</v>
      </c>
      <c r="Y193" s="282"/>
      <c r="Z193" s="288"/>
      <c r="AA193" s="266">
        <v>140.0</v>
      </c>
      <c r="AB193" s="275"/>
      <c r="AC193" s="275"/>
      <c r="AD193" s="282"/>
      <c r="AE193" s="275"/>
      <c r="AF193" s="275"/>
      <c r="AG193" s="275"/>
      <c r="AH193" s="275"/>
      <c r="AI193" s="206"/>
      <c r="AJ193" s="206"/>
    </row>
    <row r="194" hidden="1">
      <c r="A194" s="11" t="s">
        <v>819</v>
      </c>
      <c r="B194" s="282"/>
      <c r="C194" s="282"/>
      <c r="D194" s="282"/>
      <c r="E194" s="282"/>
      <c r="F194" s="282"/>
      <c r="G194" s="275"/>
      <c r="H194" s="275"/>
      <c r="I194" s="297">
        <v>140.0</v>
      </c>
      <c r="J194" s="282"/>
      <c r="K194" s="282"/>
      <c r="L194" s="282"/>
      <c r="M194" s="275"/>
      <c r="N194" s="275"/>
      <c r="O194" s="275"/>
      <c r="P194" s="282"/>
      <c r="Q194" s="282"/>
      <c r="R194" s="282"/>
      <c r="S194" s="266">
        <v>140.0</v>
      </c>
      <c r="T194" s="266">
        <v>100.0</v>
      </c>
      <c r="U194" s="275"/>
      <c r="V194" s="275"/>
      <c r="W194" s="266">
        <v>60.0</v>
      </c>
      <c r="X194" s="267">
        <v>440.0</v>
      </c>
      <c r="Y194" s="282"/>
      <c r="Z194" s="282"/>
      <c r="AA194" s="266">
        <v>140.0</v>
      </c>
      <c r="AB194" s="282"/>
      <c r="AC194" s="275"/>
      <c r="AD194" s="282"/>
      <c r="AE194" s="275"/>
      <c r="AF194" s="275"/>
      <c r="AG194" s="275"/>
      <c r="AH194" s="275"/>
      <c r="AI194" s="206"/>
      <c r="AJ194" s="206"/>
    </row>
    <row r="195" hidden="1">
      <c r="A195" s="17" t="s">
        <v>735</v>
      </c>
      <c r="B195" s="297">
        <v>140.0</v>
      </c>
      <c r="C195" s="297">
        <v>140.0</v>
      </c>
      <c r="D195" s="297">
        <v>140.0</v>
      </c>
      <c r="E195" s="282"/>
      <c r="F195" s="275"/>
      <c r="G195" s="275"/>
      <c r="H195" s="275"/>
      <c r="I195" s="282"/>
      <c r="J195" s="282"/>
      <c r="K195" s="282"/>
      <c r="L195" s="297">
        <v>140.0</v>
      </c>
      <c r="M195" s="282"/>
      <c r="N195" s="275"/>
      <c r="O195" s="275"/>
      <c r="P195" s="266">
        <v>140.0</v>
      </c>
      <c r="Q195" s="266">
        <v>100.0</v>
      </c>
      <c r="R195" s="266">
        <v>100.0</v>
      </c>
      <c r="S195" s="266">
        <v>100.0</v>
      </c>
      <c r="T195" s="275"/>
      <c r="U195" s="275"/>
      <c r="V195" s="275"/>
      <c r="W195" s="266">
        <v>100.0</v>
      </c>
      <c r="X195" s="266">
        <v>100.0</v>
      </c>
      <c r="Y195" s="266">
        <v>100.0</v>
      </c>
      <c r="Z195" s="266">
        <v>100.0</v>
      </c>
      <c r="AA195" s="275"/>
      <c r="AB195" s="275"/>
      <c r="AC195" s="275"/>
      <c r="AD195" s="282"/>
      <c r="AE195" s="275"/>
      <c r="AF195" s="275"/>
      <c r="AG195" s="275"/>
      <c r="AH195" s="275"/>
      <c r="AI195" s="206"/>
      <c r="AJ195" s="206"/>
    </row>
    <row r="196" hidden="1">
      <c r="A196" s="17" t="s">
        <v>866</v>
      </c>
      <c r="B196" s="297">
        <v>140.0</v>
      </c>
      <c r="C196" s="282"/>
      <c r="D196" s="282"/>
      <c r="E196" s="282"/>
      <c r="F196" s="275"/>
      <c r="G196" s="275"/>
      <c r="H196" s="275"/>
      <c r="I196" s="275"/>
      <c r="J196" s="282"/>
      <c r="K196" s="282"/>
      <c r="L196" s="297">
        <v>140.0</v>
      </c>
      <c r="M196" s="282"/>
      <c r="N196" s="275"/>
      <c r="O196" s="275"/>
      <c r="P196" s="266">
        <v>140.0</v>
      </c>
      <c r="Q196" s="267">
        <v>100.0</v>
      </c>
      <c r="R196" s="266">
        <v>100.0</v>
      </c>
      <c r="S196" s="267">
        <v>100.0</v>
      </c>
      <c r="T196" s="275"/>
      <c r="U196" s="275"/>
      <c r="V196" s="275"/>
      <c r="W196" s="266">
        <v>100.0</v>
      </c>
      <c r="X196" s="266">
        <v>100.0</v>
      </c>
      <c r="Y196" s="267">
        <v>100.0</v>
      </c>
      <c r="Z196" s="266">
        <v>100.0</v>
      </c>
      <c r="AA196" s="275"/>
      <c r="AB196" s="275"/>
      <c r="AC196" s="275"/>
      <c r="AD196" s="282"/>
      <c r="AE196" s="288"/>
      <c r="AF196" s="282"/>
      <c r="AG196" s="288"/>
      <c r="AH196" s="275"/>
      <c r="AI196" s="206"/>
      <c r="AJ196" s="206"/>
    </row>
    <row r="197" hidden="1">
      <c r="A197" s="17" t="s">
        <v>867</v>
      </c>
      <c r="B197" s="282"/>
      <c r="C197" s="282"/>
      <c r="D197" s="282"/>
      <c r="E197" s="282"/>
      <c r="F197" s="275"/>
      <c r="G197" s="275"/>
      <c r="H197" s="275"/>
      <c r="I197" s="275"/>
      <c r="J197" s="282"/>
      <c r="K197" s="282"/>
      <c r="L197" s="297">
        <v>140.0</v>
      </c>
      <c r="M197" s="282"/>
      <c r="N197" s="275"/>
      <c r="O197" s="275"/>
      <c r="P197" s="266">
        <v>140.0</v>
      </c>
      <c r="Q197" s="267">
        <v>100.0</v>
      </c>
      <c r="R197" s="266">
        <v>100.0</v>
      </c>
      <c r="S197" s="267">
        <v>100.0</v>
      </c>
      <c r="T197" s="275"/>
      <c r="U197" s="275"/>
      <c r="V197" s="275"/>
      <c r="W197" s="266">
        <v>100.0</v>
      </c>
      <c r="X197" s="266">
        <v>100.0</v>
      </c>
      <c r="Y197" s="267">
        <v>100.0</v>
      </c>
      <c r="Z197" s="266">
        <v>100.0</v>
      </c>
      <c r="AA197" s="275"/>
      <c r="AB197" s="275"/>
      <c r="AC197" s="275"/>
      <c r="AD197" s="282"/>
      <c r="AE197" s="288"/>
      <c r="AF197" s="282"/>
      <c r="AG197" s="288"/>
      <c r="AH197" s="275"/>
      <c r="AI197" s="206"/>
      <c r="AJ197" s="206"/>
    </row>
    <row r="198" hidden="1">
      <c r="A198" s="17" t="s">
        <v>818</v>
      </c>
      <c r="B198" s="285"/>
      <c r="C198" s="95">
        <v>140.0</v>
      </c>
      <c r="D198" s="282"/>
      <c r="E198" s="297">
        <v>140.0</v>
      </c>
      <c r="F198" s="282"/>
      <c r="G198" s="282"/>
      <c r="H198" s="275"/>
      <c r="I198" s="297">
        <v>140.0</v>
      </c>
      <c r="J198" s="297">
        <v>140.0</v>
      </c>
      <c r="K198" s="297">
        <v>140.0</v>
      </c>
      <c r="L198" s="282"/>
      <c r="M198" s="297">
        <v>500.0</v>
      </c>
      <c r="N198" s="275"/>
      <c r="O198" s="275"/>
      <c r="P198" s="266">
        <v>140.0</v>
      </c>
      <c r="Q198" s="282"/>
      <c r="R198" s="282"/>
      <c r="S198" s="288"/>
      <c r="T198" s="282"/>
      <c r="U198" s="275"/>
      <c r="V198" s="275"/>
      <c r="W198" s="266">
        <v>70.0</v>
      </c>
      <c r="X198" s="282"/>
      <c r="Y198" s="282"/>
      <c r="Z198" s="282"/>
      <c r="AA198" s="275"/>
      <c r="AB198" s="275"/>
      <c r="AC198" s="275"/>
      <c r="AD198" s="275"/>
      <c r="AE198" s="282"/>
      <c r="AF198" s="282"/>
      <c r="AG198" s="288"/>
      <c r="AH198" s="282"/>
      <c r="AI198" s="206"/>
      <c r="AJ198" s="206"/>
    </row>
    <row r="199" hidden="1">
      <c r="A199" s="17" t="s">
        <v>827</v>
      </c>
      <c r="B199" s="285"/>
      <c r="C199" s="95">
        <v>140.0</v>
      </c>
      <c r="D199" s="282"/>
      <c r="E199" s="297">
        <v>140.0</v>
      </c>
      <c r="F199" s="282"/>
      <c r="G199" s="282"/>
      <c r="H199" s="275"/>
      <c r="I199" s="297">
        <v>140.0</v>
      </c>
      <c r="J199" s="297">
        <v>140.0</v>
      </c>
      <c r="K199" s="297">
        <v>140.0</v>
      </c>
      <c r="L199" s="282"/>
      <c r="M199" s="297">
        <v>500.0</v>
      </c>
      <c r="N199" s="275"/>
      <c r="O199" s="275"/>
      <c r="P199" s="266">
        <v>140.0</v>
      </c>
      <c r="Q199" s="282"/>
      <c r="R199" s="282"/>
      <c r="S199" s="288"/>
      <c r="T199" s="282"/>
      <c r="U199" s="275"/>
      <c r="V199" s="275"/>
      <c r="W199" s="266">
        <v>70.0</v>
      </c>
      <c r="X199" s="282"/>
      <c r="Y199" s="282"/>
      <c r="Z199" s="282"/>
      <c r="AA199" s="275"/>
      <c r="AB199" s="275"/>
      <c r="AC199" s="275"/>
      <c r="AD199" s="275"/>
      <c r="AE199" s="282"/>
      <c r="AF199" s="282"/>
      <c r="AG199" s="288"/>
      <c r="AH199" s="282"/>
      <c r="AI199" s="206"/>
      <c r="AJ199" s="206"/>
    </row>
    <row r="200" hidden="1">
      <c r="A200" s="20" t="s">
        <v>832</v>
      </c>
      <c r="B200" s="297">
        <v>140.0</v>
      </c>
      <c r="C200" s="297">
        <v>70.0</v>
      </c>
      <c r="D200" s="297">
        <v>200.0</v>
      </c>
      <c r="E200" s="297">
        <v>140.0</v>
      </c>
      <c r="F200" s="282"/>
      <c r="G200" s="275"/>
      <c r="H200" s="275"/>
      <c r="I200" s="297">
        <v>70.0</v>
      </c>
      <c r="J200" s="297">
        <v>70.0</v>
      </c>
      <c r="K200" s="282"/>
      <c r="L200" s="297">
        <v>140.0</v>
      </c>
      <c r="M200" s="282"/>
      <c r="N200" s="275"/>
      <c r="O200" s="275"/>
      <c r="P200" s="266">
        <v>140.0</v>
      </c>
      <c r="Q200" s="282"/>
      <c r="R200" s="282"/>
      <c r="S200" s="282"/>
      <c r="T200" s="266">
        <v>70.0</v>
      </c>
      <c r="U200" s="275"/>
      <c r="V200" s="275"/>
      <c r="W200" s="267">
        <v>140.0</v>
      </c>
      <c r="X200" s="267">
        <v>60.0</v>
      </c>
      <c r="Y200" s="267">
        <v>140.0</v>
      </c>
      <c r="Z200" s="288"/>
      <c r="AA200" s="275"/>
      <c r="AB200" s="275"/>
      <c r="AC200" s="275"/>
      <c r="AD200" s="282"/>
      <c r="AE200" s="288"/>
      <c r="AF200" s="282"/>
      <c r="AG200" s="288"/>
      <c r="AH200" s="275"/>
      <c r="AI200" s="206"/>
      <c r="AJ200" s="206"/>
    </row>
    <row r="201" hidden="1">
      <c r="A201" s="20" t="s">
        <v>835</v>
      </c>
      <c r="B201" s="297">
        <v>140.0</v>
      </c>
      <c r="C201" s="297">
        <v>70.0</v>
      </c>
      <c r="D201" s="297">
        <v>200.0</v>
      </c>
      <c r="E201" s="297">
        <v>140.0</v>
      </c>
      <c r="F201" s="282"/>
      <c r="G201" s="275"/>
      <c r="H201" s="275"/>
      <c r="I201" s="297">
        <v>70.0</v>
      </c>
      <c r="J201" s="297">
        <v>70.0</v>
      </c>
      <c r="K201" s="282"/>
      <c r="L201" s="282"/>
      <c r="M201" s="282"/>
      <c r="N201" s="275"/>
      <c r="O201" s="275"/>
      <c r="P201" s="266">
        <v>140.0</v>
      </c>
      <c r="Q201" s="282"/>
      <c r="R201" s="282"/>
      <c r="S201" s="282"/>
      <c r="T201" s="266">
        <v>70.0</v>
      </c>
      <c r="U201" s="275"/>
      <c r="V201" s="275"/>
      <c r="W201" s="267">
        <v>140.0</v>
      </c>
      <c r="X201" s="267">
        <v>60.0</v>
      </c>
      <c r="Y201" s="267">
        <v>140.0</v>
      </c>
      <c r="Z201" s="288"/>
      <c r="AA201" s="275"/>
      <c r="AB201" s="275"/>
      <c r="AC201" s="275"/>
      <c r="AD201" s="282"/>
      <c r="AE201" s="288"/>
      <c r="AF201" s="282"/>
      <c r="AG201" s="288"/>
      <c r="AH201" s="275"/>
      <c r="AI201" s="206"/>
      <c r="AJ201" s="206"/>
    </row>
    <row r="202" hidden="1">
      <c r="A202" s="20" t="s">
        <v>836</v>
      </c>
      <c r="B202" s="297">
        <v>140.0</v>
      </c>
      <c r="C202" s="297">
        <v>70.0</v>
      </c>
      <c r="D202" s="297">
        <v>200.0</v>
      </c>
      <c r="E202" s="297">
        <v>140.0</v>
      </c>
      <c r="F202" s="282"/>
      <c r="G202" s="275"/>
      <c r="H202" s="275"/>
      <c r="I202" s="297">
        <v>70.0</v>
      </c>
      <c r="J202" s="297">
        <v>70.0</v>
      </c>
      <c r="K202" s="282"/>
      <c r="L202" s="297">
        <v>140.0</v>
      </c>
      <c r="M202" s="282"/>
      <c r="N202" s="275"/>
      <c r="O202" s="275"/>
      <c r="P202" s="266">
        <v>140.0</v>
      </c>
      <c r="Q202" s="282"/>
      <c r="R202" s="282"/>
      <c r="S202" s="282"/>
      <c r="T202" s="266">
        <v>70.0</v>
      </c>
      <c r="U202" s="275"/>
      <c r="V202" s="275"/>
      <c r="W202" s="267">
        <v>140.0</v>
      </c>
      <c r="X202" s="267">
        <v>60.0</v>
      </c>
      <c r="Y202" s="267">
        <v>140.0</v>
      </c>
      <c r="Z202" s="288"/>
      <c r="AA202" s="275"/>
      <c r="AB202" s="275"/>
      <c r="AC202" s="275"/>
      <c r="AD202" s="282"/>
      <c r="AE202" s="288"/>
      <c r="AF202" s="282"/>
      <c r="AG202" s="288"/>
      <c r="AH202" s="275"/>
      <c r="AI202" s="206"/>
      <c r="AJ202" s="206"/>
    </row>
    <row r="203" hidden="1">
      <c r="A203" s="272" t="s">
        <v>824</v>
      </c>
      <c r="B203" s="282"/>
      <c r="C203" s="282"/>
      <c r="D203" s="282"/>
      <c r="E203" s="282"/>
      <c r="F203" s="275"/>
      <c r="G203" s="275"/>
      <c r="H203" s="275"/>
      <c r="I203" s="282"/>
      <c r="J203" s="282"/>
      <c r="K203" s="282"/>
      <c r="L203" s="282"/>
      <c r="M203" s="275"/>
      <c r="N203" s="275"/>
      <c r="O203" s="275"/>
      <c r="P203" s="282"/>
      <c r="Q203" s="288"/>
      <c r="R203" s="282"/>
      <c r="S203" s="288"/>
      <c r="T203" s="241">
        <v>70.0</v>
      </c>
      <c r="U203" s="275"/>
      <c r="V203" s="275"/>
      <c r="W203" s="288"/>
      <c r="X203" s="292"/>
      <c r="Y203" s="292"/>
      <c r="Z203" s="282"/>
      <c r="AA203" s="275"/>
      <c r="AB203" s="275"/>
      <c r="AC203" s="275"/>
      <c r="AD203" s="275"/>
      <c r="AE203" s="282"/>
      <c r="AF203" s="275"/>
      <c r="AG203" s="275"/>
      <c r="AH203" s="282"/>
      <c r="AI203" s="206"/>
      <c r="AJ203" s="206"/>
    </row>
    <row r="204" hidden="1">
      <c r="A204" s="67" t="s">
        <v>869</v>
      </c>
      <c r="B204" s="297">
        <v>100.0</v>
      </c>
      <c r="C204" s="297">
        <v>100.0</v>
      </c>
      <c r="D204" s="297">
        <v>100.0</v>
      </c>
      <c r="E204" s="297">
        <v>100.0</v>
      </c>
      <c r="F204" s="275"/>
      <c r="G204" s="275"/>
      <c r="H204" s="275"/>
      <c r="I204" s="282"/>
      <c r="J204" s="292"/>
      <c r="K204" s="282"/>
      <c r="L204" s="282"/>
      <c r="M204" s="275"/>
      <c r="N204" s="275"/>
      <c r="O204" s="275"/>
      <c r="P204" s="241">
        <v>140.0</v>
      </c>
      <c r="Q204" s="241">
        <v>140.0</v>
      </c>
      <c r="R204" s="241">
        <v>140.0</v>
      </c>
      <c r="S204" s="241">
        <v>140.0</v>
      </c>
      <c r="T204" s="241">
        <v>140.0</v>
      </c>
      <c r="U204" s="275"/>
      <c r="V204" s="275"/>
      <c r="W204" s="266">
        <v>140.0</v>
      </c>
      <c r="X204" s="267">
        <v>140.0</v>
      </c>
      <c r="Y204" s="267">
        <v>140.0</v>
      </c>
      <c r="Z204" s="267">
        <v>140.0</v>
      </c>
      <c r="AA204" s="267">
        <v>140.0</v>
      </c>
      <c r="AB204" s="275"/>
      <c r="AC204" s="275"/>
      <c r="AD204" s="282"/>
      <c r="AE204" s="282"/>
      <c r="AF204" s="282"/>
      <c r="AG204" s="282"/>
      <c r="AH204" s="282"/>
      <c r="AI204" s="206"/>
      <c r="AJ204" s="206"/>
    </row>
    <row r="205" hidden="1">
      <c r="A205" s="67" t="s">
        <v>870</v>
      </c>
      <c r="B205" s="297">
        <v>100.0</v>
      </c>
      <c r="C205" s="297">
        <v>100.0</v>
      </c>
      <c r="D205" s="297">
        <v>100.0</v>
      </c>
      <c r="E205" s="297">
        <v>100.0</v>
      </c>
      <c r="F205" s="275"/>
      <c r="G205" s="275"/>
      <c r="H205" s="275"/>
      <c r="I205" s="282"/>
      <c r="J205" s="282"/>
      <c r="K205" s="282"/>
      <c r="L205" s="282"/>
      <c r="M205" s="275"/>
      <c r="N205" s="275"/>
      <c r="O205" s="275"/>
      <c r="P205" s="241">
        <v>140.0</v>
      </c>
      <c r="Q205" s="241">
        <v>140.0</v>
      </c>
      <c r="R205" s="241">
        <v>140.0</v>
      </c>
      <c r="S205" s="241">
        <v>140.0</v>
      </c>
      <c r="T205" s="241">
        <v>140.0</v>
      </c>
      <c r="U205" s="275"/>
      <c r="V205" s="275"/>
      <c r="W205" s="266">
        <v>140.0</v>
      </c>
      <c r="X205" s="267">
        <v>140.0</v>
      </c>
      <c r="Y205" s="267">
        <v>140.0</v>
      </c>
      <c r="Z205" s="267">
        <v>140.0</v>
      </c>
      <c r="AA205" s="267">
        <v>140.0</v>
      </c>
      <c r="AB205" s="275"/>
      <c r="AC205" s="275"/>
      <c r="AD205" s="282"/>
      <c r="AE205" s="282"/>
      <c r="AF205" s="282"/>
      <c r="AG205" s="282"/>
      <c r="AH205" s="282"/>
      <c r="AI205" s="206"/>
      <c r="AJ205" s="206"/>
    </row>
    <row r="206" hidden="1">
      <c r="A206" s="272" t="s">
        <v>825</v>
      </c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  <c r="AB206" s="275"/>
      <c r="AC206" s="275"/>
      <c r="AD206" s="275"/>
      <c r="AE206" s="275"/>
      <c r="AF206" s="275"/>
      <c r="AG206" s="275"/>
      <c r="AH206" s="275"/>
      <c r="AI206" s="206"/>
      <c r="AJ206" s="206"/>
    </row>
    <row r="207" hidden="1">
      <c r="A207" s="272" t="s">
        <v>826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  <c r="AB207" s="275"/>
      <c r="AC207" s="275"/>
      <c r="AD207" s="275"/>
      <c r="AE207" s="275"/>
      <c r="AF207" s="275"/>
      <c r="AG207" s="275"/>
      <c r="AH207" s="275"/>
      <c r="AI207" s="206"/>
      <c r="AJ207" s="206"/>
    </row>
    <row r="208" hidden="1">
      <c r="A208" s="274" t="s">
        <v>680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  <c r="AB208" s="275"/>
      <c r="AC208" s="275"/>
      <c r="AD208" s="275"/>
      <c r="AE208" s="275"/>
      <c r="AF208" s="275"/>
      <c r="AG208" s="275"/>
      <c r="AH208" s="275"/>
      <c r="AI208" s="206"/>
      <c r="AJ208" s="206"/>
    </row>
    <row r="209" hidden="1">
      <c r="A209" s="274" t="s">
        <v>828</v>
      </c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82"/>
      <c r="Q209" s="275"/>
      <c r="R209" s="275"/>
      <c r="S209" s="282"/>
      <c r="T209" s="275"/>
      <c r="U209" s="275"/>
      <c r="V209" s="275"/>
      <c r="W209" s="275"/>
      <c r="X209" s="275"/>
      <c r="Y209" s="275"/>
      <c r="Z209" s="275"/>
      <c r="AA209" s="275"/>
      <c r="AB209" s="275"/>
      <c r="AC209" s="275"/>
      <c r="AD209" s="275"/>
      <c r="AE209" s="275"/>
      <c r="AF209" s="275"/>
      <c r="AG209" s="275"/>
      <c r="AH209" s="275"/>
      <c r="AI209" s="206"/>
      <c r="AJ209" s="206"/>
    </row>
    <row r="210" hidden="1">
      <c r="A210" s="20" t="s">
        <v>829</v>
      </c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82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  <c r="AB210" s="275"/>
      <c r="AC210" s="275"/>
      <c r="AD210" s="275"/>
      <c r="AE210" s="275"/>
      <c r="AF210" s="275"/>
      <c r="AG210" s="275"/>
      <c r="AH210" s="275"/>
      <c r="AI210" s="206"/>
      <c r="AJ210" s="206"/>
    </row>
    <row r="211" hidden="1">
      <c r="A211" s="20" t="s">
        <v>830</v>
      </c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82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  <c r="AB211" s="275"/>
      <c r="AC211" s="275"/>
      <c r="AD211" s="275"/>
      <c r="AE211" s="275"/>
      <c r="AF211" s="275"/>
      <c r="AG211" s="275"/>
      <c r="AH211" s="275"/>
      <c r="AI211" s="206"/>
      <c r="AJ211" s="206"/>
    </row>
    <row r="212" hidden="1">
      <c r="A212" s="67" t="s">
        <v>871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82"/>
      <c r="Q212" s="275"/>
      <c r="R212" s="282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82"/>
      <c r="AC212" s="275"/>
      <c r="AD212" s="275"/>
      <c r="AE212" s="275"/>
      <c r="AF212" s="275"/>
      <c r="AG212" s="275"/>
      <c r="AH212" s="275"/>
      <c r="AI212" s="206"/>
      <c r="AJ212" s="206"/>
    </row>
    <row r="213" hidden="1">
      <c r="A213" s="67" t="s">
        <v>948</v>
      </c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  <c r="AB213" s="282"/>
      <c r="AC213" s="275"/>
      <c r="AD213" s="275"/>
      <c r="AE213" s="275"/>
      <c r="AF213" s="275"/>
      <c r="AG213" s="275"/>
      <c r="AH213" s="275"/>
      <c r="AI213" s="206"/>
      <c r="AJ213" s="206"/>
    </row>
    <row r="214" hidden="1">
      <c r="A214" s="67" t="s">
        <v>872</v>
      </c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84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  <c r="AB214" s="282"/>
      <c r="AC214" s="275"/>
      <c r="AD214" s="275"/>
      <c r="AE214" s="275"/>
      <c r="AF214" s="275"/>
      <c r="AG214" s="275"/>
      <c r="AH214" s="275"/>
      <c r="AI214" s="206"/>
      <c r="AJ214" s="206"/>
    </row>
    <row r="215" hidden="1">
      <c r="A215" s="67" t="s">
        <v>873</v>
      </c>
      <c r="B215" s="275"/>
      <c r="C215" s="297">
        <v>200.0</v>
      </c>
      <c r="D215" s="297">
        <v>200.0</v>
      </c>
      <c r="E215" s="297">
        <v>260.0</v>
      </c>
      <c r="F215" s="297">
        <v>140.0</v>
      </c>
      <c r="G215" s="275"/>
      <c r="H215" s="275"/>
      <c r="I215" s="284"/>
      <c r="J215" s="275"/>
      <c r="K215" s="275"/>
      <c r="L215" s="275"/>
      <c r="M215" s="275"/>
      <c r="N215" s="275"/>
      <c r="O215" s="275"/>
      <c r="P215" s="275"/>
      <c r="Q215" s="284"/>
      <c r="R215" s="275"/>
      <c r="S215" s="275"/>
      <c r="T215" s="275"/>
      <c r="U215" s="275"/>
      <c r="V215" s="275"/>
      <c r="W215" s="281"/>
      <c r="X215" s="281"/>
      <c r="Y215" s="281"/>
      <c r="Z215" s="281"/>
      <c r="AA215" s="275"/>
      <c r="AB215" s="282"/>
      <c r="AC215" s="275"/>
      <c r="AD215" s="275"/>
      <c r="AE215" s="275"/>
      <c r="AF215" s="275"/>
      <c r="AG215" s="275"/>
      <c r="AH215" s="275"/>
      <c r="AI215" s="206"/>
      <c r="AJ215" s="206"/>
    </row>
    <row r="216" hidden="1">
      <c r="A216" s="67" t="s">
        <v>949</v>
      </c>
      <c r="B216" s="275"/>
      <c r="C216" s="297">
        <v>200.0</v>
      </c>
      <c r="D216" s="297">
        <v>200.0</v>
      </c>
      <c r="E216" s="297">
        <v>260.0</v>
      </c>
      <c r="F216" s="297">
        <v>140.0</v>
      </c>
      <c r="G216" s="275"/>
      <c r="H216" s="275"/>
      <c r="I216" s="284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81"/>
      <c r="X216" s="281"/>
      <c r="Y216" s="281"/>
      <c r="Z216" s="281"/>
      <c r="AA216" s="275"/>
      <c r="AB216" s="282"/>
      <c r="AC216" s="275"/>
      <c r="AD216" s="275"/>
      <c r="AE216" s="275"/>
      <c r="AF216" s="275"/>
      <c r="AG216" s="275"/>
      <c r="AH216" s="275"/>
      <c r="AI216" s="206"/>
      <c r="AJ216" s="206"/>
    </row>
    <row r="217" hidden="1">
      <c r="A217" s="20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  <c r="AB217" s="275"/>
      <c r="AC217" s="275"/>
      <c r="AD217" s="275"/>
      <c r="AE217" s="275"/>
      <c r="AF217" s="275"/>
      <c r="AG217" s="275"/>
      <c r="AH217" s="275"/>
      <c r="AI217" s="206"/>
      <c r="AJ217" s="206"/>
    </row>
    <row r="218" hidden="1">
      <c r="A218" s="20" t="s">
        <v>12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67">
        <v>120.0</v>
      </c>
      <c r="Y218" s="266">
        <v>240.0</v>
      </c>
      <c r="Z218" s="266">
        <v>240.0</v>
      </c>
      <c r="AA218" s="275"/>
      <c r="AB218" s="275"/>
      <c r="AC218" s="275"/>
      <c r="AD218" s="282"/>
      <c r="AE218" s="275"/>
      <c r="AF218" s="275"/>
      <c r="AG218" s="275"/>
      <c r="AH218" s="275"/>
      <c r="AI218" s="206"/>
      <c r="AJ218" s="206"/>
    </row>
    <row r="219" hidden="1">
      <c r="A219" s="20" t="s">
        <v>838</v>
      </c>
      <c r="B219" s="275"/>
      <c r="C219" s="275"/>
      <c r="D219" s="275"/>
      <c r="E219" s="282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85"/>
      <c r="Q219" s="285"/>
      <c r="R219" s="285"/>
      <c r="S219" s="285"/>
      <c r="T219" s="112"/>
      <c r="U219" s="275"/>
      <c r="V219" s="275"/>
      <c r="W219" s="275"/>
      <c r="X219" s="266">
        <v>120.0</v>
      </c>
      <c r="Y219" s="266">
        <v>240.0</v>
      </c>
      <c r="Z219" s="266">
        <v>240.0</v>
      </c>
      <c r="AA219" s="275"/>
      <c r="AB219" s="275"/>
      <c r="AC219" s="275"/>
      <c r="AD219" s="282"/>
      <c r="AE219" s="275"/>
      <c r="AF219" s="275"/>
      <c r="AG219" s="275"/>
      <c r="AH219" s="275"/>
      <c r="AI219" s="206"/>
      <c r="AJ219" s="206"/>
    </row>
    <row r="220" hidden="1">
      <c r="A220" s="67" t="s">
        <v>822</v>
      </c>
      <c r="B220" s="300">
        <v>100.0</v>
      </c>
      <c r="C220" s="300">
        <v>100.0</v>
      </c>
      <c r="D220" s="300">
        <v>100.0</v>
      </c>
      <c r="E220" s="300">
        <v>100.0</v>
      </c>
      <c r="F220" s="112"/>
      <c r="G220" s="112"/>
      <c r="H220" s="112"/>
      <c r="I220" s="300">
        <v>140.0</v>
      </c>
      <c r="J220" s="300">
        <v>140.0</v>
      </c>
      <c r="K220" s="300">
        <v>140.0</v>
      </c>
      <c r="L220" s="300">
        <v>140.0</v>
      </c>
      <c r="M220" s="112"/>
      <c r="N220" s="112"/>
      <c r="O220" s="112"/>
      <c r="P220" s="285"/>
      <c r="Q220" s="285"/>
      <c r="R220" s="285"/>
      <c r="S220" s="285"/>
      <c r="T220" s="112"/>
      <c r="U220" s="112"/>
      <c r="V220" s="112"/>
      <c r="W220" s="241">
        <v>140.0</v>
      </c>
      <c r="X220" s="241">
        <v>140.0</v>
      </c>
      <c r="Y220" s="241">
        <v>140.0</v>
      </c>
      <c r="Z220" s="241">
        <v>140.0</v>
      </c>
      <c r="AA220" s="241">
        <v>140.0</v>
      </c>
      <c r="AB220" s="112"/>
      <c r="AC220" s="112"/>
      <c r="AD220" s="285"/>
      <c r="AE220" s="285"/>
      <c r="AF220" s="285"/>
      <c r="AG220" s="285"/>
      <c r="AH220" s="112"/>
    </row>
    <row r="221" hidden="1">
      <c r="A221" s="67" t="s">
        <v>677</v>
      </c>
      <c r="B221" s="285"/>
      <c r="C221" s="297">
        <v>200.0</v>
      </c>
      <c r="D221" s="297">
        <v>200.0</v>
      </c>
      <c r="E221" s="297">
        <v>200.0</v>
      </c>
      <c r="F221" s="300">
        <v>140.0</v>
      </c>
      <c r="G221" s="112"/>
      <c r="H221" s="112"/>
      <c r="I221" s="300">
        <v>140.0</v>
      </c>
      <c r="J221" s="300">
        <v>140.0</v>
      </c>
      <c r="K221" s="285"/>
      <c r="L221" s="285"/>
      <c r="M221" s="285"/>
      <c r="N221" s="285"/>
      <c r="O221" s="112"/>
      <c r="P221" s="241">
        <v>140.0</v>
      </c>
      <c r="Q221" s="241">
        <v>140.0</v>
      </c>
      <c r="R221" s="241">
        <v>140.0</v>
      </c>
      <c r="S221" s="241">
        <v>140.0</v>
      </c>
      <c r="T221" s="241">
        <v>140.0</v>
      </c>
      <c r="U221" s="112"/>
      <c r="V221" s="112"/>
      <c r="W221" s="285"/>
      <c r="X221" s="285"/>
      <c r="Y221" s="285"/>
      <c r="Z221" s="285"/>
      <c r="AA221" s="112"/>
      <c r="AB221" s="112"/>
      <c r="AC221" s="112"/>
      <c r="AD221" s="112"/>
      <c r="AE221" s="112"/>
      <c r="AF221" s="112"/>
      <c r="AG221" s="112"/>
      <c r="AH221" s="112"/>
    </row>
    <row r="222" hidden="1">
      <c r="A222" s="67" t="s">
        <v>875</v>
      </c>
      <c r="B222" s="300">
        <v>100.0</v>
      </c>
      <c r="C222" s="300">
        <v>100.0</v>
      </c>
      <c r="D222" s="300">
        <v>100.0</v>
      </c>
      <c r="E222" s="300">
        <v>100.0</v>
      </c>
      <c r="F222" s="112"/>
      <c r="G222" s="112"/>
      <c r="H222" s="112"/>
      <c r="I222" s="300">
        <v>140.0</v>
      </c>
      <c r="J222" s="300">
        <v>140.0</v>
      </c>
      <c r="K222" s="300">
        <v>140.0</v>
      </c>
      <c r="L222" s="300">
        <v>140.0</v>
      </c>
      <c r="M222" s="112"/>
      <c r="N222" s="112"/>
      <c r="O222" s="112"/>
      <c r="P222" s="241">
        <v>140.0</v>
      </c>
      <c r="Q222" s="241">
        <v>140.0</v>
      </c>
      <c r="R222" s="241">
        <v>140.0</v>
      </c>
      <c r="S222" s="241">
        <v>140.0</v>
      </c>
      <c r="T222" s="241">
        <v>140.0</v>
      </c>
      <c r="U222" s="112"/>
      <c r="V222" s="112"/>
      <c r="W222" s="241">
        <v>140.0</v>
      </c>
      <c r="X222" s="241">
        <v>140.0</v>
      </c>
      <c r="Y222" s="241">
        <v>140.0</v>
      </c>
      <c r="Z222" s="241">
        <v>140.0</v>
      </c>
      <c r="AA222" s="241">
        <v>140.0</v>
      </c>
      <c r="AB222" s="112"/>
      <c r="AC222" s="112"/>
      <c r="AD222" s="285"/>
      <c r="AE222" s="285"/>
      <c r="AF222" s="285"/>
      <c r="AG222" s="285"/>
      <c r="AH222" s="112"/>
    </row>
    <row r="223" hidden="1">
      <c r="A223" s="67" t="s">
        <v>263</v>
      </c>
      <c r="B223" s="300">
        <v>100.0</v>
      </c>
      <c r="C223" s="300">
        <v>100.0</v>
      </c>
      <c r="D223" s="300">
        <v>100.0</v>
      </c>
      <c r="E223" s="300">
        <v>100.0</v>
      </c>
      <c r="F223" s="112"/>
      <c r="G223" s="112"/>
      <c r="H223" s="112"/>
      <c r="I223" s="300">
        <v>140.0</v>
      </c>
      <c r="J223" s="300">
        <v>140.0</v>
      </c>
      <c r="K223" s="300">
        <v>140.0</v>
      </c>
      <c r="L223" s="300">
        <v>140.0</v>
      </c>
      <c r="M223" s="112"/>
      <c r="N223" s="112"/>
      <c r="O223" s="112"/>
      <c r="P223" s="241">
        <v>140.0</v>
      </c>
      <c r="Q223" s="241">
        <v>140.0</v>
      </c>
      <c r="R223" s="241">
        <v>140.0</v>
      </c>
      <c r="S223" s="241">
        <v>140.0</v>
      </c>
      <c r="T223" s="241">
        <v>140.0</v>
      </c>
      <c r="U223" s="112"/>
      <c r="V223" s="112"/>
      <c r="W223" s="112"/>
      <c r="X223" s="112"/>
      <c r="Y223" s="112"/>
      <c r="Z223" s="112"/>
      <c r="AA223" s="112"/>
      <c r="AB223" s="112"/>
      <c r="AC223" s="112"/>
      <c r="AD223" s="285"/>
      <c r="AE223" s="285"/>
      <c r="AF223" s="285"/>
      <c r="AG223" s="285"/>
      <c r="AH223" s="112"/>
    </row>
    <row r="224" hidden="1">
      <c r="A224" s="67" t="s">
        <v>944</v>
      </c>
      <c r="B224" s="300">
        <v>100.0</v>
      </c>
      <c r="C224" s="300">
        <v>100.0</v>
      </c>
      <c r="D224" s="300">
        <v>100.0</v>
      </c>
      <c r="E224" s="300">
        <v>100.0</v>
      </c>
      <c r="F224" s="112"/>
      <c r="G224" s="112"/>
      <c r="H224" s="112"/>
      <c r="I224" s="300">
        <v>140.0</v>
      </c>
      <c r="J224" s="300">
        <v>140.0</v>
      </c>
      <c r="K224" s="300">
        <v>140.0</v>
      </c>
      <c r="L224" s="300">
        <v>140.0</v>
      </c>
      <c r="M224" s="112"/>
      <c r="N224" s="112"/>
      <c r="O224" s="112"/>
      <c r="P224" s="241">
        <v>140.0</v>
      </c>
      <c r="Q224" s="241">
        <v>140.0</v>
      </c>
      <c r="R224" s="241">
        <v>140.0</v>
      </c>
      <c r="S224" s="241">
        <v>140.0</v>
      </c>
      <c r="T224" s="241">
        <v>140.0</v>
      </c>
      <c r="U224" s="112"/>
      <c r="V224" s="112"/>
      <c r="W224" s="241">
        <v>140.0</v>
      </c>
      <c r="X224" s="241">
        <v>140.0</v>
      </c>
      <c r="Y224" s="241">
        <v>140.0</v>
      </c>
      <c r="Z224" s="241">
        <v>140.0</v>
      </c>
      <c r="AA224" s="241">
        <v>140.0</v>
      </c>
      <c r="AB224" s="112"/>
      <c r="AC224" s="112"/>
      <c r="AD224" s="112"/>
      <c r="AE224" s="112"/>
      <c r="AF224" s="112"/>
      <c r="AG224" s="112"/>
      <c r="AH224" s="77"/>
    </row>
    <row r="225" hidden="1">
      <c r="A225" s="67" t="s">
        <v>945</v>
      </c>
      <c r="B225" s="112"/>
      <c r="C225" s="112"/>
      <c r="D225" s="112"/>
      <c r="E225" s="112"/>
      <c r="F225" s="112"/>
      <c r="G225" s="112"/>
      <c r="H225" s="112"/>
      <c r="I225" s="285"/>
      <c r="J225" s="112"/>
      <c r="K225" s="300">
        <v>200.0</v>
      </c>
      <c r="L225" s="112"/>
      <c r="M225" s="112"/>
      <c r="N225" s="112"/>
      <c r="O225" s="112"/>
      <c r="P225" s="77"/>
      <c r="Q225" s="77"/>
      <c r="R225" s="77"/>
      <c r="S225" s="77"/>
      <c r="T225" s="77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77"/>
    </row>
    <row r="226" hidden="1"/>
    <row r="227" hidden="1">
      <c r="A227" s="251" t="s">
        <v>788</v>
      </c>
      <c r="B227" s="252" t="s">
        <v>25</v>
      </c>
      <c r="C227" s="253" t="s">
        <v>789</v>
      </c>
      <c r="D227" s="253" t="s">
        <v>27</v>
      </c>
      <c r="E227" s="253" t="s">
        <v>2</v>
      </c>
      <c r="F227" s="253" t="s">
        <v>3</v>
      </c>
      <c r="G227" s="254" t="s">
        <v>790</v>
      </c>
      <c r="H227" s="255"/>
      <c r="I227" s="253" t="s">
        <v>25</v>
      </c>
      <c r="J227" s="253" t="s">
        <v>789</v>
      </c>
      <c r="K227" s="253" t="s">
        <v>27</v>
      </c>
      <c r="L227" s="253" t="s">
        <v>2</v>
      </c>
      <c r="M227" s="253" t="s">
        <v>3</v>
      </c>
      <c r="N227" s="287" t="s">
        <v>790</v>
      </c>
      <c r="O227" s="255"/>
      <c r="P227" s="253" t="s">
        <v>25</v>
      </c>
      <c r="Q227" s="256" t="s">
        <v>789</v>
      </c>
      <c r="R227" s="253" t="s">
        <v>27</v>
      </c>
      <c r="S227" s="253" t="s">
        <v>2</v>
      </c>
      <c r="T227" s="253" t="s">
        <v>3</v>
      </c>
      <c r="U227" s="254" t="s">
        <v>790</v>
      </c>
      <c r="V227" s="255"/>
      <c r="W227" s="253" t="s">
        <v>25</v>
      </c>
      <c r="X227" s="256" t="s">
        <v>789</v>
      </c>
      <c r="Y227" s="253" t="s">
        <v>27</v>
      </c>
      <c r="Z227" s="253" t="s">
        <v>2</v>
      </c>
      <c r="AA227" s="253" t="s">
        <v>3</v>
      </c>
      <c r="AB227" s="257" t="s">
        <v>790</v>
      </c>
      <c r="AC227" s="277"/>
      <c r="AD227" s="278" t="s">
        <v>25</v>
      </c>
      <c r="AE227" s="279" t="s">
        <v>789</v>
      </c>
      <c r="AF227" s="278" t="s">
        <v>27</v>
      </c>
      <c r="AG227" s="278" t="s">
        <v>2</v>
      </c>
      <c r="AH227" s="278" t="s">
        <v>3</v>
      </c>
      <c r="AI227" s="254"/>
      <c r="AJ227" s="258"/>
    </row>
    <row r="228" hidden="1">
      <c r="A228" s="206"/>
      <c r="B228" s="260">
        <v>1.09</v>
      </c>
      <c r="C228" s="260">
        <v>2.09</v>
      </c>
      <c r="D228" s="260">
        <v>3.09</v>
      </c>
      <c r="E228" s="260">
        <v>4.09</v>
      </c>
      <c r="F228" s="260">
        <v>5.09</v>
      </c>
      <c r="G228" s="260">
        <v>6.09</v>
      </c>
      <c r="H228" s="260"/>
      <c r="I228" s="260">
        <v>8.09</v>
      </c>
      <c r="J228" s="260">
        <v>9.09</v>
      </c>
      <c r="K228" s="260">
        <v>10.09</v>
      </c>
      <c r="L228" s="260">
        <v>11.09</v>
      </c>
      <c r="M228" s="260">
        <v>12.09</v>
      </c>
      <c r="N228" s="260">
        <v>13.09</v>
      </c>
      <c r="O228" s="260"/>
      <c r="P228" s="260">
        <v>15.09</v>
      </c>
      <c r="Q228" s="260">
        <v>16.09</v>
      </c>
      <c r="R228" s="260">
        <v>17.09</v>
      </c>
      <c r="S228" s="260">
        <v>18.09</v>
      </c>
      <c r="T228" s="260">
        <v>19.09</v>
      </c>
      <c r="U228" s="260"/>
      <c r="V228" s="260"/>
      <c r="W228" s="260">
        <v>22.09</v>
      </c>
      <c r="X228" s="260">
        <v>23.09</v>
      </c>
      <c r="Y228" s="260">
        <v>24.09</v>
      </c>
      <c r="Z228" s="260">
        <v>25.09</v>
      </c>
      <c r="AA228" s="260">
        <v>26.09</v>
      </c>
      <c r="AB228" s="260"/>
      <c r="AC228" s="260"/>
      <c r="AD228" s="280">
        <v>29.09</v>
      </c>
      <c r="AE228" s="280">
        <v>30.09</v>
      </c>
      <c r="AF228" s="280" t="s">
        <v>950</v>
      </c>
      <c r="AG228" s="280" t="s">
        <v>951</v>
      </c>
      <c r="AH228" s="280" t="s">
        <v>952</v>
      </c>
      <c r="AI228" s="262"/>
      <c r="AJ228" s="262"/>
    </row>
    <row r="229" hidden="1">
      <c r="A229" s="263" t="s">
        <v>816</v>
      </c>
      <c r="B229" s="266">
        <v>70.0</v>
      </c>
      <c r="C229" s="266">
        <v>140.0</v>
      </c>
      <c r="D229" s="266">
        <v>140.0</v>
      </c>
      <c r="E229" s="266">
        <v>70.0</v>
      </c>
      <c r="F229" s="302"/>
      <c r="G229" s="302"/>
      <c r="H229" s="302"/>
      <c r="I229" s="303"/>
      <c r="J229" s="303"/>
      <c r="K229" s="303"/>
      <c r="L229" s="297">
        <v>140.0</v>
      </c>
      <c r="M229" s="304"/>
      <c r="N229" s="302"/>
      <c r="O229" s="302"/>
      <c r="P229" s="303"/>
      <c r="Q229" s="304"/>
      <c r="R229" s="303"/>
      <c r="S229" s="304"/>
      <c r="T229" s="302"/>
      <c r="U229" s="302"/>
      <c r="V229" s="302"/>
      <c r="W229" s="303"/>
      <c r="X229" s="303"/>
      <c r="Y229" s="297">
        <v>140.0</v>
      </c>
      <c r="Z229" s="305"/>
      <c r="AA229" s="303"/>
      <c r="AB229" s="302"/>
      <c r="AC229" s="302"/>
      <c r="AD229" s="303"/>
      <c r="AE229" s="303"/>
      <c r="AF229" s="297">
        <v>140.0</v>
      </c>
      <c r="AG229" s="275"/>
      <c r="AH229" s="297">
        <v>70.0</v>
      </c>
      <c r="AI229" s="206"/>
      <c r="AJ229" s="206"/>
    </row>
    <row r="230" hidden="1">
      <c r="A230" s="11" t="s">
        <v>817</v>
      </c>
      <c r="B230" s="266">
        <v>70.0</v>
      </c>
      <c r="C230" s="266">
        <v>140.0</v>
      </c>
      <c r="D230" s="266">
        <v>140.0</v>
      </c>
      <c r="E230" s="266">
        <v>70.0</v>
      </c>
      <c r="F230" s="302"/>
      <c r="G230" s="302"/>
      <c r="H230" s="302"/>
      <c r="I230" s="303"/>
      <c r="J230" s="303"/>
      <c r="K230" s="303"/>
      <c r="L230" s="297">
        <v>140.0</v>
      </c>
      <c r="M230" s="304"/>
      <c r="N230" s="302"/>
      <c r="O230" s="302"/>
      <c r="P230" s="303"/>
      <c r="Q230" s="304"/>
      <c r="R230" s="303"/>
      <c r="S230" s="304"/>
      <c r="T230" s="302"/>
      <c r="U230" s="302"/>
      <c r="V230" s="302"/>
      <c r="W230" s="303"/>
      <c r="X230" s="303"/>
      <c r="Y230" s="297">
        <v>140.0</v>
      </c>
      <c r="Z230" s="305"/>
      <c r="AA230" s="303"/>
      <c r="AB230" s="302"/>
      <c r="AC230" s="302"/>
      <c r="AD230" s="303"/>
      <c r="AE230" s="303"/>
      <c r="AF230" s="297">
        <v>140.0</v>
      </c>
      <c r="AG230" s="275"/>
      <c r="AH230" s="297">
        <v>70.0</v>
      </c>
      <c r="AI230" s="206"/>
      <c r="AJ230" s="206"/>
    </row>
    <row r="231" hidden="1">
      <c r="A231" s="17" t="s">
        <v>44</v>
      </c>
      <c r="B231" s="303"/>
      <c r="C231" s="303"/>
      <c r="D231" s="266">
        <v>140.0</v>
      </c>
      <c r="E231" s="303"/>
      <c r="F231" s="302"/>
      <c r="G231" s="302"/>
      <c r="H231" s="302"/>
      <c r="I231" s="302"/>
      <c r="J231" s="303"/>
      <c r="K231" s="302"/>
      <c r="L231" s="302"/>
      <c r="M231" s="305"/>
      <c r="N231" s="302"/>
      <c r="O231" s="302"/>
      <c r="P231" s="303"/>
      <c r="Q231" s="304"/>
      <c r="R231" s="303"/>
      <c r="S231" s="304"/>
      <c r="T231" s="302"/>
      <c r="U231" s="302"/>
      <c r="V231" s="302"/>
      <c r="W231" s="303"/>
      <c r="X231" s="303"/>
      <c r="Y231" s="303"/>
      <c r="Z231" s="305"/>
      <c r="AA231" s="303"/>
      <c r="AB231" s="302"/>
      <c r="AC231" s="302"/>
      <c r="AD231" s="303"/>
      <c r="AE231" s="303"/>
      <c r="AF231" s="303"/>
      <c r="AG231" s="275"/>
      <c r="AH231" s="275"/>
      <c r="AI231" s="206"/>
      <c r="AJ231" s="206"/>
    </row>
    <row r="232" hidden="1">
      <c r="A232" s="11" t="s">
        <v>310</v>
      </c>
      <c r="B232" s="266">
        <v>140.0</v>
      </c>
      <c r="C232" s="303"/>
      <c r="D232" s="303"/>
      <c r="E232" s="303"/>
      <c r="F232" s="303"/>
      <c r="G232" s="302"/>
      <c r="H232" s="302"/>
      <c r="I232" s="303"/>
      <c r="J232" s="303"/>
      <c r="K232" s="303"/>
      <c r="L232" s="303"/>
      <c r="M232" s="302"/>
      <c r="N232" s="302"/>
      <c r="O232" s="302"/>
      <c r="P232" s="303"/>
      <c r="Q232" s="77"/>
      <c r="R232" s="298">
        <v>140.0</v>
      </c>
      <c r="S232" s="297">
        <v>140.0</v>
      </c>
      <c r="T232" s="302"/>
      <c r="U232" s="302"/>
      <c r="V232" s="302"/>
      <c r="W232" s="297">
        <v>140.0</v>
      </c>
      <c r="X232" s="298">
        <v>140.0</v>
      </c>
      <c r="Y232" s="297">
        <v>140.0</v>
      </c>
      <c r="Z232" s="298">
        <v>140.0</v>
      </c>
      <c r="AA232" s="302"/>
      <c r="AB232" s="302"/>
      <c r="AC232" s="302"/>
      <c r="AD232" s="297">
        <v>140.0</v>
      </c>
      <c r="AE232" s="297">
        <v>140.0</v>
      </c>
      <c r="AF232" s="297">
        <v>140.0</v>
      </c>
      <c r="AG232" s="297">
        <v>140.0</v>
      </c>
      <c r="AH232" s="275"/>
      <c r="AI232" s="206"/>
      <c r="AJ232" s="206"/>
    </row>
    <row r="233" hidden="1">
      <c r="A233" s="11" t="s">
        <v>819</v>
      </c>
      <c r="B233" s="266">
        <v>140.0</v>
      </c>
      <c r="C233" s="303"/>
      <c r="D233" s="303"/>
      <c r="E233" s="303"/>
      <c r="F233" s="303"/>
      <c r="G233" s="302"/>
      <c r="H233" s="302"/>
      <c r="I233" s="303"/>
      <c r="J233" s="303"/>
      <c r="K233" s="303"/>
      <c r="L233" s="303"/>
      <c r="M233" s="302"/>
      <c r="N233" s="302"/>
      <c r="O233" s="302"/>
      <c r="P233" s="297">
        <v>140.0</v>
      </c>
      <c r="Q233" s="77"/>
      <c r="R233" s="297">
        <v>140.0</v>
      </c>
      <c r="S233" s="297">
        <v>140.0</v>
      </c>
      <c r="T233" s="302"/>
      <c r="U233" s="302"/>
      <c r="V233" s="302"/>
      <c r="W233" s="297">
        <v>140.0</v>
      </c>
      <c r="X233" s="298">
        <v>140.0</v>
      </c>
      <c r="Y233" s="297">
        <v>140.0</v>
      </c>
      <c r="Z233" s="297">
        <v>140.0</v>
      </c>
      <c r="AA233" s="303"/>
      <c r="AB233" s="303"/>
      <c r="AC233" s="302"/>
      <c r="AD233" s="297">
        <v>140.0</v>
      </c>
      <c r="AE233" s="297">
        <v>140.0</v>
      </c>
      <c r="AF233" s="297">
        <v>140.0</v>
      </c>
      <c r="AG233" s="297">
        <v>140.0</v>
      </c>
      <c r="AH233" s="275"/>
      <c r="AI233" s="206"/>
      <c r="AJ233" s="206"/>
    </row>
    <row r="234" hidden="1">
      <c r="A234" s="17" t="s">
        <v>735</v>
      </c>
      <c r="B234" s="266">
        <v>100.0</v>
      </c>
      <c r="C234" s="266">
        <v>100.0</v>
      </c>
      <c r="D234" s="266">
        <v>100.0</v>
      </c>
      <c r="E234" s="266">
        <v>100.0</v>
      </c>
      <c r="F234" s="302"/>
      <c r="G234" s="302"/>
      <c r="H234" s="302"/>
      <c r="I234" s="297">
        <v>100.0</v>
      </c>
      <c r="J234" s="297">
        <v>100.0</v>
      </c>
      <c r="K234" s="297">
        <v>100.0</v>
      </c>
      <c r="L234" s="297">
        <v>100.0</v>
      </c>
      <c r="M234" s="303"/>
      <c r="N234" s="302"/>
      <c r="O234" s="302"/>
      <c r="P234" s="297">
        <v>140.0</v>
      </c>
      <c r="Q234" s="303"/>
      <c r="R234" s="303"/>
      <c r="S234" s="303"/>
      <c r="T234" s="302"/>
      <c r="U234" s="302"/>
      <c r="V234" s="302"/>
      <c r="W234" s="297">
        <v>100.0</v>
      </c>
      <c r="X234" s="297">
        <v>100.0</v>
      </c>
      <c r="Y234" s="297">
        <v>100.0</v>
      </c>
      <c r="Z234" s="297">
        <v>100.0</v>
      </c>
      <c r="AA234" s="302"/>
      <c r="AB234" s="302"/>
      <c r="AC234" s="302"/>
      <c r="AD234" s="297">
        <v>100.0</v>
      </c>
      <c r="AE234" s="297">
        <v>100.0</v>
      </c>
      <c r="AF234" s="297">
        <v>70.0</v>
      </c>
      <c r="AG234" s="297">
        <v>70.0</v>
      </c>
      <c r="AH234" s="297">
        <v>70.0</v>
      </c>
      <c r="AI234" s="206"/>
      <c r="AJ234" s="206"/>
    </row>
    <row r="235" hidden="1">
      <c r="A235" s="17" t="s">
        <v>866</v>
      </c>
      <c r="B235" s="266">
        <v>100.0</v>
      </c>
      <c r="C235" s="266">
        <v>100.0</v>
      </c>
      <c r="D235" s="266">
        <v>100.0</v>
      </c>
      <c r="E235" s="266">
        <v>100.0</v>
      </c>
      <c r="F235" s="302"/>
      <c r="G235" s="302"/>
      <c r="H235" s="302"/>
      <c r="I235" s="297">
        <v>100.0</v>
      </c>
      <c r="J235" s="297">
        <v>100.0</v>
      </c>
      <c r="K235" s="297">
        <v>100.0</v>
      </c>
      <c r="L235" s="297">
        <v>100.0</v>
      </c>
      <c r="M235" s="303"/>
      <c r="N235" s="302"/>
      <c r="O235" s="302"/>
      <c r="P235" s="303"/>
      <c r="Q235" s="304"/>
      <c r="R235" s="303"/>
      <c r="S235" s="304"/>
      <c r="T235" s="302"/>
      <c r="U235" s="302"/>
      <c r="V235" s="302"/>
      <c r="W235" s="297">
        <v>100.0</v>
      </c>
      <c r="X235" s="297">
        <v>100.0</v>
      </c>
      <c r="Y235" s="298">
        <v>100.0</v>
      </c>
      <c r="Z235" s="297">
        <v>100.0</v>
      </c>
      <c r="AA235" s="302"/>
      <c r="AB235" s="302"/>
      <c r="AC235" s="302"/>
      <c r="AD235" s="297">
        <v>100.0</v>
      </c>
      <c r="AE235" s="298">
        <v>100.0</v>
      </c>
      <c r="AF235" s="297">
        <v>70.0</v>
      </c>
      <c r="AG235" s="297">
        <v>70.0</v>
      </c>
      <c r="AH235" s="297">
        <v>70.0</v>
      </c>
      <c r="AI235" s="206"/>
      <c r="AJ235" s="206"/>
    </row>
    <row r="236" hidden="1">
      <c r="A236" s="17" t="s">
        <v>867</v>
      </c>
      <c r="B236" s="266">
        <v>100.0</v>
      </c>
      <c r="C236" s="266">
        <v>100.0</v>
      </c>
      <c r="D236" s="266">
        <v>100.0</v>
      </c>
      <c r="E236" s="266">
        <v>100.0</v>
      </c>
      <c r="F236" s="302"/>
      <c r="G236" s="302"/>
      <c r="H236" s="302"/>
      <c r="I236" s="297">
        <v>100.0</v>
      </c>
      <c r="J236" s="297">
        <v>100.0</v>
      </c>
      <c r="K236" s="297">
        <v>100.0</v>
      </c>
      <c r="L236" s="297">
        <v>100.0</v>
      </c>
      <c r="M236" s="303"/>
      <c r="N236" s="302"/>
      <c r="O236" s="302"/>
      <c r="P236" s="303"/>
      <c r="Q236" s="304"/>
      <c r="R236" s="303"/>
      <c r="S236" s="304"/>
      <c r="T236" s="302"/>
      <c r="U236" s="302"/>
      <c r="V236" s="302"/>
      <c r="W236" s="297">
        <v>100.0</v>
      </c>
      <c r="X236" s="297">
        <v>100.0</v>
      </c>
      <c r="Y236" s="298">
        <v>100.0</v>
      </c>
      <c r="Z236" s="297">
        <v>100.0</v>
      </c>
      <c r="AA236" s="302"/>
      <c r="AB236" s="302"/>
      <c r="AC236" s="302"/>
      <c r="AD236" s="297">
        <v>100.0</v>
      </c>
      <c r="AE236" s="298">
        <v>100.0</v>
      </c>
      <c r="AF236" s="297">
        <v>70.0</v>
      </c>
      <c r="AG236" s="303"/>
      <c r="AH236" s="275"/>
      <c r="AI236" s="206"/>
      <c r="AJ236" s="206"/>
    </row>
    <row r="237" hidden="1">
      <c r="A237" s="17" t="s">
        <v>818</v>
      </c>
      <c r="B237" s="241">
        <v>140.0</v>
      </c>
      <c r="C237" s="306" t="s">
        <v>953</v>
      </c>
      <c r="D237" s="266">
        <v>140.0</v>
      </c>
      <c r="E237" s="303"/>
      <c r="F237" s="303"/>
      <c r="G237" s="303"/>
      <c r="H237" s="302"/>
      <c r="I237" s="266">
        <v>140.0</v>
      </c>
      <c r="J237" s="303"/>
      <c r="K237" s="297">
        <v>140.0</v>
      </c>
      <c r="L237" s="297">
        <v>70.0</v>
      </c>
      <c r="M237" s="303"/>
      <c r="N237" s="302"/>
      <c r="O237" s="302"/>
      <c r="P237" s="297">
        <v>140.0</v>
      </c>
      <c r="Q237" s="297">
        <v>140.0</v>
      </c>
      <c r="R237" s="303"/>
      <c r="S237" s="298">
        <v>70.0</v>
      </c>
      <c r="T237" s="303"/>
      <c r="U237" s="302"/>
      <c r="V237" s="302"/>
      <c r="W237" s="303"/>
      <c r="X237" s="303"/>
      <c r="Y237" s="297">
        <v>70.0</v>
      </c>
      <c r="Z237" s="303"/>
      <c r="AA237" s="302"/>
      <c r="AB237" s="302"/>
      <c r="AC237" s="302"/>
      <c r="AD237" s="302"/>
      <c r="AE237" s="303"/>
      <c r="AF237" s="303"/>
      <c r="AG237" s="288"/>
      <c r="AH237" s="282"/>
      <c r="AI237" s="206"/>
      <c r="AJ237" s="206"/>
    </row>
    <row r="238" hidden="1">
      <c r="A238" s="17" t="s">
        <v>827</v>
      </c>
      <c r="B238" s="241">
        <v>140.0</v>
      </c>
      <c r="C238" s="306" t="s">
        <v>953</v>
      </c>
      <c r="D238" s="303"/>
      <c r="E238" s="303"/>
      <c r="F238" s="303"/>
      <c r="G238" s="303"/>
      <c r="H238" s="302"/>
      <c r="I238" s="266">
        <v>140.0</v>
      </c>
      <c r="J238" s="303"/>
      <c r="K238" s="297">
        <v>140.0</v>
      </c>
      <c r="L238" s="297">
        <v>70.0</v>
      </c>
      <c r="M238" s="303"/>
      <c r="N238" s="302"/>
      <c r="O238" s="302"/>
      <c r="P238" s="297">
        <v>140.0</v>
      </c>
      <c r="Q238" s="297">
        <v>140.0</v>
      </c>
      <c r="R238" s="303"/>
      <c r="S238" s="298">
        <v>70.0</v>
      </c>
      <c r="T238" s="303"/>
      <c r="U238" s="302"/>
      <c r="V238" s="302"/>
      <c r="W238" s="303"/>
      <c r="X238" s="303"/>
      <c r="Y238" s="297">
        <v>70.0</v>
      </c>
      <c r="Z238" s="303"/>
      <c r="AA238" s="302"/>
      <c r="AB238" s="302"/>
      <c r="AC238" s="302"/>
      <c r="AD238" s="302"/>
      <c r="AE238" s="303"/>
      <c r="AF238" s="303"/>
      <c r="AG238" s="288"/>
      <c r="AH238" s="282"/>
      <c r="AI238" s="206"/>
      <c r="AJ238" s="206"/>
    </row>
    <row r="239" hidden="1">
      <c r="A239" s="20" t="s">
        <v>832</v>
      </c>
      <c r="B239" s="303"/>
      <c r="C239" s="303"/>
      <c r="D239" s="303"/>
      <c r="E239" s="303"/>
      <c r="F239" s="303"/>
      <c r="G239" s="302"/>
      <c r="H239" s="302"/>
      <c r="I239" s="303"/>
      <c r="J239" s="303"/>
      <c r="K239" s="303"/>
      <c r="L239" s="303"/>
      <c r="M239" s="303"/>
      <c r="N239" s="302"/>
      <c r="O239" s="302"/>
      <c r="P239" s="303"/>
      <c r="Q239" s="303"/>
      <c r="R239" s="303"/>
      <c r="S239" s="303"/>
      <c r="T239" s="303"/>
      <c r="U239" s="302"/>
      <c r="V239" s="302"/>
      <c r="W239" s="304"/>
      <c r="X239" s="304"/>
      <c r="Y239" s="304"/>
      <c r="Z239" s="304"/>
      <c r="AA239" s="302"/>
      <c r="AB239" s="302"/>
      <c r="AC239" s="302"/>
      <c r="AD239" s="303"/>
      <c r="AE239" s="304"/>
      <c r="AF239" s="303"/>
      <c r="AG239" s="288"/>
      <c r="AH239" s="297">
        <v>70.0</v>
      </c>
      <c r="AI239" s="206"/>
      <c r="AJ239" s="206"/>
    </row>
    <row r="240" hidden="1">
      <c r="A240" s="20" t="s">
        <v>835</v>
      </c>
      <c r="B240" s="266">
        <v>170.0</v>
      </c>
      <c r="C240" s="303"/>
      <c r="D240" s="266">
        <v>140.0</v>
      </c>
      <c r="E240" s="303"/>
      <c r="F240" s="303"/>
      <c r="G240" s="302"/>
      <c r="H240" s="302"/>
      <c r="I240" s="303"/>
      <c r="J240" s="303"/>
      <c r="K240" s="303"/>
      <c r="L240" s="303"/>
      <c r="M240" s="303"/>
      <c r="N240" s="302"/>
      <c r="O240" s="302"/>
      <c r="P240" s="303"/>
      <c r="Q240" s="303"/>
      <c r="R240" s="303"/>
      <c r="S240" s="303"/>
      <c r="T240" s="303"/>
      <c r="U240" s="302"/>
      <c r="V240" s="302"/>
      <c r="W240" s="304"/>
      <c r="X240" s="304"/>
      <c r="Y240" s="304"/>
      <c r="Z240" s="304"/>
      <c r="AA240" s="302"/>
      <c r="AB240" s="302"/>
      <c r="AC240" s="302"/>
      <c r="AD240" s="303"/>
      <c r="AE240" s="304"/>
      <c r="AF240" s="303"/>
      <c r="AG240" s="288"/>
      <c r="AH240" s="297">
        <v>70.0</v>
      </c>
      <c r="AI240" s="206"/>
      <c r="AJ240" s="206"/>
    </row>
    <row r="241" hidden="1">
      <c r="A241" s="20" t="s">
        <v>836</v>
      </c>
      <c r="B241" s="266">
        <v>170.0</v>
      </c>
      <c r="C241" s="303"/>
      <c r="D241" s="266">
        <v>140.0</v>
      </c>
      <c r="E241" s="303"/>
      <c r="F241" s="303"/>
      <c r="G241" s="302"/>
      <c r="H241" s="302"/>
      <c r="I241" s="303"/>
      <c r="J241" s="303"/>
      <c r="K241" s="303"/>
      <c r="L241" s="303"/>
      <c r="M241" s="303"/>
      <c r="N241" s="302"/>
      <c r="O241" s="302"/>
      <c r="P241" s="303"/>
      <c r="Q241" s="303"/>
      <c r="R241" s="303"/>
      <c r="S241" s="303"/>
      <c r="T241" s="303"/>
      <c r="U241" s="302"/>
      <c r="V241" s="302"/>
      <c r="W241" s="304"/>
      <c r="X241" s="304"/>
      <c r="Y241" s="304"/>
      <c r="Z241" s="304"/>
      <c r="AA241" s="302"/>
      <c r="AB241" s="302"/>
      <c r="AC241" s="302"/>
      <c r="AD241" s="303"/>
      <c r="AE241" s="304"/>
      <c r="AF241" s="303"/>
      <c r="AG241" s="288"/>
      <c r="AH241" s="297">
        <v>70.0</v>
      </c>
      <c r="AI241" s="206"/>
      <c r="AJ241" s="206"/>
    </row>
    <row r="242" hidden="1">
      <c r="A242" s="272" t="s">
        <v>824</v>
      </c>
      <c r="B242" s="303"/>
      <c r="C242" s="303"/>
      <c r="D242" s="303"/>
      <c r="E242" s="303"/>
      <c r="F242" s="302"/>
      <c r="G242" s="302"/>
      <c r="H242" s="302"/>
      <c r="I242" s="303"/>
      <c r="J242" s="303"/>
      <c r="K242" s="303"/>
      <c r="L242" s="303"/>
      <c r="M242" s="302"/>
      <c r="N242" s="302"/>
      <c r="O242" s="302"/>
      <c r="P242" s="303"/>
      <c r="Q242" s="304"/>
      <c r="R242" s="303"/>
      <c r="S242" s="304"/>
      <c r="T242" s="214"/>
      <c r="U242" s="302"/>
      <c r="V242" s="302"/>
      <c r="W242" s="304"/>
      <c r="X242" s="286"/>
      <c r="Y242" s="286"/>
      <c r="Z242" s="303"/>
      <c r="AA242" s="302"/>
      <c r="AB242" s="302"/>
      <c r="AC242" s="302"/>
      <c r="AD242" s="302"/>
      <c r="AE242" s="303"/>
      <c r="AF242" s="302"/>
      <c r="AG242" s="275"/>
      <c r="AH242" s="282"/>
      <c r="AI242" s="206"/>
      <c r="AJ242" s="206"/>
    </row>
    <row r="243" hidden="1">
      <c r="A243" s="67" t="s">
        <v>869</v>
      </c>
      <c r="B243" s="266">
        <v>140.0</v>
      </c>
      <c r="C243" s="266">
        <v>140.0</v>
      </c>
      <c r="D243" s="266">
        <v>140.0</v>
      </c>
      <c r="E243" s="266">
        <v>140.0</v>
      </c>
      <c r="F243" s="266">
        <v>140.0</v>
      </c>
      <c r="G243" s="302"/>
      <c r="H243" s="302"/>
      <c r="I243" s="266">
        <v>140.0</v>
      </c>
      <c r="J243" s="286"/>
      <c r="K243" s="266">
        <v>140.0</v>
      </c>
      <c r="L243" s="266">
        <v>140.0</v>
      </c>
      <c r="M243" s="266">
        <v>140.0</v>
      </c>
      <c r="N243" s="302"/>
      <c r="O243" s="302"/>
      <c r="P243" s="300">
        <v>140.0</v>
      </c>
      <c r="Q243" s="300">
        <v>140.0</v>
      </c>
      <c r="R243" s="300">
        <v>140.0</v>
      </c>
      <c r="S243" s="300">
        <v>140.0</v>
      </c>
      <c r="T243" s="216"/>
      <c r="U243" s="302"/>
      <c r="V243" s="302"/>
      <c r="W243" s="297">
        <v>140.0</v>
      </c>
      <c r="X243" s="297">
        <v>140.0</v>
      </c>
      <c r="Y243" s="297">
        <v>140.0</v>
      </c>
      <c r="Z243" s="298">
        <v>140.0</v>
      </c>
      <c r="AA243" s="304"/>
      <c r="AB243" s="302"/>
      <c r="AC243" s="302"/>
      <c r="AD243" s="303"/>
      <c r="AE243" s="303"/>
      <c r="AF243" s="303"/>
      <c r="AG243" s="282"/>
      <c r="AH243" s="282"/>
      <c r="AI243" s="206"/>
      <c r="AJ243" s="206"/>
    </row>
    <row r="244" hidden="1">
      <c r="A244" s="67" t="s">
        <v>870</v>
      </c>
      <c r="B244" s="266">
        <v>140.0</v>
      </c>
      <c r="C244" s="266">
        <v>140.0</v>
      </c>
      <c r="D244" s="266">
        <v>140.0</v>
      </c>
      <c r="E244" s="266">
        <v>140.0</v>
      </c>
      <c r="F244" s="266">
        <v>140.0</v>
      </c>
      <c r="G244" s="302"/>
      <c r="H244" s="302"/>
      <c r="I244" s="266">
        <v>140.0</v>
      </c>
      <c r="J244" s="303"/>
      <c r="K244" s="266">
        <v>140.0</v>
      </c>
      <c r="L244" s="266">
        <v>140.0</v>
      </c>
      <c r="M244" s="266">
        <v>140.0</v>
      </c>
      <c r="N244" s="302"/>
      <c r="O244" s="302"/>
      <c r="P244" s="300">
        <v>140.0</v>
      </c>
      <c r="Q244" s="300">
        <v>140.0</v>
      </c>
      <c r="R244" s="300">
        <v>140.0</v>
      </c>
      <c r="S244" s="300">
        <v>140.0</v>
      </c>
      <c r="T244" s="307">
        <v>140.0</v>
      </c>
      <c r="U244" s="302"/>
      <c r="V244" s="302"/>
      <c r="W244" s="297">
        <v>140.0</v>
      </c>
      <c r="X244" s="297">
        <v>140.0</v>
      </c>
      <c r="Y244" s="297">
        <v>140.0</v>
      </c>
      <c r="Z244" s="304"/>
      <c r="AA244" s="304"/>
      <c r="AB244" s="302"/>
      <c r="AC244" s="302"/>
      <c r="AD244" s="303"/>
      <c r="AE244" s="297">
        <v>140.0</v>
      </c>
      <c r="AF244" s="297">
        <v>140.0</v>
      </c>
      <c r="AG244" s="297">
        <v>140.0</v>
      </c>
      <c r="AH244" s="282"/>
      <c r="AI244" s="206"/>
      <c r="AJ244" s="206"/>
    </row>
    <row r="245" hidden="1">
      <c r="A245" s="272" t="s">
        <v>825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  <c r="AF245" s="302"/>
      <c r="AG245" s="275"/>
      <c r="AH245" s="275"/>
      <c r="AI245" s="206"/>
      <c r="AJ245" s="206"/>
    </row>
    <row r="246" hidden="1">
      <c r="A246" s="272" t="s">
        <v>826</v>
      </c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  <c r="AF246" s="302"/>
      <c r="AG246" s="275"/>
      <c r="AH246" s="275"/>
      <c r="AI246" s="206"/>
      <c r="AJ246" s="206"/>
    </row>
    <row r="247" hidden="1">
      <c r="A247" s="274" t="s">
        <v>680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2"/>
      <c r="AE247" s="302"/>
      <c r="AF247" s="302"/>
      <c r="AG247" s="275"/>
      <c r="AH247" s="275"/>
      <c r="AI247" s="206"/>
      <c r="AJ247" s="206"/>
    </row>
    <row r="248" hidden="1">
      <c r="A248" s="274" t="s">
        <v>828</v>
      </c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  <c r="AF248" s="302"/>
      <c r="AG248" s="275"/>
      <c r="AH248" s="275"/>
      <c r="AI248" s="206"/>
      <c r="AJ248" s="206"/>
    </row>
    <row r="249" hidden="1">
      <c r="A249" s="20" t="s">
        <v>829</v>
      </c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3"/>
      <c r="Q249" s="302"/>
      <c r="R249" s="302"/>
      <c r="S249" s="303" t="s">
        <v>0</v>
      </c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2"/>
      <c r="AE249" s="302"/>
      <c r="AF249" s="302"/>
      <c r="AG249" s="275"/>
      <c r="AH249" s="275"/>
      <c r="AI249" s="206"/>
      <c r="AJ249" s="206"/>
    </row>
    <row r="250" hidden="1">
      <c r="A250" s="20" t="s">
        <v>830</v>
      </c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3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2"/>
      <c r="AE250" s="302"/>
      <c r="AF250" s="302"/>
      <c r="AG250" s="275"/>
      <c r="AH250" s="275"/>
      <c r="AI250" s="206"/>
      <c r="AJ250" s="206"/>
    </row>
    <row r="251" hidden="1">
      <c r="A251" s="67" t="s">
        <v>871</v>
      </c>
      <c r="B251" s="266">
        <v>140.0</v>
      </c>
      <c r="C251" s="266">
        <v>140.0</v>
      </c>
      <c r="D251" s="266">
        <v>140.0</v>
      </c>
      <c r="E251" s="266">
        <v>140.0</v>
      </c>
      <c r="F251" s="303"/>
      <c r="G251" s="302"/>
      <c r="H251" s="302"/>
      <c r="I251" s="266">
        <v>140.0</v>
      </c>
      <c r="J251" s="302"/>
      <c r="K251" s="266">
        <v>140.0</v>
      </c>
      <c r="L251" s="297">
        <v>70.0</v>
      </c>
      <c r="M251" s="297">
        <v>70.0</v>
      </c>
      <c r="N251" s="302"/>
      <c r="O251" s="302"/>
      <c r="P251" s="297">
        <v>70.0</v>
      </c>
      <c r="Q251" s="297">
        <v>70.0</v>
      </c>
      <c r="R251" s="297">
        <v>70.0</v>
      </c>
      <c r="S251" s="297">
        <v>70.0</v>
      </c>
      <c r="T251" s="297">
        <v>70.0</v>
      </c>
      <c r="U251" s="302"/>
      <c r="V251" s="302"/>
      <c r="W251" s="297">
        <v>70.0</v>
      </c>
      <c r="X251" s="297">
        <v>70.0</v>
      </c>
      <c r="Y251" s="297">
        <v>70.0</v>
      </c>
      <c r="Z251" s="297">
        <v>70.0</v>
      </c>
      <c r="AA251" s="302"/>
      <c r="AB251" s="303"/>
      <c r="AC251" s="302"/>
      <c r="AD251" s="297">
        <v>70.0</v>
      </c>
      <c r="AE251" s="297">
        <v>70.0</v>
      </c>
      <c r="AF251" s="297">
        <v>70.0</v>
      </c>
      <c r="AG251" s="297">
        <v>70.0</v>
      </c>
      <c r="AH251" s="297">
        <v>70.0</v>
      </c>
      <c r="AI251" s="206"/>
      <c r="AJ251" s="206"/>
    </row>
    <row r="252" hidden="1">
      <c r="A252" s="67" t="s">
        <v>948</v>
      </c>
      <c r="B252" s="266">
        <v>140.0</v>
      </c>
      <c r="C252" s="266">
        <v>140.0</v>
      </c>
      <c r="D252" s="266">
        <v>140.0</v>
      </c>
      <c r="E252" s="303"/>
      <c r="F252" s="303"/>
      <c r="G252" s="302"/>
      <c r="H252" s="302"/>
      <c r="I252" s="266">
        <v>140.0</v>
      </c>
      <c r="J252" s="302"/>
      <c r="K252" s="266">
        <v>140.0</v>
      </c>
      <c r="L252" s="297">
        <v>70.0</v>
      </c>
      <c r="M252" s="297">
        <v>70.0</v>
      </c>
      <c r="N252" s="302"/>
      <c r="O252" s="302"/>
      <c r="P252" s="297">
        <v>70.0</v>
      </c>
      <c r="Q252" s="297">
        <v>70.0</v>
      </c>
      <c r="R252" s="297">
        <v>70.0</v>
      </c>
      <c r="S252" s="297">
        <v>70.0</v>
      </c>
      <c r="T252" s="297">
        <v>70.0</v>
      </c>
      <c r="U252" s="275"/>
      <c r="V252" s="302"/>
      <c r="W252" s="297">
        <v>70.0</v>
      </c>
      <c r="X252" s="297">
        <v>70.0</v>
      </c>
      <c r="Y252" s="297">
        <v>70.0</v>
      </c>
      <c r="Z252" s="297">
        <v>70.0</v>
      </c>
      <c r="AA252" s="302"/>
      <c r="AB252" s="303"/>
      <c r="AC252" s="302"/>
      <c r="AD252" s="297">
        <v>70.0</v>
      </c>
      <c r="AE252" s="297">
        <v>70.0</v>
      </c>
      <c r="AF252" s="297">
        <v>70.0</v>
      </c>
      <c r="AG252" s="297">
        <v>70.0</v>
      </c>
      <c r="AH252" s="297">
        <v>70.0</v>
      </c>
      <c r="AI252" s="206"/>
      <c r="AJ252" s="206"/>
    </row>
    <row r="253" hidden="1">
      <c r="A253" s="67" t="s">
        <v>872</v>
      </c>
      <c r="B253" s="266">
        <v>140.0</v>
      </c>
      <c r="C253" s="266">
        <v>140.0</v>
      </c>
      <c r="D253" s="266">
        <v>140.0</v>
      </c>
      <c r="E253" s="266">
        <v>140.0</v>
      </c>
      <c r="F253" s="266">
        <v>140.0</v>
      </c>
      <c r="G253" s="302"/>
      <c r="H253" s="302"/>
      <c r="I253" s="266">
        <v>140.0</v>
      </c>
      <c r="J253" s="302"/>
      <c r="K253" s="266">
        <v>140.0</v>
      </c>
      <c r="L253" s="297">
        <v>70.0</v>
      </c>
      <c r="M253" s="297">
        <v>70.0</v>
      </c>
      <c r="N253" s="302"/>
      <c r="O253" s="302"/>
      <c r="P253" s="297">
        <v>70.0</v>
      </c>
      <c r="Q253" s="297">
        <v>70.0</v>
      </c>
      <c r="R253" s="297">
        <v>70.0</v>
      </c>
      <c r="S253" s="297">
        <v>70.0</v>
      </c>
      <c r="T253" s="297">
        <v>70.0</v>
      </c>
      <c r="U253" s="302"/>
      <c r="V253" s="302"/>
      <c r="W253" s="297">
        <v>70.0</v>
      </c>
      <c r="X253" s="297">
        <v>70.0</v>
      </c>
      <c r="Y253" s="297">
        <v>70.0</v>
      </c>
      <c r="Z253" s="297">
        <v>70.0</v>
      </c>
      <c r="AA253" s="302"/>
      <c r="AB253" s="303"/>
      <c r="AC253" s="302"/>
      <c r="AD253" s="297">
        <v>70.0</v>
      </c>
      <c r="AE253" s="297">
        <v>70.0</v>
      </c>
      <c r="AF253" s="297">
        <v>70.0</v>
      </c>
      <c r="AG253" s="297">
        <v>70.0</v>
      </c>
      <c r="AH253" s="297">
        <v>70.0</v>
      </c>
      <c r="AI253" s="206"/>
      <c r="AJ253" s="206"/>
    </row>
    <row r="254" hidden="1">
      <c r="A254" s="67" t="s">
        <v>873</v>
      </c>
      <c r="B254" s="266">
        <v>140.0</v>
      </c>
      <c r="C254" s="266">
        <v>140.0</v>
      </c>
      <c r="D254" s="266">
        <v>140.0</v>
      </c>
      <c r="E254" s="266">
        <v>140.0</v>
      </c>
      <c r="F254" s="303"/>
      <c r="G254" s="302"/>
      <c r="H254" s="302"/>
      <c r="I254" s="266">
        <v>140.0</v>
      </c>
      <c r="J254" s="302"/>
      <c r="K254" s="302"/>
      <c r="L254" s="297">
        <v>70.0</v>
      </c>
      <c r="M254" s="297">
        <v>70.0</v>
      </c>
      <c r="N254" s="275"/>
      <c r="O254" s="275"/>
      <c r="P254" s="297">
        <v>70.0</v>
      </c>
      <c r="Q254" s="297">
        <v>70.0</v>
      </c>
      <c r="R254" s="297">
        <v>70.0</v>
      </c>
      <c r="S254" s="297">
        <v>70.0</v>
      </c>
      <c r="T254" s="297">
        <v>70.0</v>
      </c>
      <c r="U254" s="275"/>
      <c r="V254" s="275"/>
      <c r="W254" s="297">
        <v>70.0</v>
      </c>
      <c r="X254" s="297">
        <v>70.0</v>
      </c>
      <c r="Y254" s="297">
        <v>70.0</v>
      </c>
      <c r="Z254" s="297">
        <v>70.0</v>
      </c>
      <c r="AA254" s="275"/>
      <c r="AB254" s="282"/>
      <c r="AC254" s="275"/>
      <c r="AD254" s="297">
        <v>70.0</v>
      </c>
      <c r="AE254" s="297">
        <v>70.0</v>
      </c>
      <c r="AF254" s="297">
        <v>70.0</v>
      </c>
      <c r="AG254" s="297">
        <v>70.0</v>
      </c>
      <c r="AH254" s="297">
        <v>70.0</v>
      </c>
      <c r="AI254" s="206"/>
      <c r="AJ254" s="206"/>
    </row>
    <row r="255" hidden="1">
      <c r="A255" s="67" t="s">
        <v>949</v>
      </c>
      <c r="B255" s="266">
        <v>140.0</v>
      </c>
      <c r="C255" s="266">
        <v>140.0</v>
      </c>
      <c r="D255" s="266">
        <v>140.0</v>
      </c>
      <c r="E255" s="266">
        <v>140.0</v>
      </c>
      <c r="F255" s="266">
        <v>140.0</v>
      </c>
      <c r="G255" s="302"/>
      <c r="H255" s="302"/>
      <c r="I255" s="266">
        <v>140.0</v>
      </c>
      <c r="J255" s="302"/>
      <c r="K255" s="266">
        <v>140.0</v>
      </c>
      <c r="L255" s="297">
        <v>70.0</v>
      </c>
      <c r="M255" s="297">
        <v>70.0</v>
      </c>
      <c r="N255" s="275"/>
      <c r="O255" s="275"/>
      <c r="P255" s="297">
        <v>70.0</v>
      </c>
      <c r="Q255" s="297">
        <v>70.0</v>
      </c>
      <c r="R255" s="297">
        <v>70.0</v>
      </c>
      <c r="S255" s="297">
        <v>70.0</v>
      </c>
      <c r="T255" s="297">
        <v>70.0</v>
      </c>
      <c r="U255" s="275"/>
      <c r="V255" s="275"/>
      <c r="W255" s="297">
        <v>70.0</v>
      </c>
      <c r="X255" s="297">
        <v>70.0</v>
      </c>
      <c r="Y255" s="297">
        <v>70.0</v>
      </c>
      <c r="Z255" s="297">
        <v>70.0</v>
      </c>
      <c r="AA255" s="275"/>
      <c r="AB255" s="282"/>
      <c r="AC255" s="275"/>
      <c r="AD255" s="297">
        <v>70.0</v>
      </c>
      <c r="AE255" s="297">
        <v>70.0</v>
      </c>
      <c r="AF255" s="297">
        <v>70.0</v>
      </c>
      <c r="AG255" s="297">
        <v>70.0</v>
      </c>
      <c r="AH255" s="297">
        <v>70.0</v>
      </c>
      <c r="AI255" s="206"/>
      <c r="AJ255" s="206"/>
    </row>
    <row r="256" hidden="1">
      <c r="A256" s="67" t="s">
        <v>954</v>
      </c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297">
        <v>70.0</v>
      </c>
      <c r="Q256" s="297">
        <v>70.0</v>
      </c>
      <c r="R256" s="297">
        <v>70.0</v>
      </c>
      <c r="S256" s="297">
        <v>70.0</v>
      </c>
      <c r="T256" s="297">
        <v>70.0</v>
      </c>
      <c r="U256" s="275"/>
      <c r="V256" s="275"/>
      <c r="W256" s="297">
        <v>70.0</v>
      </c>
      <c r="X256" s="297">
        <v>70.0</v>
      </c>
      <c r="Y256" s="297">
        <v>70.0</v>
      </c>
      <c r="Z256" s="297">
        <v>70.0</v>
      </c>
      <c r="AA256" s="275"/>
      <c r="AB256" s="282"/>
      <c r="AC256" s="275"/>
      <c r="AD256" s="297">
        <v>70.0</v>
      </c>
      <c r="AE256" s="297">
        <v>70.0</v>
      </c>
      <c r="AF256" s="297">
        <v>70.0</v>
      </c>
      <c r="AG256" s="297">
        <v>70.0</v>
      </c>
      <c r="AH256" s="297">
        <v>70.0</v>
      </c>
      <c r="AI256" s="206"/>
      <c r="AJ256" s="206"/>
    </row>
    <row r="257" hidden="1">
      <c r="A257" s="20" t="s">
        <v>12</v>
      </c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4"/>
      <c r="Y257" s="303"/>
      <c r="Z257" s="303"/>
      <c r="AA257" s="302"/>
      <c r="AB257" s="302"/>
      <c r="AC257" s="302"/>
      <c r="AD257" s="303"/>
      <c r="AE257" s="302"/>
      <c r="AF257" s="302"/>
      <c r="AG257" s="275"/>
      <c r="AH257" s="275"/>
      <c r="AI257" s="206"/>
      <c r="AJ257" s="206"/>
    </row>
    <row r="258" hidden="1">
      <c r="A258" s="20" t="s">
        <v>838</v>
      </c>
      <c r="B258" s="302"/>
      <c r="C258" s="302"/>
      <c r="D258" s="302"/>
      <c r="E258" s="303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3"/>
      <c r="Y258" s="303"/>
      <c r="Z258" s="303"/>
      <c r="AA258" s="302"/>
      <c r="AB258" s="302"/>
      <c r="AC258" s="302"/>
      <c r="AD258" s="303"/>
      <c r="AE258" s="302"/>
      <c r="AF258" s="302"/>
      <c r="AG258" s="275"/>
      <c r="AH258" s="275"/>
      <c r="AI258" s="206"/>
      <c r="AJ258" s="206"/>
    </row>
    <row r="259" hidden="1">
      <c r="A259" s="67" t="s">
        <v>822</v>
      </c>
      <c r="B259" s="241">
        <v>140.0</v>
      </c>
      <c r="C259" s="241">
        <v>140.0</v>
      </c>
      <c r="D259" s="241">
        <v>140.0</v>
      </c>
      <c r="E259" s="241">
        <v>140.0</v>
      </c>
      <c r="F259" s="241">
        <v>140.0</v>
      </c>
      <c r="G259" s="216"/>
      <c r="H259" s="216"/>
      <c r="I259" s="241">
        <v>140.0</v>
      </c>
      <c r="J259" s="214"/>
      <c r="K259" s="241">
        <v>140.0</v>
      </c>
      <c r="L259" s="214"/>
      <c r="M259" s="241">
        <v>140.0</v>
      </c>
      <c r="N259" s="216"/>
      <c r="O259" s="216"/>
      <c r="P259" s="300">
        <v>140.0</v>
      </c>
      <c r="Q259" s="300">
        <v>140.0</v>
      </c>
      <c r="R259" s="300">
        <v>140.0</v>
      </c>
      <c r="S259" s="300">
        <v>140.0</v>
      </c>
      <c r="T259" s="300">
        <v>140.0</v>
      </c>
      <c r="U259" s="112"/>
      <c r="V259" s="112"/>
      <c r="W259" s="300">
        <v>140.0</v>
      </c>
      <c r="X259" s="300">
        <v>140.0</v>
      </c>
      <c r="Y259" s="300">
        <v>140.0</v>
      </c>
      <c r="Z259" s="300">
        <v>140.0</v>
      </c>
      <c r="AA259" s="285"/>
      <c r="AB259" s="112"/>
      <c r="AC259" s="112"/>
      <c r="AD259" s="300">
        <v>140.0</v>
      </c>
      <c r="AE259" s="300">
        <v>140.0</v>
      </c>
      <c r="AF259" s="300">
        <v>140.0</v>
      </c>
      <c r="AG259" s="300">
        <v>140.0</v>
      </c>
      <c r="AH259" s="300">
        <v>140.0</v>
      </c>
    </row>
    <row r="260" hidden="1">
      <c r="A260" s="67" t="s">
        <v>677</v>
      </c>
      <c r="B260" s="214"/>
      <c r="C260" s="303"/>
      <c r="D260" s="303"/>
      <c r="E260" s="303"/>
      <c r="F260" s="214"/>
      <c r="G260" s="216"/>
      <c r="H260" s="216"/>
      <c r="I260" s="241">
        <v>140.0</v>
      </c>
      <c r="J260" s="285"/>
      <c r="K260" s="241">
        <v>140.0</v>
      </c>
      <c r="L260" s="241">
        <v>140.0</v>
      </c>
      <c r="M260" s="241">
        <v>140.0</v>
      </c>
      <c r="N260" s="214"/>
      <c r="O260" s="216"/>
      <c r="P260" s="300">
        <v>140.0</v>
      </c>
      <c r="Q260" s="300">
        <v>140.0</v>
      </c>
      <c r="R260" s="300">
        <v>140.0</v>
      </c>
      <c r="S260" s="300">
        <v>140.0</v>
      </c>
      <c r="T260" s="300">
        <v>140.0</v>
      </c>
      <c r="U260" s="216"/>
      <c r="V260" s="216"/>
      <c r="W260" s="300">
        <v>140.0</v>
      </c>
      <c r="X260" s="300">
        <v>140.0</v>
      </c>
      <c r="Y260" s="300">
        <v>140.0</v>
      </c>
      <c r="Z260" s="214"/>
      <c r="AA260" s="216"/>
      <c r="AB260" s="216"/>
      <c r="AC260" s="216"/>
      <c r="AD260" s="214"/>
      <c r="AE260" s="300">
        <v>70.0</v>
      </c>
      <c r="AF260" s="300">
        <v>70.0</v>
      </c>
      <c r="AG260" s="300">
        <v>70.0</v>
      </c>
      <c r="AH260" s="300">
        <v>70.0</v>
      </c>
    </row>
    <row r="261" hidden="1">
      <c r="A261" s="67" t="s">
        <v>875</v>
      </c>
      <c r="B261" s="241">
        <v>140.0</v>
      </c>
      <c r="C261" s="241">
        <v>140.0</v>
      </c>
      <c r="D261" s="241">
        <v>140.0</v>
      </c>
      <c r="E261" s="241">
        <v>140.0</v>
      </c>
      <c r="F261" s="241">
        <v>140.0</v>
      </c>
      <c r="G261" s="216"/>
      <c r="H261" s="216"/>
      <c r="I261" s="241">
        <v>140.0</v>
      </c>
      <c r="J261" s="214"/>
      <c r="K261" s="241">
        <v>140.0</v>
      </c>
      <c r="L261" s="241">
        <v>140.0</v>
      </c>
      <c r="M261" s="241">
        <v>140.0</v>
      </c>
      <c r="N261" s="216"/>
      <c r="O261" s="216"/>
      <c r="P261" s="300">
        <v>140.0</v>
      </c>
      <c r="Q261" s="300">
        <v>140.0</v>
      </c>
      <c r="R261" s="300">
        <v>140.0</v>
      </c>
      <c r="S261" s="300">
        <v>140.0</v>
      </c>
      <c r="T261" s="300">
        <v>140.0</v>
      </c>
      <c r="U261" s="216"/>
      <c r="V261" s="216"/>
      <c r="W261" s="300">
        <v>140.0</v>
      </c>
      <c r="X261" s="300">
        <v>140.0</v>
      </c>
      <c r="Y261" s="300">
        <v>140.0</v>
      </c>
      <c r="Z261" s="300">
        <v>140.0</v>
      </c>
      <c r="AA261" s="214"/>
      <c r="AB261" s="216"/>
      <c r="AC261" s="216"/>
      <c r="AD261" s="214"/>
      <c r="AE261" s="300">
        <v>70.0</v>
      </c>
      <c r="AF261" s="300">
        <v>70.0</v>
      </c>
      <c r="AG261" s="300">
        <v>140.0</v>
      </c>
      <c r="AH261" s="112"/>
    </row>
    <row r="262" hidden="1">
      <c r="A262" s="67" t="s">
        <v>263</v>
      </c>
      <c r="B262" s="241">
        <v>140.0</v>
      </c>
      <c r="C262" s="241">
        <v>140.0</v>
      </c>
      <c r="D262" s="241">
        <v>140.0</v>
      </c>
      <c r="E262" s="241">
        <v>140.0</v>
      </c>
      <c r="F262" s="241">
        <v>140.0</v>
      </c>
      <c r="G262" s="216"/>
      <c r="H262" s="216"/>
      <c r="I262" s="241">
        <v>140.0</v>
      </c>
      <c r="J262" s="214"/>
      <c r="K262" s="241">
        <v>140.0</v>
      </c>
      <c r="L262" s="241">
        <v>140.0</v>
      </c>
      <c r="M262" s="241">
        <v>140.0</v>
      </c>
      <c r="N262" s="216"/>
      <c r="O262" s="216"/>
      <c r="P262" s="300">
        <v>140.0</v>
      </c>
      <c r="Q262" s="300">
        <v>140.0</v>
      </c>
      <c r="R262" s="300">
        <v>140.0</v>
      </c>
      <c r="S262" s="300">
        <v>140.0</v>
      </c>
      <c r="T262" s="300">
        <v>140.0</v>
      </c>
      <c r="U262" s="112"/>
      <c r="V262" s="112"/>
      <c r="W262" s="300">
        <v>140.0</v>
      </c>
      <c r="X262" s="300">
        <v>140.0</v>
      </c>
      <c r="Y262" s="300">
        <v>140.0</v>
      </c>
      <c r="Z262" s="300">
        <v>140.0</v>
      </c>
      <c r="AA262" s="112"/>
      <c r="AB262" s="112"/>
      <c r="AC262" s="112"/>
      <c r="AD262" s="300">
        <v>140.0</v>
      </c>
      <c r="AE262" s="300">
        <v>140.0</v>
      </c>
      <c r="AF262" s="300">
        <v>140.0</v>
      </c>
      <c r="AG262" s="300">
        <v>140.0</v>
      </c>
      <c r="AH262" s="300">
        <v>140.0</v>
      </c>
    </row>
    <row r="263" hidden="1">
      <c r="A263" s="67" t="s">
        <v>944</v>
      </c>
      <c r="B263" s="241">
        <v>140.0</v>
      </c>
      <c r="C263" s="241">
        <v>140.0</v>
      </c>
      <c r="D263" s="241">
        <v>140.0</v>
      </c>
      <c r="E263" s="241">
        <v>140.0</v>
      </c>
      <c r="F263" s="241">
        <v>140.0</v>
      </c>
      <c r="G263" s="216"/>
      <c r="H263" s="216"/>
      <c r="I263" s="241">
        <v>140.0</v>
      </c>
      <c r="J263" s="214"/>
      <c r="K263" s="241">
        <v>140.0</v>
      </c>
      <c r="L263" s="241">
        <v>140.0</v>
      </c>
      <c r="M263" s="241">
        <v>140.0</v>
      </c>
      <c r="N263" s="216"/>
      <c r="O263" s="216"/>
      <c r="P263" s="300">
        <v>140.0</v>
      </c>
      <c r="Q263" s="300">
        <v>140.0</v>
      </c>
      <c r="R263" s="300">
        <v>140.0</v>
      </c>
      <c r="S263" s="300">
        <v>140.0</v>
      </c>
      <c r="T263" s="300">
        <v>140.0</v>
      </c>
      <c r="U263" s="112"/>
      <c r="V263" s="112"/>
      <c r="W263" s="300">
        <v>140.0</v>
      </c>
      <c r="X263" s="300">
        <v>140.0</v>
      </c>
      <c r="Y263" s="300">
        <v>140.0</v>
      </c>
      <c r="Z263" s="300">
        <v>140.0</v>
      </c>
      <c r="AA263" s="285"/>
      <c r="AB263" s="112"/>
      <c r="AC263" s="112"/>
      <c r="AD263" s="308"/>
      <c r="AE263" s="300">
        <v>70.0</v>
      </c>
      <c r="AF263" s="300">
        <v>70.0</v>
      </c>
      <c r="AG263" s="300">
        <v>70.0</v>
      </c>
      <c r="AH263" s="300">
        <v>70.0</v>
      </c>
    </row>
    <row r="264" hidden="1">
      <c r="A264" s="67" t="s">
        <v>945</v>
      </c>
      <c r="B264" s="216"/>
      <c r="C264" s="216"/>
      <c r="D264" s="216"/>
      <c r="E264" s="216"/>
      <c r="F264" s="216"/>
      <c r="G264" s="216"/>
      <c r="H264" s="216"/>
      <c r="I264" s="214"/>
      <c r="J264" s="216"/>
      <c r="K264" s="214"/>
      <c r="L264" s="216"/>
      <c r="M264" s="216"/>
      <c r="N264" s="216"/>
      <c r="O264" s="216"/>
      <c r="P264" s="214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  <c r="AB264" s="216"/>
      <c r="AC264" s="216"/>
      <c r="AD264" s="216"/>
      <c r="AE264" s="216"/>
      <c r="AF264" s="216"/>
      <c r="AG264" s="112"/>
      <c r="AH264" s="77"/>
    </row>
    <row r="265" hidden="1">
      <c r="A265" s="67" t="s">
        <v>955</v>
      </c>
      <c r="B265" s="77"/>
      <c r="C265" s="77"/>
      <c r="D265" s="300">
        <v>140.0</v>
      </c>
      <c r="E265" s="300">
        <v>70.0</v>
      </c>
      <c r="F265" s="77"/>
      <c r="G265" s="77"/>
      <c r="H265" s="77"/>
      <c r="I265" s="77"/>
      <c r="J265" s="77"/>
      <c r="K265" s="77"/>
      <c r="L265" s="300">
        <v>70.0</v>
      </c>
      <c r="M265" s="77"/>
      <c r="N265" s="77"/>
      <c r="O265" s="77"/>
      <c r="P265" s="77"/>
      <c r="Q265" s="300">
        <v>140.0</v>
      </c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300">
        <v>140.0</v>
      </c>
      <c r="AF265" s="77"/>
      <c r="AG265" s="77"/>
      <c r="AH265" s="77"/>
    </row>
    <row r="266" hidden="1">
      <c r="A266" s="67" t="s">
        <v>956</v>
      </c>
      <c r="B266" s="77"/>
      <c r="C266" s="77"/>
      <c r="D266" s="300">
        <v>140.0</v>
      </c>
      <c r="E266" s="300">
        <v>70.0</v>
      </c>
      <c r="F266" s="77"/>
      <c r="G266" s="77"/>
      <c r="H266" s="77"/>
      <c r="I266" s="77"/>
      <c r="J266" s="77"/>
      <c r="K266" s="77"/>
      <c r="L266" s="300">
        <v>70.0</v>
      </c>
      <c r="M266" s="77"/>
      <c r="N266" s="77"/>
      <c r="O266" s="77"/>
      <c r="P266" s="77"/>
      <c r="Q266" s="300">
        <v>140.0</v>
      </c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300">
        <v>140.0</v>
      </c>
      <c r="AF266" s="77"/>
      <c r="AG266" s="77"/>
      <c r="AH266" s="77"/>
    </row>
    <row r="267" hidden="1"/>
    <row r="268" hidden="1"/>
    <row r="269" hidden="1">
      <c r="A269" s="251" t="s">
        <v>788</v>
      </c>
      <c r="B269" s="252" t="s">
        <v>25</v>
      </c>
      <c r="C269" s="253" t="s">
        <v>789</v>
      </c>
      <c r="D269" s="253" t="s">
        <v>27</v>
      </c>
      <c r="E269" s="253" t="s">
        <v>2</v>
      </c>
      <c r="F269" s="253" t="s">
        <v>3</v>
      </c>
      <c r="G269" s="254" t="s">
        <v>790</v>
      </c>
      <c r="H269" s="255"/>
      <c r="I269" s="253" t="s">
        <v>25</v>
      </c>
      <c r="J269" s="253" t="s">
        <v>789</v>
      </c>
      <c r="K269" s="253" t="s">
        <v>27</v>
      </c>
      <c r="L269" s="253" t="s">
        <v>2</v>
      </c>
      <c r="M269" s="253" t="s">
        <v>3</v>
      </c>
      <c r="N269" s="287" t="s">
        <v>790</v>
      </c>
      <c r="O269" s="255"/>
      <c r="P269" s="253" t="s">
        <v>25</v>
      </c>
      <c r="Q269" s="256" t="s">
        <v>789</v>
      </c>
      <c r="R269" s="253" t="s">
        <v>27</v>
      </c>
      <c r="S269" s="253" t="s">
        <v>2</v>
      </c>
      <c r="T269" s="253" t="s">
        <v>3</v>
      </c>
      <c r="U269" s="254" t="s">
        <v>790</v>
      </c>
      <c r="V269" s="255"/>
      <c r="W269" s="253" t="s">
        <v>25</v>
      </c>
      <c r="X269" s="256" t="s">
        <v>789</v>
      </c>
      <c r="Y269" s="253" t="s">
        <v>27</v>
      </c>
      <c r="Z269" s="253" t="s">
        <v>2</v>
      </c>
      <c r="AA269" s="253" t="s">
        <v>3</v>
      </c>
      <c r="AB269" s="257" t="s">
        <v>790</v>
      </c>
      <c r="AC269" s="277"/>
      <c r="AD269" s="280"/>
      <c r="AE269" s="279"/>
      <c r="AF269" s="278"/>
      <c r="AG269" s="278"/>
      <c r="AH269" s="278"/>
    </row>
    <row r="270" hidden="1">
      <c r="A270" s="206"/>
      <c r="B270" s="260" t="s">
        <v>957</v>
      </c>
      <c r="C270" s="260" t="s">
        <v>958</v>
      </c>
      <c r="D270" s="260" t="s">
        <v>959</v>
      </c>
      <c r="E270" s="260" t="s">
        <v>960</v>
      </c>
      <c r="F270" s="260" t="s">
        <v>961</v>
      </c>
      <c r="G270" s="260" t="s">
        <v>962</v>
      </c>
      <c r="H270" s="260"/>
      <c r="I270" s="260" t="s">
        <v>963</v>
      </c>
      <c r="J270" s="260" t="s">
        <v>964</v>
      </c>
      <c r="K270" s="260" t="s">
        <v>965</v>
      </c>
      <c r="L270" s="260" t="s">
        <v>966</v>
      </c>
      <c r="M270" s="260" t="s">
        <v>967</v>
      </c>
      <c r="N270" s="260" t="s">
        <v>968</v>
      </c>
      <c r="O270" s="260"/>
      <c r="P270" s="260" t="s">
        <v>969</v>
      </c>
      <c r="Q270" s="260" t="s">
        <v>970</v>
      </c>
      <c r="R270" s="260" t="s">
        <v>971</v>
      </c>
      <c r="S270" s="260" t="s">
        <v>972</v>
      </c>
      <c r="T270" s="260" t="s">
        <v>973</v>
      </c>
      <c r="U270" s="260"/>
      <c r="V270" s="260"/>
      <c r="W270" s="260" t="s">
        <v>974</v>
      </c>
      <c r="X270" s="260" t="s">
        <v>975</v>
      </c>
      <c r="Y270" s="260" t="s">
        <v>976</v>
      </c>
      <c r="Z270" s="260" t="s">
        <v>977</v>
      </c>
      <c r="AA270" s="260" t="s">
        <v>978</v>
      </c>
      <c r="AB270" s="260"/>
      <c r="AC270" s="260"/>
      <c r="AD270" s="280"/>
      <c r="AE270" s="280"/>
      <c r="AF270" s="280"/>
      <c r="AG270" s="280"/>
      <c r="AH270" s="280"/>
    </row>
    <row r="271" hidden="1">
      <c r="A271" s="263" t="s">
        <v>816</v>
      </c>
      <c r="B271" s="297">
        <v>200.0</v>
      </c>
      <c r="C271" s="297">
        <v>140.0</v>
      </c>
      <c r="D271" s="268"/>
      <c r="E271" s="297">
        <v>70.0</v>
      </c>
      <c r="F271" s="264"/>
      <c r="G271" s="264"/>
      <c r="H271" s="264"/>
      <c r="I271" s="268"/>
      <c r="J271" s="268"/>
      <c r="K271" s="268"/>
      <c r="L271" s="268"/>
      <c r="M271" s="283"/>
      <c r="N271" s="264"/>
      <c r="O271" s="264"/>
      <c r="P271" s="268"/>
      <c r="Q271" s="283"/>
      <c r="R271" s="268"/>
      <c r="S271" s="283"/>
      <c r="T271" s="264"/>
      <c r="U271" s="264"/>
      <c r="V271" s="264"/>
      <c r="W271" s="268"/>
      <c r="X271" s="268"/>
      <c r="Y271" s="268"/>
      <c r="Z271" s="265"/>
      <c r="AA271" s="268"/>
      <c r="AB271" s="264"/>
      <c r="AC271" s="264"/>
      <c r="AD271" s="268"/>
      <c r="AE271" s="268"/>
      <c r="AF271" s="264"/>
      <c r="AG271" s="264"/>
      <c r="AH271" s="264"/>
    </row>
    <row r="272" hidden="1">
      <c r="A272" s="11" t="s">
        <v>817</v>
      </c>
      <c r="B272" s="297">
        <v>200.0</v>
      </c>
      <c r="C272" s="297">
        <v>140.0</v>
      </c>
      <c r="D272" s="268"/>
      <c r="E272" s="297">
        <v>70.0</v>
      </c>
      <c r="F272" s="264"/>
      <c r="G272" s="264"/>
      <c r="H272" s="264"/>
      <c r="I272" s="268"/>
      <c r="J272" s="268"/>
      <c r="K272" s="268"/>
      <c r="L272" s="268"/>
      <c r="M272" s="283"/>
      <c r="N272" s="264"/>
      <c r="O272" s="264"/>
      <c r="P272" s="268"/>
      <c r="Q272" s="283"/>
      <c r="R272" s="268"/>
      <c r="S272" s="283"/>
      <c r="T272" s="264"/>
      <c r="U272" s="264"/>
      <c r="V272" s="264"/>
      <c r="W272" s="268"/>
      <c r="X272" s="268"/>
      <c r="Y272" s="268"/>
      <c r="Z272" s="265"/>
      <c r="AA272" s="268"/>
      <c r="AB272" s="264"/>
      <c r="AC272" s="264"/>
      <c r="AD272" s="268"/>
      <c r="AE272" s="268"/>
      <c r="AF272" s="268"/>
      <c r="AG272" s="264"/>
      <c r="AH272" s="264"/>
    </row>
    <row r="273" hidden="1">
      <c r="A273" s="17" t="s">
        <v>44</v>
      </c>
      <c r="B273" s="297">
        <v>800.0</v>
      </c>
      <c r="C273" s="268"/>
      <c r="D273" s="268"/>
      <c r="E273" s="268"/>
      <c r="F273" s="264"/>
      <c r="G273" s="264"/>
      <c r="H273" s="264"/>
      <c r="I273" s="264"/>
      <c r="J273" s="268"/>
      <c r="K273" s="264"/>
      <c r="L273" s="264"/>
      <c r="M273" s="265"/>
      <c r="N273" s="264"/>
      <c r="O273" s="264"/>
      <c r="P273" s="268"/>
      <c r="Q273" s="283"/>
      <c r="R273" s="268"/>
      <c r="S273" s="283"/>
      <c r="T273" s="264"/>
      <c r="U273" s="264"/>
      <c r="V273" s="264"/>
      <c r="W273" s="268"/>
      <c r="X273" s="268"/>
      <c r="Y273" s="268"/>
      <c r="Z273" s="265"/>
      <c r="AA273" s="268"/>
      <c r="AB273" s="264"/>
      <c r="AC273" s="264"/>
      <c r="AD273" s="268"/>
      <c r="AE273" s="268"/>
      <c r="AF273" s="268"/>
      <c r="AG273" s="264"/>
      <c r="AH273" s="264"/>
    </row>
    <row r="274" hidden="1">
      <c r="A274" s="11" t="s">
        <v>310</v>
      </c>
      <c r="B274" s="268"/>
      <c r="C274" s="268"/>
      <c r="D274" s="297">
        <v>140.0</v>
      </c>
      <c r="E274" s="297">
        <v>140.0</v>
      </c>
      <c r="F274" s="297">
        <v>140.0</v>
      </c>
      <c r="G274" s="264"/>
      <c r="H274" s="264"/>
      <c r="I274" s="297">
        <v>140.0</v>
      </c>
      <c r="J274" s="297">
        <v>140.0</v>
      </c>
      <c r="K274" s="297">
        <v>140.0</v>
      </c>
      <c r="L274" s="297">
        <v>70.0</v>
      </c>
      <c r="M274" s="297">
        <v>140.0</v>
      </c>
      <c r="N274" s="264"/>
      <c r="O274" s="264"/>
      <c r="P274" s="297">
        <v>140.0</v>
      </c>
      <c r="Q274" s="300">
        <v>140.0</v>
      </c>
      <c r="R274" s="298">
        <v>140.0</v>
      </c>
      <c r="S274" s="297">
        <v>140.0</v>
      </c>
      <c r="T274" s="264"/>
      <c r="U274" s="264"/>
      <c r="V274" s="264"/>
      <c r="W274" s="268"/>
      <c r="X274" s="283"/>
      <c r="Y274" s="268"/>
      <c r="Z274" s="283"/>
      <c r="AA274" s="264"/>
      <c r="AB274" s="264"/>
      <c r="AC274" s="264"/>
      <c r="AD274" s="268"/>
      <c r="AE274" s="268"/>
      <c r="AF274" s="268"/>
      <c r="AG274" s="268"/>
      <c r="AH274" s="264"/>
    </row>
    <row r="275" hidden="1">
      <c r="A275" s="11" t="s">
        <v>819</v>
      </c>
      <c r="B275" s="268"/>
      <c r="C275" s="268"/>
      <c r="D275" s="268"/>
      <c r="E275" s="268"/>
      <c r="F275" s="268"/>
      <c r="G275" s="264"/>
      <c r="H275" s="264"/>
      <c r="I275" s="297">
        <v>140.0</v>
      </c>
      <c r="J275" s="297">
        <v>140.0</v>
      </c>
      <c r="K275" s="297">
        <v>140.0</v>
      </c>
      <c r="L275" s="297">
        <v>70.0</v>
      </c>
      <c r="M275" s="297">
        <v>140.0</v>
      </c>
      <c r="N275" s="264"/>
      <c r="O275" s="264"/>
      <c r="P275" s="297">
        <v>140.0</v>
      </c>
      <c r="Q275" s="300">
        <v>140.0</v>
      </c>
      <c r="R275" s="297">
        <v>140.0</v>
      </c>
      <c r="S275" s="297">
        <v>140.0</v>
      </c>
      <c r="T275" s="264"/>
      <c r="U275" s="264"/>
      <c r="V275" s="264"/>
      <c r="W275" s="268"/>
      <c r="X275" s="283"/>
      <c r="Y275" s="268"/>
      <c r="Z275" s="268"/>
      <c r="AA275" s="268"/>
      <c r="AB275" s="268"/>
      <c r="AC275" s="264"/>
      <c r="AD275" s="268"/>
      <c r="AE275" s="268"/>
      <c r="AF275" s="268"/>
      <c r="AG275" s="268"/>
      <c r="AH275" s="264"/>
    </row>
    <row r="276" hidden="1">
      <c r="A276" s="17" t="s">
        <v>735</v>
      </c>
      <c r="B276" s="268"/>
      <c r="C276" s="268"/>
      <c r="D276" s="268"/>
      <c r="E276" s="268"/>
      <c r="F276" s="264"/>
      <c r="G276" s="264"/>
      <c r="H276" s="264"/>
      <c r="I276" s="297">
        <v>140.0</v>
      </c>
      <c r="J276" s="297">
        <v>140.0</v>
      </c>
      <c r="K276" s="297">
        <v>140.0</v>
      </c>
      <c r="L276" s="268"/>
      <c r="M276" s="268"/>
      <c r="N276" s="264"/>
      <c r="O276" s="264"/>
      <c r="P276" s="268"/>
      <c r="Q276" s="268"/>
      <c r="R276" s="268"/>
      <c r="S276" s="268"/>
      <c r="T276" s="264"/>
      <c r="U276" s="264"/>
      <c r="V276" s="264"/>
      <c r="W276" s="268"/>
      <c r="X276" s="268"/>
      <c r="Y276" s="309">
        <v>200.0</v>
      </c>
      <c r="Z276" s="268"/>
      <c r="AA276" s="264"/>
      <c r="AB276" s="264"/>
      <c r="AC276" s="264"/>
      <c r="AD276" s="268"/>
      <c r="AE276" s="268"/>
      <c r="AF276" s="264"/>
      <c r="AG276" s="264"/>
      <c r="AH276" s="264"/>
    </row>
    <row r="277" hidden="1">
      <c r="A277" s="17" t="s">
        <v>866</v>
      </c>
      <c r="B277" s="297">
        <v>400.0</v>
      </c>
      <c r="C277" s="268"/>
      <c r="D277" s="268"/>
      <c r="E277" s="268"/>
      <c r="F277" s="264"/>
      <c r="G277" s="264"/>
      <c r="H277" s="264"/>
      <c r="I277" s="297">
        <v>140.0</v>
      </c>
      <c r="J277" s="297">
        <v>140.0</v>
      </c>
      <c r="K277" s="297">
        <v>140.0</v>
      </c>
      <c r="L277" s="268"/>
      <c r="M277" s="268"/>
      <c r="N277" s="264"/>
      <c r="O277" s="264"/>
      <c r="P277" s="268"/>
      <c r="Q277" s="283"/>
      <c r="R277" s="268"/>
      <c r="S277" s="283"/>
      <c r="T277" s="264"/>
      <c r="U277" s="264"/>
      <c r="V277" s="264"/>
      <c r="W277" s="268"/>
      <c r="X277" s="268"/>
      <c r="Y277" s="310">
        <v>200.0</v>
      </c>
      <c r="Z277" s="268"/>
      <c r="AA277" s="264"/>
      <c r="AB277" s="264"/>
      <c r="AC277" s="264"/>
      <c r="AD277" s="268"/>
      <c r="AE277" s="283"/>
      <c r="AF277" s="268"/>
      <c r="AG277" s="283"/>
      <c r="AH277" s="264"/>
    </row>
    <row r="278" hidden="1">
      <c r="A278" s="17" t="s">
        <v>867</v>
      </c>
      <c r="B278" s="297">
        <v>400.0</v>
      </c>
      <c r="C278" s="268"/>
      <c r="D278" s="268"/>
      <c r="E278" s="268"/>
      <c r="F278" s="264"/>
      <c r="G278" s="264"/>
      <c r="H278" s="264"/>
      <c r="I278" s="297">
        <v>140.0</v>
      </c>
      <c r="J278" s="297">
        <v>140.0</v>
      </c>
      <c r="K278" s="297">
        <v>140.0</v>
      </c>
      <c r="L278" s="268"/>
      <c r="M278" s="268"/>
      <c r="N278" s="264"/>
      <c r="O278" s="264"/>
      <c r="P278" s="268"/>
      <c r="Q278" s="283"/>
      <c r="R278" s="268"/>
      <c r="S278" s="283"/>
      <c r="T278" s="264"/>
      <c r="U278" s="264"/>
      <c r="V278" s="264"/>
      <c r="W278" s="268"/>
      <c r="X278" s="268"/>
      <c r="Y278" s="310">
        <v>200.0</v>
      </c>
      <c r="Z278" s="268"/>
      <c r="AA278" s="264"/>
      <c r="AB278" s="264"/>
      <c r="AC278" s="264"/>
      <c r="AD278" s="268"/>
      <c r="AE278" s="283"/>
      <c r="AF278" s="268"/>
      <c r="AG278" s="283"/>
      <c r="AH278" s="264"/>
    </row>
    <row r="279" hidden="1">
      <c r="A279" s="17" t="s">
        <v>818</v>
      </c>
      <c r="B279" s="226"/>
      <c r="C279" s="226"/>
      <c r="D279" s="297">
        <v>240.0</v>
      </c>
      <c r="E279" s="297">
        <v>70.0</v>
      </c>
      <c r="F279" s="268"/>
      <c r="G279" s="268"/>
      <c r="H279" s="264"/>
      <c r="I279" s="297">
        <v>140.0</v>
      </c>
      <c r="J279" s="297">
        <v>140.0</v>
      </c>
      <c r="K279" s="297">
        <v>140.0</v>
      </c>
      <c r="L279" s="268"/>
      <c r="M279" s="297">
        <v>140.0</v>
      </c>
      <c r="N279" s="264"/>
      <c r="O279" s="264"/>
      <c r="P279" s="268"/>
      <c r="Q279" s="268"/>
      <c r="R279" s="268"/>
      <c r="S279" s="283"/>
      <c r="T279" s="268"/>
      <c r="U279" s="264"/>
      <c r="V279" s="264"/>
      <c r="W279" s="268"/>
      <c r="X279" s="268"/>
      <c r="Y279" s="268"/>
      <c r="Z279" s="268"/>
      <c r="AA279" s="264"/>
      <c r="AB279" s="264"/>
      <c r="AC279" s="264"/>
      <c r="AD279" s="264"/>
      <c r="AE279" s="268"/>
      <c r="AF279" s="268"/>
      <c r="AG279" s="283"/>
      <c r="AH279" s="268"/>
    </row>
    <row r="280" hidden="1">
      <c r="A280" s="17" t="s">
        <v>827</v>
      </c>
      <c r="B280" s="226"/>
      <c r="C280" s="226"/>
      <c r="D280" s="297">
        <v>240.0</v>
      </c>
      <c r="E280" s="297">
        <v>70.0</v>
      </c>
      <c r="F280" s="268"/>
      <c r="G280" s="268"/>
      <c r="H280" s="264"/>
      <c r="I280" s="297">
        <v>140.0</v>
      </c>
      <c r="J280" s="297">
        <v>140.0</v>
      </c>
      <c r="K280" s="297">
        <v>140.0</v>
      </c>
      <c r="L280" s="268"/>
      <c r="M280" s="297">
        <v>140.0</v>
      </c>
      <c r="N280" s="264"/>
      <c r="O280" s="264"/>
      <c r="P280" s="268"/>
      <c r="Q280" s="268"/>
      <c r="R280" s="268"/>
      <c r="S280" s="283"/>
      <c r="T280" s="268"/>
      <c r="U280" s="264"/>
      <c r="V280" s="264"/>
      <c r="W280" s="268"/>
      <c r="X280" s="268"/>
      <c r="Y280" s="268"/>
      <c r="Z280" s="268"/>
      <c r="AA280" s="264"/>
      <c r="AB280" s="264"/>
      <c r="AC280" s="264"/>
      <c r="AD280" s="264"/>
      <c r="AE280" s="268"/>
      <c r="AF280" s="268"/>
      <c r="AG280" s="283"/>
      <c r="AH280" s="268"/>
    </row>
    <row r="281" hidden="1">
      <c r="A281" s="20" t="s">
        <v>832</v>
      </c>
      <c r="B281" s="297">
        <v>200.0</v>
      </c>
      <c r="C281" s="268"/>
      <c r="D281" s="297">
        <v>140.0</v>
      </c>
      <c r="E281" s="268"/>
      <c r="F281" s="268"/>
      <c r="G281" s="264"/>
      <c r="H281" s="264"/>
      <c r="I281" s="268"/>
      <c r="J281" s="268"/>
      <c r="K281" s="268"/>
      <c r="L281" s="268"/>
      <c r="M281" s="268"/>
      <c r="N281" s="264"/>
      <c r="O281" s="264"/>
      <c r="P281" s="268"/>
      <c r="Q281" s="268"/>
      <c r="R281" s="268"/>
      <c r="S281" s="268"/>
      <c r="T281" s="268"/>
      <c r="U281" s="264"/>
      <c r="V281" s="264"/>
      <c r="W281" s="283"/>
      <c r="X281" s="283"/>
      <c r="Y281" s="283"/>
      <c r="Z281" s="283"/>
      <c r="AA281" s="264"/>
      <c r="AB281" s="264"/>
      <c r="AC281" s="264"/>
      <c r="AD281" s="268"/>
      <c r="AE281" s="283"/>
      <c r="AF281" s="268"/>
      <c r="AG281" s="283"/>
      <c r="AH281" s="264"/>
    </row>
    <row r="282" hidden="1">
      <c r="A282" s="20" t="s">
        <v>835</v>
      </c>
      <c r="B282" s="297">
        <v>200.0</v>
      </c>
      <c r="C282" s="268"/>
      <c r="D282" s="297">
        <v>140.0</v>
      </c>
      <c r="E282" s="268"/>
      <c r="F282" s="268"/>
      <c r="G282" s="264"/>
      <c r="H282" s="264"/>
      <c r="I282" s="268"/>
      <c r="J282" s="268"/>
      <c r="K282" s="268"/>
      <c r="L282" s="268"/>
      <c r="M282" s="268"/>
      <c r="N282" s="264"/>
      <c r="O282" s="264"/>
      <c r="P282" s="268"/>
      <c r="Q282" s="268"/>
      <c r="R282" s="268"/>
      <c r="S282" s="268"/>
      <c r="T282" s="268"/>
      <c r="U282" s="264"/>
      <c r="V282" s="264"/>
      <c r="W282" s="283"/>
      <c r="X282" s="283"/>
      <c r="Y282" s="283"/>
      <c r="Z282" s="283"/>
      <c r="AA282" s="264"/>
      <c r="AB282" s="264"/>
      <c r="AC282" s="264"/>
      <c r="AD282" s="268"/>
      <c r="AE282" s="283"/>
      <c r="AF282" s="268"/>
      <c r="AG282" s="283"/>
      <c r="AH282" s="264"/>
    </row>
    <row r="283" hidden="1">
      <c r="A283" s="20" t="s">
        <v>836</v>
      </c>
      <c r="B283" s="268"/>
      <c r="C283" s="268"/>
      <c r="D283" s="297">
        <v>140.0</v>
      </c>
      <c r="E283" s="268"/>
      <c r="F283" s="268"/>
      <c r="G283" s="264"/>
      <c r="H283" s="264"/>
      <c r="I283" s="268"/>
      <c r="J283" s="268"/>
      <c r="K283" s="268"/>
      <c r="L283" s="297">
        <v>150.0</v>
      </c>
      <c r="M283" s="268"/>
      <c r="N283" s="264"/>
      <c r="O283" s="264"/>
      <c r="P283" s="268"/>
      <c r="Q283" s="268"/>
      <c r="R283" s="268"/>
      <c r="S283" s="268"/>
      <c r="T283" s="268"/>
      <c r="U283" s="264"/>
      <c r="V283" s="264"/>
      <c r="W283" s="283"/>
      <c r="X283" s="283"/>
      <c r="Y283" s="283"/>
      <c r="Z283" s="283"/>
      <c r="AA283" s="264"/>
      <c r="AB283" s="264"/>
      <c r="AC283" s="264"/>
      <c r="AD283" s="268"/>
      <c r="AE283" s="283"/>
      <c r="AF283" s="268"/>
      <c r="AG283" s="283"/>
      <c r="AH283" s="264"/>
    </row>
    <row r="284" hidden="1">
      <c r="A284" s="272" t="s">
        <v>824</v>
      </c>
      <c r="B284" s="268"/>
      <c r="C284" s="268"/>
      <c r="D284" s="268"/>
      <c r="E284" s="268"/>
      <c r="F284" s="264"/>
      <c r="G284" s="264"/>
      <c r="H284" s="264"/>
      <c r="I284" s="268"/>
      <c r="J284" s="268"/>
      <c r="K284" s="268"/>
      <c r="L284" s="268"/>
      <c r="M284" s="264"/>
      <c r="N284" s="264"/>
      <c r="O284" s="264"/>
      <c r="P284" s="268"/>
      <c r="Q284" s="283"/>
      <c r="R284" s="268"/>
      <c r="S284" s="283"/>
      <c r="T284" s="226"/>
      <c r="U284" s="264"/>
      <c r="V284" s="264"/>
      <c r="W284" s="283"/>
      <c r="X284" s="311"/>
      <c r="Y284" s="311"/>
      <c r="Z284" s="268"/>
      <c r="AA284" s="264"/>
      <c r="AB284" s="264"/>
      <c r="AC284" s="264"/>
      <c r="AD284" s="264"/>
      <c r="AE284" s="268"/>
      <c r="AF284" s="264"/>
      <c r="AG284" s="264"/>
      <c r="AH284" s="268"/>
    </row>
    <row r="285" hidden="1">
      <c r="A285" s="67" t="s">
        <v>869</v>
      </c>
      <c r="B285" s="268"/>
      <c r="C285" s="268"/>
      <c r="D285" s="268"/>
      <c r="E285" s="268"/>
      <c r="F285" s="268"/>
      <c r="G285" s="264"/>
      <c r="H285" s="264"/>
      <c r="I285" s="268"/>
      <c r="J285" s="311"/>
      <c r="K285" s="268"/>
      <c r="L285" s="268"/>
      <c r="M285" s="268"/>
      <c r="N285" s="264"/>
      <c r="O285" s="264"/>
      <c r="P285" s="226"/>
      <c r="Q285" s="226"/>
      <c r="R285" s="226"/>
      <c r="S285" s="226"/>
      <c r="T285" s="77"/>
      <c r="U285" s="264"/>
      <c r="V285" s="264"/>
      <c r="W285" s="268"/>
      <c r="X285" s="268"/>
      <c r="Y285" s="268"/>
      <c r="Z285" s="283"/>
      <c r="AA285" s="283"/>
      <c r="AB285" s="264"/>
      <c r="AC285" s="264"/>
      <c r="AD285" s="268"/>
      <c r="AE285" s="268"/>
      <c r="AF285" s="268"/>
      <c r="AG285" s="268"/>
      <c r="AH285" s="268"/>
    </row>
    <row r="286" hidden="1">
      <c r="A286" s="67" t="s">
        <v>870</v>
      </c>
      <c r="B286" s="268"/>
      <c r="C286" s="268"/>
      <c r="D286" s="268"/>
      <c r="E286" s="268"/>
      <c r="F286" s="268"/>
      <c r="G286" s="264"/>
      <c r="H286" s="264"/>
      <c r="I286" s="268"/>
      <c r="J286" s="268"/>
      <c r="K286" s="283"/>
      <c r="L286" s="283"/>
      <c r="M286" s="283"/>
      <c r="N286" s="264"/>
      <c r="O286" s="264"/>
      <c r="P286" s="300">
        <v>140.0</v>
      </c>
      <c r="Q286" s="300">
        <v>140.0</v>
      </c>
      <c r="R286" s="300">
        <v>140.0</v>
      </c>
      <c r="S286" s="300">
        <v>140.0</v>
      </c>
      <c r="T286" s="77"/>
      <c r="U286" s="264"/>
      <c r="V286" s="264"/>
      <c r="W286" s="268"/>
      <c r="X286" s="268"/>
      <c r="Y286" s="268"/>
      <c r="Z286" s="283"/>
      <c r="AA286" s="283"/>
      <c r="AB286" s="264"/>
      <c r="AC286" s="264"/>
      <c r="AD286" s="268"/>
      <c r="AE286" s="268"/>
      <c r="AF286" s="268"/>
      <c r="AG286" s="268"/>
      <c r="AH286" s="268"/>
    </row>
    <row r="287" hidden="1">
      <c r="A287" s="272" t="s">
        <v>825</v>
      </c>
      <c r="B287" s="264"/>
      <c r="C287" s="264"/>
      <c r="D287" s="264"/>
      <c r="E287" s="264"/>
      <c r="F287" s="264"/>
      <c r="G287" s="264"/>
      <c r="H287" s="264"/>
      <c r="I287" s="264"/>
      <c r="J287" s="264"/>
      <c r="K287" s="312"/>
      <c r="L287" s="312"/>
      <c r="M287" s="312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</row>
    <row r="288" hidden="1">
      <c r="A288" s="272" t="s">
        <v>826</v>
      </c>
      <c r="B288" s="264"/>
      <c r="C288" s="264"/>
      <c r="D288" s="264"/>
      <c r="E288" s="264"/>
      <c r="F288" s="264"/>
      <c r="G288" s="264"/>
      <c r="H288" s="264"/>
      <c r="I288" s="264"/>
      <c r="J288" s="264"/>
      <c r="K288" s="312"/>
      <c r="L288" s="312"/>
      <c r="M288" s="312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</row>
    <row r="289" hidden="1">
      <c r="A289" s="274" t="s">
        <v>680</v>
      </c>
      <c r="B289" s="264"/>
      <c r="C289" s="264"/>
      <c r="D289" s="264"/>
      <c r="E289" s="264"/>
      <c r="F289" s="264"/>
      <c r="G289" s="264"/>
      <c r="H289" s="264"/>
      <c r="I289" s="264"/>
      <c r="J289" s="264"/>
      <c r="K289" s="312"/>
      <c r="L289" s="312"/>
      <c r="M289" s="312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</row>
    <row r="290" hidden="1">
      <c r="A290" s="274" t="s">
        <v>828</v>
      </c>
      <c r="B290" s="264"/>
      <c r="C290" s="264"/>
      <c r="D290" s="264"/>
      <c r="E290" s="264"/>
      <c r="F290" s="264"/>
      <c r="G290" s="275"/>
      <c r="H290" s="275"/>
      <c r="I290" s="264"/>
      <c r="J290" s="264"/>
      <c r="K290" s="312"/>
      <c r="L290" s="312"/>
      <c r="M290" s="312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</row>
    <row r="291" hidden="1">
      <c r="A291" s="20" t="s">
        <v>829</v>
      </c>
      <c r="B291" s="264"/>
      <c r="C291" s="264"/>
      <c r="D291" s="264"/>
      <c r="E291" s="264"/>
      <c r="F291" s="264"/>
      <c r="G291" s="275"/>
      <c r="H291" s="275"/>
      <c r="I291" s="264"/>
      <c r="J291" s="264"/>
      <c r="K291" s="312"/>
      <c r="L291" s="312"/>
      <c r="M291" s="312"/>
      <c r="N291" s="264"/>
      <c r="O291" s="264"/>
      <c r="P291" s="268"/>
      <c r="Q291" s="264"/>
      <c r="R291" s="264"/>
      <c r="S291" s="268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</row>
    <row r="292" hidden="1">
      <c r="A292" s="20" t="s">
        <v>830</v>
      </c>
      <c r="B292" s="264"/>
      <c r="C292" s="264"/>
      <c r="D292" s="275"/>
      <c r="E292" s="264"/>
      <c r="F292" s="264"/>
      <c r="G292" s="275"/>
      <c r="H292" s="275"/>
      <c r="I292" s="264"/>
      <c r="J292" s="264"/>
      <c r="K292" s="312"/>
      <c r="L292" s="312"/>
      <c r="M292" s="312"/>
      <c r="N292" s="264"/>
      <c r="O292" s="264"/>
      <c r="P292" s="268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</row>
    <row r="293" hidden="1">
      <c r="A293" s="67" t="s">
        <v>871</v>
      </c>
      <c r="B293" s="268"/>
      <c r="C293" s="297">
        <v>70.0</v>
      </c>
      <c r="D293" s="282"/>
      <c r="E293" s="297">
        <v>70.0</v>
      </c>
      <c r="F293" s="297">
        <v>70.0</v>
      </c>
      <c r="G293" s="275"/>
      <c r="H293" s="275"/>
      <c r="I293" s="297">
        <v>70.0</v>
      </c>
      <c r="J293" s="297">
        <v>70.0</v>
      </c>
      <c r="K293" s="297">
        <v>70.0</v>
      </c>
      <c r="L293" s="298">
        <v>70.0</v>
      </c>
      <c r="M293" s="298">
        <v>70.0</v>
      </c>
      <c r="N293" s="264"/>
      <c r="O293" s="264"/>
      <c r="P293" s="297">
        <v>70.0</v>
      </c>
      <c r="Q293" s="298">
        <v>70.0</v>
      </c>
      <c r="R293" s="298">
        <v>70.0</v>
      </c>
      <c r="S293" s="298">
        <v>70.0</v>
      </c>
      <c r="T293" s="298">
        <v>70.0</v>
      </c>
      <c r="U293" s="264"/>
      <c r="V293" s="264"/>
      <c r="W293" s="298">
        <v>70.0</v>
      </c>
      <c r="X293" s="298">
        <v>70.0</v>
      </c>
      <c r="Y293" s="298">
        <v>70.0</v>
      </c>
      <c r="Z293" s="298">
        <v>70.0</v>
      </c>
      <c r="AA293" s="298">
        <v>70.0</v>
      </c>
      <c r="AB293" s="268"/>
      <c r="AC293" s="264"/>
      <c r="AD293" s="268"/>
      <c r="AE293" s="268"/>
      <c r="AF293" s="268"/>
      <c r="AG293" s="268"/>
      <c r="AH293" s="268"/>
    </row>
    <row r="294" hidden="1">
      <c r="A294" s="67" t="s">
        <v>948</v>
      </c>
      <c r="B294" s="268"/>
      <c r="C294" s="297">
        <v>70.0</v>
      </c>
      <c r="D294" s="282"/>
      <c r="E294" s="297">
        <v>70.0</v>
      </c>
      <c r="F294" s="297">
        <v>70.0</v>
      </c>
      <c r="G294" s="275"/>
      <c r="H294" s="275"/>
      <c r="I294" s="297">
        <v>70.0</v>
      </c>
      <c r="J294" s="297">
        <v>70.0</v>
      </c>
      <c r="K294" s="297">
        <v>70.0</v>
      </c>
      <c r="L294" s="298">
        <v>70.0</v>
      </c>
      <c r="M294" s="298">
        <v>70.0</v>
      </c>
      <c r="N294" s="264"/>
      <c r="O294" s="264"/>
      <c r="P294" s="297">
        <v>70.0</v>
      </c>
      <c r="Q294" s="298">
        <v>70.0</v>
      </c>
      <c r="R294" s="298">
        <v>70.0</v>
      </c>
      <c r="S294" s="298">
        <v>70.0</v>
      </c>
      <c r="T294" s="298">
        <v>70.0</v>
      </c>
      <c r="U294" s="264"/>
      <c r="V294" s="264"/>
      <c r="W294" s="298">
        <v>70.0</v>
      </c>
      <c r="X294" s="298">
        <v>70.0</v>
      </c>
      <c r="Y294" s="298">
        <v>70.0</v>
      </c>
      <c r="Z294" s="298">
        <v>70.0</v>
      </c>
      <c r="AA294" s="298">
        <v>70.0</v>
      </c>
      <c r="AB294" s="268"/>
      <c r="AC294" s="264"/>
      <c r="AD294" s="268"/>
      <c r="AE294" s="268"/>
      <c r="AF294" s="268"/>
      <c r="AG294" s="268"/>
      <c r="AH294" s="268"/>
    </row>
    <row r="295" hidden="1">
      <c r="A295" s="67" t="s">
        <v>872</v>
      </c>
      <c r="B295" s="268"/>
      <c r="C295" s="297">
        <v>70.0</v>
      </c>
      <c r="D295" s="282"/>
      <c r="E295" s="297">
        <v>70.0</v>
      </c>
      <c r="F295" s="297">
        <v>70.0</v>
      </c>
      <c r="G295" s="275"/>
      <c r="H295" s="275"/>
      <c r="I295" s="297">
        <v>70.0</v>
      </c>
      <c r="J295" s="297">
        <v>70.0</v>
      </c>
      <c r="K295" s="297">
        <v>70.0</v>
      </c>
      <c r="L295" s="298">
        <v>70.0</v>
      </c>
      <c r="M295" s="298">
        <v>70.0</v>
      </c>
      <c r="N295" s="264"/>
      <c r="O295" s="264"/>
      <c r="P295" s="297">
        <v>70.0</v>
      </c>
      <c r="Q295" s="298">
        <v>70.0</v>
      </c>
      <c r="R295" s="298">
        <v>70.0</v>
      </c>
      <c r="S295" s="298">
        <v>70.0</v>
      </c>
      <c r="T295" s="298">
        <v>70.0</v>
      </c>
      <c r="U295" s="264"/>
      <c r="V295" s="264"/>
      <c r="W295" s="298">
        <v>70.0</v>
      </c>
      <c r="X295" s="298">
        <v>70.0</v>
      </c>
      <c r="Y295" s="298">
        <v>70.0</v>
      </c>
      <c r="Z295" s="298">
        <v>70.0</v>
      </c>
      <c r="AA295" s="298">
        <v>70.0</v>
      </c>
      <c r="AB295" s="268"/>
      <c r="AC295" s="264"/>
      <c r="AD295" s="268"/>
      <c r="AE295" s="268"/>
      <c r="AF295" s="268"/>
      <c r="AG295" s="268"/>
      <c r="AH295" s="268"/>
    </row>
    <row r="296" hidden="1">
      <c r="A296" s="67" t="s">
        <v>747</v>
      </c>
      <c r="B296" s="268"/>
      <c r="C296" s="297">
        <v>70.0</v>
      </c>
      <c r="D296" s="282"/>
      <c r="E296" s="297">
        <v>70.0</v>
      </c>
      <c r="F296" s="297">
        <v>70.0</v>
      </c>
      <c r="G296" s="275"/>
      <c r="H296" s="275"/>
      <c r="I296" s="297">
        <v>70.0</v>
      </c>
      <c r="J296" s="297">
        <v>70.0</v>
      </c>
      <c r="K296" s="297">
        <v>70.0</v>
      </c>
      <c r="L296" s="298">
        <v>70.0</v>
      </c>
      <c r="M296" s="298">
        <v>70.0</v>
      </c>
      <c r="N296" s="264"/>
      <c r="O296" s="264"/>
      <c r="P296" s="297">
        <v>170.0</v>
      </c>
      <c r="Q296" s="298">
        <v>70.0</v>
      </c>
      <c r="R296" s="298">
        <v>70.0</v>
      </c>
      <c r="S296" s="298">
        <v>70.0</v>
      </c>
      <c r="T296" s="298">
        <v>70.0</v>
      </c>
      <c r="U296" s="264"/>
      <c r="V296" s="264"/>
      <c r="W296" s="298">
        <v>70.0</v>
      </c>
      <c r="X296" s="298">
        <v>70.0</v>
      </c>
      <c r="Y296" s="298">
        <v>70.0</v>
      </c>
      <c r="Z296" s="298">
        <v>70.0</v>
      </c>
      <c r="AA296" s="298">
        <v>70.0</v>
      </c>
      <c r="AB296" s="268"/>
      <c r="AC296" s="264"/>
      <c r="AD296" s="268"/>
      <c r="AE296" s="268"/>
      <c r="AF296" s="268"/>
      <c r="AG296" s="268"/>
      <c r="AH296" s="268"/>
    </row>
    <row r="297" hidden="1">
      <c r="A297" s="67" t="s">
        <v>949</v>
      </c>
      <c r="B297" s="268"/>
      <c r="C297" s="297">
        <v>70.0</v>
      </c>
      <c r="D297" s="282"/>
      <c r="E297" s="297">
        <v>70.0</v>
      </c>
      <c r="F297" s="297">
        <v>70.0</v>
      </c>
      <c r="G297" s="275"/>
      <c r="H297" s="275"/>
      <c r="I297" s="297">
        <v>70.0</v>
      </c>
      <c r="J297" s="297">
        <v>70.0</v>
      </c>
      <c r="K297" s="297">
        <v>70.0</v>
      </c>
      <c r="L297" s="298">
        <v>70.0</v>
      </c>
      <c r="M297" s="298">
        <v>70.0</v>
      </c>
      <c r="N297" s="264"/>
      <c r="O297" s="264"/>
      <c r="P297" s="297">
        <v>70.0</v>
      </c>
      <c r="Q297" s="298">
        <v>70.0</v>
      </c>
      <c r="R297" s="298">
        <v>70.0</v>
      </c>
      <c r="S297" s="298">
        <v>70.0</v>
      </c>
      <c r="T297" s="298">
        <v>70.0</v>
      </c>
      <c r="U297" s="264"/>
      <c r="V297" s="264"/>
      <c r="W297" s="298">
        <v>70.0</v>
      </c>
      <c r="X297" s="298">
        <v>70.0</v>
      </c>
      <c r="Y297" s="298">
        <v>70.0</v>
      </c>
      <c r="Z297" s="298">
        <v>70.0</v>
      </c>
      <c r="AA297" s="298">
        <v>70.0</v>
      </c>
      <c r="AB297" s="268"/>
      <c r="AC297" s="264"/>
      <c r="AD297" s="268"/>
      <c r="AE297" s="268"/>
      <c r="AF297" s="268"/>
      <c r="AG297" s="268"/>
      <c r="AH297" s="268"/>
    </row>
    <row r="298" hidden="1">
      <c r="A298" s="67" t="s">
        <v>954</v>
      </c>
      <c r="B298" s="268"/>
      <c r="C298" s="297">
        <v>70.0</v>
      </c>
      <c r="D298" s="282"/>
      <c r="E298" s="297">
        <v>70.0</v>
      </c>
      <c r="F298" s="297">
        <v>70.0</v>
      </c>
      <c r="G298" s="275"/>
      <c r="H298" s="275"/>
      <c r="I298" s="297">
        <v>70.0</v>
      </c>
      <c r="J298" s="297">
        <v>70.0</v>
      </c>
      <c r="K298" s="297">
        <v>70.0</v>
      </c>
      <c r="L298" s="298">
        <v>70.0</v>
      </c>
      <c r="M298" s="298">
        <v>70.0</v>
      </c>
      <c r="N298" s="264"/>
      <c r="O298" s="264"/>
      <c r="P298" s="297">
        <v>70.0</v>
      </c>
      <c r="Q298" s="298">
        <v>70.0</v>
      </c>
      <c r="R298" s="298">
        <v>70.0</v>
      </c>
      <c r="S298" s="298">
        <v>70.0</v>
      </c>
      <c r="T298" s="298">
        <v>70.0</v>
      </c>
      <c r="U298" s="264"/>
      <c r="V298" s="264"/>
      <c r="W298" s="298">
        <v>70.0</v>
      </c>
      <c r="X298" s="298">
        <v>70.0</v>
      </c>
      <c r="Y298" s="298">
        <v>70.0</v>
      </c>
      <c r="Z298" s="298">
        <v>70.0</v>
      </c>
      <c r="AA298" s="298">
        <v>70.0</v>
      </c>
      <c r="AB298" s="264"/>
      <c r="AC298" s="264"/>
      <c r="AD298" s="268"/>
      <c r="AE298" s="268"/>
      <c r="AF298" s="268"/>
      <c r="AG298" s="268"/>
      <c r="AH298" s="268"/>
    </row>
    <row r="299" hidden="1">
      <c r="A299" s="20" t="s">
        <v>12</v>
      </c>
      <c r="B299" s="264"/>
      <c r="C299" s="264"/>
      <c r="D299" s="264"/>
      <c r="E299" s="264"/>
      <c r="F299" s="264"/>
      <c r="G299" s="264"/>
      <c r="H299" s="264"/>
      <c r="I299" s="264"/>
      <c r="J299" s="268"/>
      <c r="K299" s="312"/>
      <c r="L299" s="312"/>
      <c r="M299" s="312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83"/>
      <c r="Y299" s="268"/>
      <c r="Z299" s="268"/>
      <c r="AA299" s="264"/>
      <c r="AB299" s="264"/>
      <c r="AC299" s="264"/>
      <c r="AD299" s="268"/>
      <c r="AE299" s="264"/>
      <c r="AF299" s="264"/>
      <c r="AG299" s="264"/>
      <c r="AH299" s="264"/>
    </row>
    <row r="300" hidden="1">
      <c r="A300" s="20" t="s">
        <v>838</v>
      </c>
      <c r="B300" s="264"/>
      <c r="C300" s="264"/>
      <c r="D300" s="264"/>
      <c r="E300" s="268"/>
      <c r="F300" s="264"/>
      <c r="G300" s="264"/>
      <c r="H300" s="264"/>
      <c r="I300" s="264"/>
      <c r="J300" s="264"/>
      <c r="K300" s="312"/>
      <c r="L300" s="312"/>
      <c r="M300" s="312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8"/>
      <c r="Y300" s="268"/>
      <c r="Z300" s="268"/>
      <c r="AA300" s="264"/>
      <c r="AB300" s="264"/>
      <c r="AC300" s="264"/>
      <c r="AD300" s="268"/>
      <c r="AE300" s="264"/>
      <c r="AF300" s="264"/>
      <c r="AG300" s="264"/>
      <c r="AH300" s="264"/>
    </row>
    <row r="301" hidden="1">
      <c r="A301" s="67" t="s">
        <v>822</v>
      </c>
      <c r="B301" s="226"/>
      <c r="C301" s="226"/>
      <c r="D301" s="300">
        <v>140.0</v>
      </c>
      <c r="E301" s="226"/>
      <c r="F301" s="300">
        <v>140.0</v>
      </c>
      <c r="G301" s="77"/>
      <c r="H301" s="77"/>
      <c r="I301" s="300">
        <v>140.0</v>
      </c>
      <c r="J301" s="300">
        <v>140.0</v>
      </c>
      <c r="K301" s="313">
        <v>140.0</v>
      </c>
      <c r="L301" s="313" t="s">
        <v>433</v>
      </c>
      <c r="M301" s="313">
        <v>140.0</v>
      </c>
      <c r="N301" s="77"/>
      <c r="O301" s="77"/>
      <c r="P301" s="300">
        <v>140.0</v>
      </c>
      <c r="Q301" s="300">
        <v>140.0</v>
      </c>
      <c r="R301" s="300">
        <v>140.0</v>
      </c>
      <c r="S301" s="300">
        <v>140.0</v>
      </c>
      <c r="T301" s="300">
        <v>140.0</v>
      </c>
      <c r="U301" s="77"/>
      <c r="V301" s="77"/>
      <c r="W301" s="300">
        <v>140.0</v>
      </c>
      <c r="X301" s="300">
        <v>140.0</v>
      </c>
      <c r="Y301" s="300">
        <v>140.0</v>
      </c>
      <c r="Z301" s="300">
        <v>140.0</v>
      </c>
      <c r="AA301" s="300">
        <v>140.0</v>
      </c>
      <c r="AB301" s="77"/>
      <c r="AC301" s="77"/>
      <c r="AD301" s="226"/>
      <c r="AE301" s="226"/>
      <c r="AF301" s="226"/>
      <c r="AG301" s="226"/>
      <c r="AH301" s="226"/>
    </row>
    <row r="302" hidden="1">
      <c r="A302" s="67" t="s">
        <v>677</v>
      </c>
      <c r="B302" s="226"/>
      <c r="C302" s="268"/>
      <c r="D302" s="268"/>
      <c r="E302" s="297">
        <v>140.0</v>
      </c>
      <c r="F302" s="300">
        <v>140.0</v>
      </c>
      <c r="G302" s="77"/>
      <c r="H302" s="77"/>
      <c r="I302" s="300">
        <v>140.0</v>
      </c>
      <c r="J302" s="300">
        <v>140.0</v>
      </c>
      <c r="K302" s="314" t="s">
        <v>433</v>
      </c>
      <c r="L302" s="313">
        <v>140.0</v>
      </c>
      <c r="M302" s="313">
        <v>140.0</v>
      </c>
      <c r="N302" s="226"/>
      <c r="O302" s="77"/>
      <c r="P302" s="300">
        <v>140.0</v>
      </c>
      <c r="Q302" s="313" t="s">
        <v>433</v>
      </c>
      <c r="R302" s="300">
        <v>140.0</v>
      </c>
      <c r="S302" s="300">
        <v>140.0</v>
      </c>
      <c r="T302" s="300">
        <v>140.0</v>
      </c>
      <c r="U302" s="77"/>
      <c r="V302" s="77"/>
      <c r="W302" s="300">
        <v>140.0</v>
      </c>
      <c r="X302" s="300">
        <v>140.0</v>
      </c>
      <c r="Y302" s="300">
        <v>140.0</v>
      </c>
      <c r="Z302" s="300">
        <v>140.0</v>
      </c>
      <c r="AA302" s="300">
        <v>140.0</v>
      </c>
      <c r="AB302" s="77"/>
      <c r="AC302" s="77"/>
      <c r="AD302" s="226"/>
      <c r="AE302" s="77"/>
      <c r="AF302" s="77"/>
      <c r="AG302" s="77"/>
      <c r="AH302" s="77"/>
    </row>
    <row r="303" hidden="1">
      <c r="A303" s="67" t="s">
        <v>875</v>
      </c>
      <c r="B303" s="226"/>
      <c r="C303" s="226"/>
      <c r="D303" s="226"/>
      <c r="E303" s="300">
        <v>140.0</v>
      </c>
      <c r="F303" s="300">
        <v>140.0</v>
      </c>
      <c r="G303" s="77"/>
      <c r="H303" s="77"/>
      <c r="I303" s="300">
        <v>140.0</v>
      </c>
      <c r="J303" s="300">
        <v>140.0</v>
      </c>
      <c r="K303" s="313">
        <v>140.0</v>
      </c>
      <c r="L303" s="313">
        <v>140.0</v>
      </c>
      <c r="M303" s="313" t="s">
        <v>433</v>
      </c>
      <c r="N303" s="77"/>
      <c r="O303" s="77"/>
      <c r="P303" s="300">
        <v>140.0</v>
      </c>
      <c r="Q303" s="300">
        <v>140.0</v>
      </c>
      <c r="R303" s="300">
        <v>140.0</v>
      </c>
      <c r="S303" s="300">
        <v>140.0</v>
      </c>
      <c r="T303" s="300">
        <v>140.0</v>
      </c>
      <c r="U303" s="77"/>
      <c r="V303" s="77"/>
      <c r="W303" s="300">
        <v>140.0</v>
      </c>
      <c r="X303" s="300">
        <v>140.0</v>
      </c>
      <c r="Y303" s="300">
        <v>140.0</v>
      </c>
      <c r="Z303" s="300">
        <v>140.0</v>
      </c>
      <c r="AA303" s="300">
        <v>140.0</v>
      </c>
      <c r="AB303" s="77"/>
      <c r="AC303" s="77"/>
      <c r="AD303" s="226"/>
      <c r="AE303" s="226"/>
      <c r="AF303" s="226"/>
      <c r="AG303" s="226"/>
      <c r="AH303" s="77"/>
    </row>
    <row r="304" hidden="1">
      <c r="A304" s="67" t="s">
        <v>263</v>
      </c>
      <c r="B304" s="226"/>
      <c r="C304" s="226"/>
      <c r="D304" s="300">
        <v>140.0</v>
      </c>
      <c r="E304" s="300">
        <v>140.0</v>
      </c>
      <c r="F304" s="300">
        <v>140.0</v>
      </c>
      <c r="G304" s="77"/>
      <c r="H304" s="77"/>
      <c r="I304" s="300">
        <v>140.0</v>
      </c>
      <c r="J304" s="300">
        <v>140.0</v>
      </c>
      <c r="K304" s="313">
        <v>140.0</v>
      </c>
      <c r="L304" s="313">
        <v>140.0</v>
      </c>
      <c r="M304" s="313">
        <v>140.0</v>
      </c>
      <c r="N304" s="77"/>
      <c r="O304" s="77"/>
      <c r="P304" s="300">
        <v>140.0</v>
      </c>
      <c r="Q304" s="300">
        <v>140.0</v>
      </c>
      <c r="R304" s="300">
        <v>140.0</v>
      </c>
      <c r="S304" s="300">
        <v>140.0</v>
      </c>
      <c r="T304" s="300">
        <v>140.0</v>
      </c>
      <c r="U304" s="77"/>
      <c r="V304" s="77"/>
      <c r="W304" s="300">
        <v>140.0</v>
      </c>
      <c r="X304" s="300">
        <v>140.0</v>
      </c>
      <c r="Y304" s="300">
        <v>140.0</v>
      </c>
      <c r="Z304" s="300">
        <v>140.0</v>
      </c>
      <c r="AA304" s="300">
        <v>140.0</v>
      </c>
      <c r="AB304" s="77"/>
      <c r="AC304" s="77"/>
      <c r="AD304" s="226"/>
      <c r="AE304" s="226"/>
      <c r="AF304" s="226"/>
      <c r="AG304" s="226"/>
      <c r="AH304" s="226"/>
    </row>
    <row r="305" hidden="1">
      <c r="A305" s="67" t="s">
        <v>944</v>
      </c>
      <c r="B305" s="226"/>
      <c r="C305" s="226"/>
      <c r="D305" s="300">
        <v>140.0</v>
      </c>
      <c r="E305" s="300">
        <v>140.0</v>
      </c>
      <c r="F305" s="300">
        <v>140.0</v>
      </c>
      <c r="G305" s="112"/>
      <c r="H305" s="112"/>
      <c r="I305" s="300">
        <v>140.0</v>
      </c>
      <c r="J305" s="300">
        <v>140.0</v>
      </c>
      <c r="K305" s="313">
        <v>140.0</v>
      </c>
      <c r="L305" s="313">
        <v>140.0</v>
      </c>
      <c r="M305" s="313">
        <v>140.0</v>
      </c>
      <c r="N305" s="77"/>
      <c r="O305" s="77"/>
      <c r="P305" s="300">
        <v>140.0</v>
      </c>
      <c r="Q305" s="300">
        <v>140.0</v>
      </c>
      <c r="R305" s="300">
        <v>140.0</v>
      </c>
      <c r="S305" s="300">
        <v>140.0</v>
      </c>
      <c r="T305" s="300">
        <v>140.0</v>
      </c>
      <c r="U305" s="77"/>
      <c r="V305" s="77"/>
      <c r="W305" s="300">
        <v>140.0</v>
      </c>
      <c r="X305" s="300">
        <v>140.0</v>
      </c>
      <c r="Y305" s="300">
        <v>140.0</v>
      </c>
      <c r="Z305" s="300">
        <v>140.0</v>
      </c>
      <c r="AA305" s="300">
        <v>140.0</v>
      </c>
      <c r="AB305" s="77"/>
      <c r="AC305" s="77"/>
      <c r="AD305" s="77"/>
      <c r="AE305" s="77"/>
      <c r="AF305" s="77"/>
      <c r="AG305" s="77"/>
      <c r="AH305" s="77"/>
    </row>
    <row r="306" hidden="1">
      <c r="A306" s="67" t="s">
        <v>945</v>
      </c>
      <c r="B306" s="216"/>
      <c r="C306" s="216"/>
      <c r="D306" s="216"/>
      <c r="E306" s="216"/>
      <c r="F306" s="216"/>
      <c r="G306" s="216"/>
      <c r="H306" s="216"/>
      <c r="I306" s="214"/>
      <c r="J306" s="216"/>
      <c r="K306" s="315"/>
      <c r="L306" s="316"/>
      <c r="M306" s="316"/>
      <c r="N306" s="216"/>
      <c r="O306" s="216"/>
      <c r="P306" s="214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  <c r="AD306" s="216"/>
      <c r="AE306" s="216"/>
      <c r="AF306" s="216"/>
      <c r="AG306" s="112"/>
      <c r="AH306" s="77"/>
    </row>
    <row r="307" hidden="1">
      <c r="A307" s="67" t="s">
        <v>955</v>
      </c>
      <c r="B307" s="77"/>
      <c r="C307" s="300">
        <v>140.0</v>
      </c>
      <c r="D307" s="300">
        <v>70.0</v>
      </c>
      <c r="E307" s="300">
        <v>70.0</v>
      </c>
      <c r="F307" s="77"/>
      <c r="G307" s="77"/>
      <c r="H307" s="77"/>
      <c r="I307" s="300">
        <v>140.0</v>
      </c>
      <c r="J307" s="300">
        <v>140.0</v>
      </c>
      <c r="K307" s="317"/>
      <c r="L307" s="314"/>
      <c r="M307" s="317"/>
      <c r="N307" s="77"/>
      <c r="O307" s="77"/>
      <c r="P307" s="77"/>
      <c r="Q307" s="226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</row>
    <row r="308" hidden="1">
      <c r="A308" s="67" t="s">
        <v>956</v>
      </c>
      <c r="B308" s="77"/>
      <c r="C308" s="300">
        <v>140.0</v>
      </c>
      <c r="D308" s="300">
        <v>70.0</v>
      </c>
      <c r="E308" s="300">
        <v>70.0</v>
      </c>
      <c r="F308" s="77"/>
      <c r="G308" s="77"/>
      <c r="H308" s="77"/>
      <c r="I308" s="300">
        <v>140.0</v>
      </c>
      <c r="J308" s="300">
        <v>140.0</v>
      </c>
      <c r="K308" s="77"/>
      <c r="L308" s="226"/>
      <c r="M308" s="77"/>
      <c r="N308" s="77"/>
      <c r="O308" s="77"/>
      <c r="P308" s="77"/>
      <c r="Q308" s="226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</row>
    <row r="309" hidden="1"/>
    <row r="310" hidden="1"/>
    <row r="311" hidden="1">
      <c r="A311" s="251" t="s">
        <v>788</v>
      </c>
      <c r="B311" s="252" t="s">
        <v>25</v>
      </c>
      <c r="C311" s="253" t="s">
        <v>789</v>
      </c>
      <c r="D311" s="253" t="s">
        <v>27</v>
      </c>
      <c r="E311" s="253" t="s">
        <v>2</v>
      </c>
      <c r="F311" s="253" t="s">
        <v>3</v>
      </c>
      <c r="G311" s="254" t="s">
        <v>790</v>
      </c>
      <c r="H311" s="255"/>
      <c r="I311" s="253" t="s">
        <v>25</v>
      </c>
      <c r="J311" s="253" t="s">
        <v>789</v>
      </c>
      <c r="K311" s="253" t="s">
        <v>27</v>
      </c>
      <c r="L311" s="253" t="s">
        <v>2</v>
      </c>
      <c r="M311" s="253" t="s">
        <v>3</v>
      </c>
      <c r="N311" s="287" t="s">
        <v>790</v>
      </c>
      <c r="O311" s="255"/>
      <c r="P311" s="253" t="s">
        <v>25</v>
      </c>
      <c r="Q311" s="256" t="s">
        <v>789</v>
      </c>
      <c r="R311" s="253" t="s">
        <v>27</v>
      </c>
      <c r="S311" s="253" t="s">
        <v>2</v>
      </c>
      <c r="T311" s="253" t="s">
        <v>3</v>
      </c>
      <c r="U311" s="254" t="s">
        <v>790</v>
      </c>
      <c r="V311" s="255"/>
      <c r="W311" s="253" t="s">
        <v>25</v>
      </c>
      <c r="X311" s="256" t="s">
        <v>789</v>
      </c>
      <c r="Y311" s="253" t="s">
        <v>27</v>
      </c>
      <c r="Z311" s="253" t="s">
        <v>2</v>
      </c>
      <c r="AA311" s="253" t="s">
        <v>3</v>
      </c>
      <c r="AB311" s="257" t="s">
        <v>790</v>
      </c>
    </row>
    <row r="312" hidden="1">
      <c r="A312" s="206"/>
      <c r="B312" s="260" t="s">
        <v>979</v>
      </c>
      <c r="C312" s="260">
        <v>4.11</v>
      </c>
      <c r="D312" s="260" t="s">
        <v>980</v>
      </c>
      <c r="E312" s="260">
        <v>6.11</v>
      </c>
      <c r="F312" s="260" t="s">
        <v>981</v>
      </c>
      <c r="G312" s="260">
        <v>8.11</v>
      </c>
      <c r="H312" s="260"/>
      <c r="I312" s="260" t="s">
        <v>982</v>
      </c>
      <c r="J312" s="260" t="s">
        <v>983</v>
      </c>
      <c r="K312" s="260" t="s">
        <v>984</v>
      </c>
      <c r="L312" s="260" t="s">
        <v>985</v>
      </c>
      <c r="M312" s="260" t="s">
        <v>986</v>
      </c>
      <c r="N312" s="260" t="s">
        <v>987</v>
      </c>
      <c r="O312" s="260"/>
      <c r="P312" s="260" t="s">
        <v>988</v>
      </c>
      <c r="Q312" s="260" t="s">
        <v>989</v>
      </c>
      <c r="R312" s="260" t="s">
        <v>990</v>
      </c>
      <c r="S312" s="260" t="s">
        <v>991</v>
      </c>
      <c r="T312" s="260" t="s">
        <v>992</v>
      </c>
      <c r="U312" s="260"/>
      <c r="V312" s="260"/>
      <c r="W312" s="260" t="s">
        <v>993</v>
      </c>
      <c r="X312" s="260" t="s">
        <v>994</v>
      </c>
      <c r="Y312" s="260" t="s">
        <v>995</v>
      </c>
      <c r="Z312" s="260" t="s">
        <v>996</v>
      </c>
      <c r="AA312" s="260" t="s">
        <v>997</v>
      </c>
      <c r="AB312" s="260"/>
    </row>
    <row r="313" hidden="1">
      <c r="A313" s="263" t="s">
        <v>816</v>
      </c>
      <c r="B313" s="282"/>
      <c r="C313" s="282"/>
      <c r="D313" s="282"/>
      <c r="E313" s="282"/>
      <c r="F313" s="275"/>
      <c r="G313" s="275"/>
      <c r="H313" s="275"/>
      <c r="I313" s="282"/>
      <c r="J313" s="282"/>
      <c r="K313" s="282"/>
      <c r="L313" s="282"/>
      <c r="M313" s="288"/>
      <c r="N313" s="275"/>
      <c r="O313" s="275"/>
      <c r="P313" s="282"/>
      <c r="Q313" s="288"/>
      <c r="R313" s="282"/>
      <c r="S313" s="288"/>
      <c r="T313" s="275"/>
      <c r="U313" s="275"/>
      <c r="V313" s="275"/>
      <c r="W313" s="282"/>
      <c r="X313" s="282"/>
      <c r="Y313" s="282"/>
      <c r="Z313" s="281"/>
      <c r="AA313" s="282"/>
      <c r="AB313" s="275"/>
    </row>
    <row r="314" hidden="1">
      <c r="A314" s="11" t="s">
        <v>817</v>
      </c>
      <c r="B314" s="282"/>
      <c r="C314" s="282"/>
      <c r="D314" s="282"/>
      <c r="E314" s="282"/>
      <c r="F314" s="275"/>
      <c r="G314" s="275"/>
      <c r="H314" s="275"/>
      <c r="I314" s="282"/>
      <c r="J314" s="282"/>
      <c r="K314" s="282"/>
      <c r="L314" s="282"/>
      <c r="M314" s="288"/>
      <c r="N314" s="275"/>
      <c r="O314" s="275"/>
      <c r="P314" s="282"/>
      <c r="Q314" s="288"/>
      <c r="R314" s="282"/>
      <c r="S314" s="288"/>
      <c r="T314" s="275"/>
      <c r="U314" s="275"/>
      <c r="V314" s="275"/>
      <c r="W314" s="282"/>
      <c r="X314" s="282"/>
      <c r="Y314" s="282"/>
      <c r="Z314" s="281"/>
      <c r="AA314" s="282"/>
      <c r="AB314" s="275"/>
    </row>
    <row r="315" hidden="1">
      <c r="A315" s="17" t="s">
        <v>44</v>
      </c>
      <c r="B315" s="282"/>
      <c r="C315" s="282"/>
      <c r="D315" s="282"/>
      <c r="E315" s="282"/>
      <c r="F315" s="275"/>
      <c r="G315" s="275"/>
      <c r="H315" s="275"/>
      <c r="I315" s="275"/>
      <c r="J315" s="282"/>
      <c r="K315" s="275"/>
      <c r="L315" s="275"/>
      <c r="M315" s="281"/>
      <c r="N315" s="275"/>
      <c r="O315" s="275"/>
      <c r="P315" s="282"/>
      <c r="Q315" s="288"/>
      <c r="R315" s="282"/>
      <c r="S315" s="288"/>
      <c r="T315" s="275"/>
      <c r="U315" s="275"/>
      <c r="V315" s="275"/>
      <c r="W315" s="282"/>
      <c r="X315" s="282"/>
      <c r="Y315" s="282"/>
      <c r="Z315" s="281"/>
      <c r="AA315" s="282"/>
      <c r="AB315" s="275"/>
    </row>
    <row r="316" hidden="1">
      <c r="A316" s="11" t="s">
        <v>310</v>
      </c>
      <c r="B316" s="309">
        <v>140.0</v>
      </c>
      <c r="C316" s="309">
        <v>140.0</v>
      </c>
      <c r="D316" s="297">
        <v>140.0</v>
      </c>
      <c r="E316" s="297">
        <v>140.0</v>
      </c>
      <c r="F316" s="297">
        <v>140.0</v>
      </c>
      <c r="G316" s="275"/>
      <c r="H316" s="275"/>
      <c r="I316" s="297">
        <v>140.0</v>
      </c>
      <c r="J316" s="297">
        <v>140.0</v>
      </c>
      <c r="K316" s="309">
        <v>140.0</v>
      </c>
      <c r="L316" s="309">
        <v>140.0</v>
      </c>
      <c r="M316" s="309">
        <v>140.0</v>
      </c>
      <c r="N316" s="275"/>
      <c r="O316" s="275"/>
      <c r="P316" s="282"/>
      <c r="Q316" s="112"/>
      <c r="R316" s="288"/>
      <c r="S316" s="318">
        <v>57.5</v>
      </c>
      <c r="T316" s="318">
        <v>57.5</v>
      </c>
      <c r="U316" s="275"/>
      <c r="V316" s="275"/>
      <c r="W316" s="282"/>
      <c r="X316" s="288"/>
      <c r="Y316" s="282"/>
      <c r="Z316" s="288"/>
      <c r="AA316" s="275"/>
      <c r="AB316" s="275"/>
    </row>
    <row r="317" hidden="1">
      <c r="A317" s="11" t="s">
        <v>819</v>
      </c>
      <c r="B317" s="309">
        <v>140.0</v>
      </c>
      <c r="C317" s="309">
        <v>140.0</v>
      </c>
      <c r="D317" s="297">
        <v>140.0</v>
      </c>
      <c r="E317" s="297">
        <v>140.0</v>
      </c>
      <c r="F317" s="297">
        <v>140.0</v>
      </c>
      <c r="G317" s="275"/>
      <c r="H317" s="275"/>
      <c r="I317" s="297">
        <v>140.0</v>
      </c>
      <c r="J317" s="297">
        <v>140.0</v>
      </c>
      <c r="K317" s="309">
        <v>140.0</v>
      </c>
      <c r="L317" s="309">
        <v>140.0</v>
      </c>
      <c r="M317" s="309">
        <v>140.0</v>
      </c>
      <c r="N317" s="275"/>
      <c r="O317" s="275"/>
      <c r="P317" s="282"/>
      <c r="Q317" s="112"/>
      <c r="R317" s="282"/>
      <c r="S317" s="318">
        <v>57.5</v>
      </c>
      <c r="T317" s="318">
        <v>57.5</v>
      </c>
      <c r="U317" s="275"/>
      <c r="V317" s="275"/>
      <c r="W317" s="282"/>
      <c r="X317" s="288"/>
      <c r="Y317" s="282"/>
      <c r="Z317" s="282"/>
      <c r="AA317" s="282"/>
      <c r="AB317" s="282"/>
    </row>
    <row r="318" hidden="1">
      <c r="A318" s="17" t="s">
        <v>735</v>
      </c>
      <c r="B318" s="282"/>
      <c r="C318" s="282"/>
      <c r="D318" s="282"/>
      <c r="E318" s="282"/>
      <c r="F318" s="275"/>
      <c r="G318" s="275"/>
      <c r="H318" s="275"/>
      <c r="I318" s="282"/>
      <c r="J318" s="282"/>
      <c r="K318" s="282"/>
      <c r="L318" s="282"/>
      <c r="M318" s="318">
        <v>70.0</v>
      </c>
      <c r="N318" s="275"/>
      <c r="O318" s="275"/>
      <c r="P318" s="318">
        <v>70.0</v>
      </c>
      <c r="Q318" s="318">
        <v>70.0</v>
      </c>
      <c r="R318" s="318">
        <v>70.0</v>
      </c>
      <c r="S318" s="318">
        <v>70.0</v>
      </c>
      <c r="T318" s="318">
        <v>70.0</v>
      </c>
      <c r="U318" s="275"/>
      <c r="V318" s="275"/>
      <c r="W318" s="318">
        <v>70.0</v>
      </c>
      <c r="X318" s="318">
        <v>70.0</v>
      </c>
      <c r="Y318" s="318">
        <v>70.0</v>
      </c>
      <c r="Z318" s="282"/>
      <c r="AA318" s="275"/>
      <c r="AB318" s="275"/>
    </row>
    <row r="319" hidden="1">
      <c r="A319" s="17" t="s">
        <v>866</v>
      </c>
      <c r="B319" s="282"/>
      <c r="C319" s="282"/>
      <c r="D319" s="282"/>
      <c r="E319" s="282"/>
      <c r="F319" s="275"/>
      <c r="G319" s="275"/>
      <c r="H319" s="275"/>
      <c r="I319" s="282"/>
      <c r="J319" s="282"/>
      <c r="K319" s="282"/>
      <c r="L319" s="282"/>
      <c r="M319" s="318">
        <v>70.0</v>
      </c>
      <c r="N319" s="275"/>
      <c r="O319" s="275"/>
      <c r="P319" s="318">
        <v>70.0</v>
      </c>
      <c r="Q319" s="318">
        <v>70.0</v>
      </c>
      <c r="R319" s="318">
        <v>70.0</v>
      </c>
      <c r="S319" s="318">
        <v>70.0</v>
      </c>
      <c r="T319" s="318">
        <v>70.0</v>
      </c>
      <c r="U319" s="275"/>
      <c r="V319" s="275"/>
      <c r="W319" s="318">
        <v>70.0</v>
      </c>
      <c r="X319" s="318">
        <v>70.0</v>
      </c>
      <c r="Y319" s="318">
        <v>70.0</v>
      </c>
      <c r="Z319" s="282"/>
      <c r="AA319" s="275"/>
      <c r="AB319" s="275"/>
    </row>
    <row r="320" hidden="1">
      <c r="A320" s="17" t="s">
        <v>867</v>
      </c>
      <c r="B320" s="282"/>
      <c r="C320" s="282"/>
      <c r="D320" s="282"/>
      <c r="E320" s="282"/>
      <c r="F320" s="275"/>
      <c r="G320" s="275"/>
      <c r="H320" s="275"/>
      <c r="I320" s="282"/>
      <c r="J320" s="282"/>
      <c r="K320" s="282"/>
      <c r="L320" s="282"/>
      <c r="M320" s="318">
        <v>70.0</v>
      </c>
      <c r="N320" s="275"/>
      <c r="O320" s="275"/>
      <c r="P320" s="318">
        <v>70.0</v>
      </c>
      <c r="Q320" s="318">
        <v>70.0</v>
      </c>
      <c r="R320" s="318">
        <v>70.0</v>
      </c>
      <c r="S320" s="318">
        <v>70.0</v>
      </c>
      <c r="T320" s="318">
        <v>70.0</v>
      </c>
      <c r="U320" s="275"/>
      <c r="V320" s="275"/>
      <c r="W320" s="318">
        <v>70.0</v>
      </c>
      <c r="X320" s="318">
        <v>70.0</v>
      </c>
      <c r="Y320" s="318">
        <v>70.0</v>
      </c>
      <c r="Z320" s="282"/>
      <c r="AA320" s="275"/>
      <c r="AB320" s="275"/>
    </row>
    <row r="321" hidden="1">
      <c r="A321" s="17" t="s">
        <v>818</v>
      </c>
      <c r="B321" s="285"/>
      <c r="C321" s="285"/>
      <c r="D321" s="282"/>
      <c r="E321" s="282"/>
      <c r="F321" s="282"/>
      <c r="G321" s="282"/>
      <c r="H321" s="275"/>
      <c r="I321" s="282"/>
      <c r="J321" s="282"/>
      <c r="K321" s="282"/>
      <c r="L321" s="282"/>
      <c r="M321" s="282"/>
      <c r="N321" s="275"/>
      <c r="O321" s="275"/>
      <c r="P321" s="282"/>
      <c r="Q321" s="282"/>
      <c r="R321" s="282"/>
      <c r="S321" s="288"/>
      <c r="T321" s="282"/>
      <c r="U321" s="275"/>
      <c r="V321" s="275"/>
      <c r="W321" s="282"/>
      <c r="X321" s="282"/>
      <c r="Y321" s="282"/>
      <c r="Z321" s="282"/>
      <c r="AA321" s="275"/>
      <c r="AB321" s="275"/>
    </row>
    <row r="322" hidden="1">
      <c r="A322" s="17" t="s">
        <v>827</v>
      </c>
      <c r="B322" s="285"/>
      <c r="C322" s="285"/>
      <c r="D322" s="282"/>
      <c r="E322" s="282"/>
      <c r="F322" s="282"/>
      <c r="G322" s="282"/>
      <c r="H322" s="275"/>
      <c r="I322" s="282"/>
      <c r="J322" s="282"/>
      <c r="K322" s="282"/>
      <c r="L322" s="282"/>
      <c r="M322" s="282"/>
      <c r="N322" s="275"/>
      <c r="O322" s="275"/>
      <c r="P322" s="282"/>
      <c r="Q322" s="282"/>
      <c r="R322" s="282"/>
      <c r="S322" s="288"/>
      <c r="T322" s="282"/>
      <c r="U322" s="275"/>
      <c r="V322" s="275"/>
      <c r="W322" s="282"/>
      <c r="X322" s="282"/>
      <c r="Y322" s="282"/>
      <c r="Z322" s="282"/>
      <c r="AA322" s="275"/>
      <c r="AB322" s="275"/>
    </row>
    <row r="323" hidden="1">
      <c r="A323" s="20" t="s">
        <v>832</v>
      </c>
      <c r="B323" s="282"/>
      <c r="C323" s="282"/>
      <c r="D323" s="282"/>
      <c r="E323" s="282"/>
      <c r="F323" s="282"/>
      <c r="G323" s="275"/>
      <c r="H323" s="275"/>
      <c r="I323" s="282"/>
      <c r="J323" s="282"/>
      <c r="K323" s="282"/>
      <c r="L323" s="282"/>
      <c r="M323" s="282"/>
      <c r="N323" s="275"/>
      <c r="O323" s="275"/>
      <c r="P323" s="282"/>
      <c r="Q323" s="282"/>
      <c r="R323" s="282"/>
      <c r="S323" s="282"/>
      <c r="T323" s="282"/>
      <c r="U323" s="275"/>
      <c r="V323" s="275"/>
      <c r="W323" s="288"/>
      <c r="X323" s="288"/>
      <c r="Y323" s="288"/>
      <c r="Z323" s="288"/>
      <c r="AA323" s="275"/>
      <c r="AB323" s="275"/>
    </row>
    <row r="324" hidden="1">
      <c r="A324" s="20" t="s">
        <v>835</v>
      </c>
      <c r="B324" s="282"/>
      <c r="C324" s="282"/>
      <c r="D324" s="282"/>
      <c r="E324" s="282"/>
      <c r="F324" s="282"/>
      <c r="G324" s="275"/>
      <c r="H324" s="275"/>
      <c r="I324" s="282"/>
      <c r="J324" s="282"/>
      <c r="K324" s="282"/>
      <c r="L324" s="282"/>
      <c r="M324" s="282"/>
      <c r="N324" s="275"/>
      <c r="O324" s="275"/>
      <c r="P324" s="282"/>
      <c r="Q324" s="282"/>
      <c r="R324" s="282"/>
      <c r="S324" s="282"/>
      <c r="T324" s="282"/>
      <c r="U324" s="275"/>
      <c r="V324" s="275"/>
      <c r="W324" s="288"/>
      <c r="X324" s="288"/>
      <c r="Y324" s="288"/>
      <c r="Z324" s="288"/>
      <c r="AA324" s="275"/>
      <c r="AB324" s="275"/>
    </row>
    <row r="325" hidden="1">
      <c r="A325" s="20" t="s">
        <v>836</v>
      </c>
      <c r="B325" s="282"/>
      <c r="C325" s="282"/>
      <c r="D325" s="282"/>
      <c r="E325" s="282"/>
      <c r="F325" s="282"/>
      <c r="G325" s="275"/>
      <c r="H325" s="275"/>
      <c r="I325" s="282"/>
      <c r="J325" s="282"/>
      <c r="K325" s="282"/>
      <c r="L325" s="282"/>
      <c r="M325" s="282"/>
      <c r="N325" s="275"/>
      <c r="O325" s="275"/>
      <c r="P325" s="282"/>
      <c r="Q325" s="282"/>
      <c r="R325" s="282"/>
      <c r="S325" s="282"/>
      <c r="T325" s="282"/>
      <c r="U325" s="275"/>
      <c r="V325" s="275"/>
      <c r="W325" s="288"/>
      <c r="X325" s="288"/>
      <c r="Y325" s="288"/>
      <c r="Z325" s="288"/>
      <c r="AA325" s="275"/>
      <c r="AB325" s="275"/>
    </row>
    <row r="326" hidden="1">
      <c r="A326" s="272" t="s">
        <v>824</v>
      </c>
      <c r="B326" s="282"/>
      <c r="C326" s="282"/>
      <c r="D326" s="282"/>
      <c r="E326" s="282"/>
      <c r="F326" s="275"/>
      <c r="G326" s="275"/>
      <c r="H326" s="275"/>
      <c r="I326" s="282"/>
      <c r="J326" s="282"/>
      <c r="K326" s="282"/>
      <c r="L326" s="282"/>
      <c r="M326" s="275"/>
      <c r="N326" s="275"/>
      <c r="O326" s="275"/>
      <c r="P326" s="282"/>
      <c r="Q326" s="288"/>
      <c r="R326" s="282"/>
      <c r="S326" s="288"/>
      <c r="T326" s="285"/>
      <c r="U326" s="275"/>
      <c r="V326" s="275"/>
      <c r="W326" s="288"/>
      <c r="X326" s="292"/>
      <c r="Y326" s="292"/>
      <c r="Z326" s="282"/>
      <c r="AA326" s="275"/>
      <c r="AB326" s="275"/>
    </row>
    <row r="327" hidden="1">
      <c r="A327" s="67" t="s">
        <v>869</v>
      </c>
      <c r="B327" s="282"/>
      <c r="C327" s="282"/>
      <c r="D327" s="282"/>
      <c r="E327" s="282"/>
      <c r="F327" s="282"/>
      <c r="G327" s="275"/>
      <c r="H327" s="275"/>
      <c r="I327" s="282"/>
      <c r="J327" s="292"/>
      <c r="K327" s="282"/>
      <c r="L327" s="282"/>
      <c r="M327" s="282"/>
      <c r="N327" s="275"/>
      <c r="O327" s="275"/>
      <c r="P327" s="285"/>
      <c r="Q327" s="285"/>
      <c r="R327" s="285"/>
      <c r="S327" s="285"/>
      <c r="T327" s="112"/>
      <c r="U327" s="275"/>
      <c r="V327" s="275"/>
      <c r="W327" s="282"/>
      <c r="X327" s="282"/>
      <c r="Y327" s="282"/>
      <c r="Z327" s="288"/>
      <c r="AA327" s="288"/>
      <c r="AB327" s="275"/>
    </row>
    <row r="328" hidden="1">
      <c r="A328" s="67" t="s">
        <v>870</v>
      </c>
      <c r="B328" s="297">
        <v>140.0</v>
      </c>
      <c r="C328" s="297">
        <v>140.0</v>
      </c>
      <c r="D328" s="297">
        <v>140.0</v>
      </c>
      <c r="E328" s="297">
        <v>140.0</v>
      </c>
      <c r="F328" s="297">
        <v>140.0</v>
      </c>
      <c r="G328" s="275"/>
      <c r="H328" s="275"/>
      <c r="I328" s="297">
        <v>140.0</v>
      </c>
      <c r="J328" s="297">
        <v>140.0</v>
      </c>
      <c r="K328" s="298" t="s">
        <v>433</v>
      </c>
      <c r="L328" s="310">
        <v>140.0</v>
      </c>
      <c r="M328" s="310">
        <v>140.0</v>
      </c>
      <c r="N328" s="275"/>
      <c r="O328" s="275"/>
      <c r="P328" s="285"/>
      <c r="Q328" s="285"/>
      <c r="R328" s="285"/>
      <c r="S328" s="285"/>
      <c r="T328" s="112"/>
      <c r="U328" s="275"/>
      <c r="V328" s="275"/>
      <c r="W328" s="282"/>
      <c r="X328" s="282"/>
      <c r="Y328" s="282"/>
      <c r="Z328" s="288"/>
      <c r="AA328" s="288"/>
      <c r="AB328" s="275"/>
    </row>
    <row r="329" hidden="1">
      <c r="A329" s="272" t="s">
        <v>825</v>
      </c>
      <c r="B329" s="275"/>
      <c r="C329" s="275"/>
      <c r="D329" s="275"/>
      <c r="E329" s="275"/>
      <c r="F329" s="275"/>
      <c r="G329" s="275"/>
      <c r="H329" s="275"/>
      <c r="I329" s="275"/>
      <c r="J329" s="275"/>
      <c r="K329" s="319"/>
      <c r="L329" s="319"/>
      <c r="M329" s="319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  <c r="AB329" s="275"/>
    </row>
    <row r="330" hidden="1">
      <c r="A330" s="272" t="s">
        <v>826</v>
      </c>
      <c r="B330" s="275"/>
      <c r="C330" s="275"/>
      <c r="D330" s="275"/>
      <c r="E330" s="275"/>
      <c r="F330" s="275"/>
      <c r="G330" s="275"/>
      <c r="H330" s="275"/>
      <c r="I330" s="275"/>
      <c r="J330" s="275"/>
      <c r="K330" s="319"/>
      <c r="L330" s="319"/>
      <c r="M330" s="319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  <c r="AB330" s="275"/>
    </row>
    <row r="331" hidden="1">
      <c r="A331" s="274" t="s">
        <v>680</v>
      </c>
      <c r="B331" s="275"/>
      <c r="C331" s="275"/>
      <c r="D331" s="275"/>
      <c r="E331" s="275"/>
      <c r="F331" s="275"/>
      <c r="G331" s="275"/>
      <c r="H331" s="275"/>
      <c r="I331" s="275"/>
      <c r="J331" s="275"/>
      <c r="K331" s="319"/>
      <c r="L331" s="319"/>
      <c r="M331" s="319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  <c r="AB331" s="275"/>
    </row>
    <row r="332" hidden="1">
      <c r="A332" s="274" t="s">
        <v>828</v>
      </c>
      <c r="B332" s="275"/>
      <c r="C332" s="275"/>
      <c r="D332" s="275"/>
      <c r="E332" s="275"/>
      <c r="F332" s="275"/>
      <c r="G332" s="275"/>
      <c r="H332" s="275"/>
      <c r="I332" s="275"/>
      <c r="J332" s="275"/>
      <c r="K332" s="319"/>
      <c r="L332" s="319"/>
      <c r="M332" s="319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  <c r="AB332" s="275"/>
    </row>
    <row r="333" hidden="1">
      <c r="A333" s="20" t="s">
        <v>829</v>
      </c>
      <c r="B333" s="275"/>
      <c r="C333" s="275"/>
      <c r="D333" s="275"/>
      <c r="E333" s="275"/>
      <c r="F333" s="275"/>
      <c r="G333" s="275"/>
      <c r="H333" s="275"/>
      <c r="I333" s="275"/>
      <c r="J333" s="275"/>
      <c r="K333" s="319"/>
      <c r="L333" s="319"/>
      <c r="M333" s="319"/>
      <c r="N333" s="275"/>
      <c r="O333" s="275"/>
      <c r="P333" s="282"/>
      <c r="Q333" s="275"/>
      <c r="R333" s="275"/>
      <c r="S333" s="282"/>
      <c r="T333" s="275"/>
      <c r="U333" s="275"/>
      <c r="V333" s="275"/>
      <c r="W333" s="275"/>
      <c r="X333" s="275"/>
      <c r="Y333" s="275"/>
      <c r="Z333" s="275"/>
      <c r="AA333" s="275"/>
      <c r="AB333" s="275"/>
    </row>
    <row r="334" hidden="1">
      <c r="A334" s="20" t="s">
        <v>830</v>
      </c>
      <c r="B334" s="275"/>
      <c r="C334" s="275"/>
      <c r="D334" s="275"/>
      <c r="E334" s="275"/>
      <c r="F334" s="275"/>
      <c r="G334" s="275"/>
      <c r="H334" s="275"/>
      <c r="I334" s="275"/>
      <c r="J334" s="275"/>
      <c r="K334" s="319"/>
      <c r="L334" s="319"/>
      <c r="M334" s="319"/>
      <c r="N334" s="275"/>
      <c r="O334" s="275"/>
      <c r="P334" s="282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  <c r="AB334" s="275"/>
    </row>
    <row r="335" hidden="1">
      <c r="A335" s="67" t="s">
        <v>871</v>
      </c>
      <c r="B335" s="297">
        <v>70.0</v>
      </c>
      <c r="C335" s="297">
        <v>70.0</v>
      </c>
      <c r="D335" s="297">
        <v>70.0</v>
      </c>
      <c r="E335" s="297">
        <v>70.0</v>
      </c>
      <c r="F335" s="297">
        <v>70.0</v>
      </c>
      <c r="G335" s="275"/>
      <c r="H335" s="275"/>
      <c r="I335" s="297">
        <v>70.0</v>
      </c>
      <c r="J335" s="297">
        <v>70.0</v>
      </c>
      <c r="K335" s="297">
        <v>70.0</v>
      </c>
      <c r="L335" s="297">
        <v>70.0</v>
      </c>
      <c r="M335" s="297">
        <v>70.0</v>
      </c>
      <c r="N335" s="275"/>
      <c r="O335" s="275"/>
      <c r="P335" s="318">
        <v>70.0</v>
      </c>
      <c r="Q335" s="318">
        <v>70.0</v>
      </c>
      <c r="R335" s="318">
        <v>70.0</v>
      </c>
      <c r="S335" s="318">
        <v>70.0</v>
      </c>
      <c r="T335" s="318">
        <v>70.0</v>
      </c>
      <c r="V335" s="275"/>
      <c r="W335" s="288"/>
      <c r="X335" s="288"/>
      <c r="Y335" s="288"/>
      <c r="Z335" s="288"/>
      <c r="AA335" s="288"/>
      <c r="AB335" s="282"/>
    </row>
    <row r="336" hidden="1">
      <c r="A336" s="67" t="s">
        <v>948</v>
      </c>
      <c r="B336" s="297">
        <v>70.0</v>
      </c>
      <c r="C336" s="297">
        <v>70.0</v>
      </c>
      <c r="D336" s="297">
        <v>70.0</v>
      </c>
      <c r="E336" s="297">
        <v>70.0</v>
      </c>
      <c r="F336" s="297">
        <v>70.0</v>
      </c>
      <c r="G336" s="275"/>
      <c r="H336" s="275"/>
      <c r="I336" s="297">
        <v>70.0</v>
      </c>
      <c r="J336" s="297">
        <v>70.0</v>
      </c>
      <c r="K336" s="297">
        <v>70.0</v>
      </c>
      <c r="L336" s="297">
        <v>70.0</v>
      </c>
      <c r="M336" s="297">
        <v>70.0</v>
      </c>
      <c r="N336" s="275"/>
      <c r="O336" s="275"/>
      <c r="P336" s="318">
        <v>70.0</v>
      </c>
      <c r="Q336" s="318">
        <v>70.0</v>
      </c>
      <c r="R336" s="318">
        <v>70.0</v>
      </c>
      <c r="S336" s="318">
        <v>70.0</v>
      </c>
      <c r="T336" s="318">
        <v>70.0</v>
      </c>
      <c r="U336" s="282"/>
      <c r="V336" s="275"/>
      <c r="W336" s="288"/>
      <c r="X336" s="288"/>
      <c r="Y336" s="288"/>
      <c r="Z336" s="288"/>
      <c r="AA336" s="288"/>
      <c r="AB336" s="282"/>
    </row>
    <row r="337" hidden="1">
      <c r="A337" s="67" t="s">
        <v>872</v>
      </c>
      <c r="B337" s="297">
        <v>70.0</v>
      </c>
      <c r="C337" s="297">
        <v>70.0</v>
      </c>
      <c r="D337" s="297">
        <v>70.0</v>
      </c>
      <c r="E337" s="297">
        <v>70.0</v>
      </c>
      <c r="F337" s="297">
        <v>70.0</v>
      </c>
      <c r="G337" s="275"/>
      <c r="H337" s="275"/>
      <c r="I337" s="297">
        <v>70.0</v>
      </c>
      <c r="J337" s="297">
        <v>70.0</v>
      </c>
      <c r="K337" s="297">
        <v>70.0</v>
      </c>
      <c r="L337" s="282"/>
      <c r="M337" s="282"/>
      <c r="N337" s="275"/>
      <c r="O337" s="275"/>
      <c r="P337" s="318">
        <v>70.0</v>
      </c>
      <c r="Q337" s="318">
        <v>70.0</v>
      </c>
      <c r="R337" s="318">
        <v>70.0</v>
      </c>
      <c r="S337" s="318">
        <v>70.0</v>
      </c>
      <c r="T337" s="318">
        <v>70.0</v>
      </c>
      <c r="U337" s="282"/>
      <c r="V337" s="275"/>
      <c r="W337" s="288"/>
      <c r="X337" s="288"/>
      <c r="Y337" s="288"/>
      <c r="Z337" s="288"/>
      <c r="AA337" s="288"/>
      <c r="AB337" s="282"/>
    </row>
    <row r="338" hidden="1">
      <c r="A338" s="67" t="s">
        <v>747</v>
      </c>
      <c r="B338" s="297"/>
      <c r="C338" s="297">
        <v>70.0</v>
      </c>
      <c r="D338" s="297">
        <v>70.0</v>
      </c>
      <c r="E338" s="297">
        <v>70.0</v>
      </c>
      <c r="F338" s="297">
        <v>70.0</v>
      </c>
      <c r="G338" s="275"/>
      <c r="H338" s="275"/>
      <c r="I338" s="282"/>
      <c r="J338" s="282"/>
      <c r="K338" s="282"/>
      <c r="L338" s="282"/>
      <c r="M338" s="282"/>
      <c r="N338" s="275"/>
      <c r="O338" s="275"/>
      <c r="P338" s="282"/>
      <c r="Q338" s="282"/>
      <c r="R338" s="282"/>
      <c r="S338" s="282"/>
      <c r="T338" s="282"/>
      <c r="U338" s="282"/>
      <c r="V338" s="275"/>
      <c r="W338" s="288"/>
      <c r="X338" s="288"/>
      <c r="Y338" s="288"/>
      <c r="Z338" s="288"/>
      <c r="AA338" s="288"/>
      <c r="AB338" s="282"/>
    </row>
    <row r="339" hidden="1">
      <c r="A339" s="67" t="s">
        <v>949</v>
      </c>
      <c r="B339" s="297">
        <v>70.0</v>
      </c>
      <c r="C339" s="297">
        <v>70.0</v>
      </c>
      <c r="D339" s="297">
        <v>70.0</v>
      </c>
      <c r="E339" s="297">
        <v>70.0</v>
      </c>
      <c r="F339" s="297">
        <v>70.0</v>
      </c>
      <c r="G339" s="275"/>
      <c r="H339" s="275"/>
      <c r="I339" s="297">
        <v>70.0</v>
      </c>
      <c r="J339" s="297">
        <v>70.0</v>
      </c>
      <c r="K339" s="297">
        <v>70.0</v>
      </c>
      <c r="L339" s="297">
        <v>70.0</v>
      </c>
      <c r="M339" s="297">
        <v>70.0</v>
      </c>
      <c r="N339" s="275"/>
      <c r="O339" s="275"/>
      <c r="P339" s="318">
        <v>70.0</v>
      </c>
      <c r="Q339" s="318">
        <v>70.0</v>
      </c>
      <c r="R339" s="318">
        <v>70.0</v>
      </c>
      <c r="S339" s="318">
        <v>70.0</v>
      </c>
      <c r="T339" s="318">
        <v>70.0</v>
      </c>
      <c r="U339" s="282"/>
      <c r="V339" s="275"/>
      <c r="W339" s="288"/>
      <c r="X339" s="288"/>
      <c r="Y339" s="288"/>
      <c r="Z339" s="288"/>
      <c r="AA339" s="288"/>
      <c r="AB339" s="282"/>
    </row>
    <row r="340" hidden="1">
      <c r="A340" s="67" t="s">
        <v>954</v>
      </c>
      <c r="B340" s="297">
        <v>70.0</v>
      </c>
      <c r="C340" s="297">
        <v>70.0</v>
      </c>
      <c r="D340" s="297">
        <v>70.0</v>
      </c>
      <c r="E340" s="297">
        <v>70.0</v>
      </c>
      <c r="F340" s="297">
        <v>70.0</v>
      </c>
      <c r="G340" s="275"/>
      <c r="H340" s="275"/>
      <c r="I340" s="297">
        <v>70.0</v>
      </c>
      <c r="J340" s="297">
        <v>70.0</v>
      </c>
      <c r="K340" s="297">
        <v>70.0</v>
      </c>
      <c r="L340" s="297">
        <v>70.0</v>
      </c>
      <c r="M340" s="297">
        <v>70.0</v>
      </c>
      <c r="N340" s="275"/>
      <c r="O340" s="275"/>
      <c r="P340" s="318">
        <v>70.0</v>
      </c>
      <c r="Q340" s="318">
        <v>70.0</v>
      </c>
      <c r="R340" s="318">
        <v>70.0</v>
      </c>
      <c r="S340" s="318">
        <v>70.0</v>
      </c>
      <c r="T340" s="318">
        <v>70.0</v>
      </c>
      <c r="U340" s="282"/>
      <c r="V340" s="275"/>
      <c r="W340" s="288"/>
      <c r="X340" s="288"/>
      <c r="Y340" s="288"/>
      <c r="Z340" s="288"/>
      <c r="AA340" s="288"/>
      <c r="AB340" s="275"/>
    </row>
    <row r="341" hidden="1">
      <c r="A341" s="20" t="s">
        <v>12</v>
      </c>
      <c r="B341" s="275"/>
      <c r="C341" s="275"/>
      <c r="D341" s="275"/>
      <c r="E341" s="275"/>
      <c r="F341" s="275"/>
      <c r="G341" s="275"/>
      <c r="H341" s="275"/>
      <c r="I341" s="282"/>
      <c r="J341" s="282"/>
      <c r="K341" s="319"/>
      <c r="L341" s="319"/>
      <c r="M341" s="319"/>
      <c r="N341" s="275"/>
      <c r="O341" s="275"/>
      <c r="P341" s="275"/>
      <c r="Q341" s="275"/>
      <c r="R341" s="275"/>
      <c r="S341" s="275"/>
      <c r="T341" s="275"/>
      <c r="U341" s="282"/>
      <c r="V341" s="275"/>
      <c r="W341" s="275"/>
      <c r="X341" s="288"/>
      <c r="Y341" s="282"/>
      <c r="Z341" s="282"/>
      <c r="AA341" s="275"/>
      <c r="AB341" s="275"/>
    </row>
    <row r="342" hidden="1">
      <c r="A342" s="20" t="s">
        <v>838</v>
      </c>
      <c r="B342" s="297">
        <v>200.0</v>
      </c>
      <c r="C342" s="275"/>
      <c r="D342" s="275"/>
      <c r="E342" s="282"/>
      <c r="F342" s="275"/>
      <c r="G342" s="275"/>
      <c r="H342" s="275"/>
      <c r="I342" s="282"/>
      <c r="J342" s="275"/>
      <c r="K342" s="319"/>
      <c r="L342" s="319"/>
      <c r="M342" s="319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82"/>
      <c r="Y342" s="282"/>
      <c r="Z342" s="282"/>
      <c r="AA342" s="275"/>
      <c r="AB342" s="275"/>
    </row>
    <row r="343" hidden="1">
      <c r="A343" s="67" t="s">
        <v>822</v>
      </c>
      <c r="B343" s="300">
        <v>140.0</v>
      </c>
      <c r="C343" s="300">
        <v>140.0</v>
      </c>
      <c r="D343" s="300">
        <v>140.0</v>
      </c>
      <c r="E343" s="300" t="s">
        <v>433</v>
      </c>
      <c r="F343" s="300">
        <v>140.0</v>
      </c>
      <c r="G343" s="112"/>
      <c r="H343" s="112"/>
      <c r="I343" s="300">
        <v>140.0</v>
      </c>
      <c r="J343" s="300">
        <v>140.0</v>
      </c>
      <c r="K343" s="320">
        <v>140.0</v>
      </c>
      <c r="L343" s="320">
        <v>140.0</v>
      </c>
      <c r="M343" s="320">
        <v>140.0</v>
      </c>
      <c r="N343" s="112"/>
      <c r="O343" s="112"/>
      <c r="P343" s="285"/>
      <c r="Q343" s="285"/>
      <c r="R343" s="285"/>
      <c r="S343" s="285"/>
      <c r="T343" s="285"/>
      <c r="U343" s="112"/>
      <c r="V343" s="112"/>
      <c r="W343" s="285"/>
      <c r="X343" s="285"/>
      <c r="Y343" s="285"/>
      <c r="Z343" s="285"/>
      <c r="AA343" s="285"/>
      <c r="AB343" s="112"/>
    </row>
    <row r="344" hidden="1">
      <c r="A344" s="67" t="s">
        <v>677</v>
      </c>
      <c r="B344" s="300">
        <v>140.0</v>
      </c>
      <c r="C344" s="300">
        <v>140.0</v>
      </c>
      <c r="D344" s="297">
        <v>140.0</v>
      </c>
      <c r="E344" s="297" t="s">
        <v>433</v>
      </c>
      <c r="F344" s="300">
        <v>140.0</v>
      </c>
      <c r="G344" s="112"/>
      <c r="H344" s="112"/>
      <c r="I344" s="300">
        <v>140.0</v>
      </c>
      <c r="J344" s="300">
        <v>140.0</v>
      </c>
      <c r="K344" s="320">
        <v>140.0</v>
      </c>
      <c r="L344" s="313" t="s">
        <v>433</v>
      </c>
      <c r="M344" s="320">
        <v>140.0</v>
      </c>
      <c r="N344" s="285"/>
      <c r="O344" s="112"/>
      <c r="P344" s="285"/>
      <c r="Q344" s="321"/>
      <c r="R344" s="285"/>
      <c r="S344" s="285"/>
      <c r="T344" s="285"/>
      <c r="U344" s="112"/>
      <c r="V344" s="112"/>
      <c r="W344" s="285"/>
      <c r="X344" s="285"/>
      <c r="Y344" s="285"/>
      <c r="Z344" s="285"/>
      <c r="AA344" s="112"/>
      <c r="AB344" s="112"/>
    </row>
    <row r="345" hidden="1">
      <c r="A345" s="67" t="s">
        <v>875</v>
      </c>
      <c r="B345" s="300" t="s">
        <v>433</v>
      </c>
      <c r="C345" s="300" t="s">
        <v>433</v>
      </c>
      <c r="D345" s="300">
        <v>140.0</v>
      </c>
      <c r="E345" s="300">
        <v>140.0</v>
      </c>
      <c r="F345" s="300">
        <v>140.0</v>
      </c>
      <c r="G345" s="112"/>
      <c r="H345" s="112"/>
      <c r="I345" s="300">
        <v>140.0</v>
      </c>
      <c r="J345" s="300" t="s">
        <v>433</v>
      </c>
      <c r="K345" s="313" t="s">
        <v>433</v>
      </c>
      <c r="L345" s="320">
        <v>140.0</v>
      </c>
      <c r="M345" s="320">
        <v>140.0</v>
      </c>
      <c r="N345" s="112"/>
      <c r="O345" s="112"/>
      <c r="P345" s="285"/>
      <c r="Q345" s="285"/>
      <c r="R345" s="285"/>
      <c r="S345" s="285"/>
      <c r="T345" s="285"/>
      <c r="U345" s="112"/>
      <c r="V345" s="112"/>
      <c r="W345" s="285"/>
      <c r="X345" s="285"/>
      <c r="Y345" s="285"/>
      <c r="Z345" s="285"/>
      <c r="AA345" s="285"/>
      <c r="AB345" s="112"/>
    </row>
    <row r="346" hidden="1">
      <c r="A346" s="67" t="s">
        <v>263</v>
      </c>
      <c r="B346" s="300">
        <v>140.0</v>
      </c>
      <c r="C346" s="300">
        <v>140.0</v>
      </c>
      <c r="D346" s="300">
        <v>140.0</v>
      </c>
      <c r="E346" s="300">
        <v>140.0</v>
      </c>
      <c r="F346" s="300">
        <v>140.0</v>
      </c>
      <c r="G346" s="112"/>
      <c r="H346" s="112"/>
      <c r="I346" s="300">
        <v>140.0</v>
      </c>
      <c r="J346" s="300">
        <v>140.0</v>
      </c>
      <c r="K346" s="307">
        <v>140.0</v>
      </c>
      <c r="L346" s="307">
        <v>140.0</v>
      </c>
      <c r="M346" s="307">
        <v>140.0</v>
      </c>
      <c r="N346" s="112"/>
      <c r="O346" s="112"/>
      <c r="P346" s="285"/>
      <c r="Q346" s="285"/>
      <c r="R346" s="285"/>
      <c r="S346" s="285"/>
      <c r="T346" s="285"/>
      <c r="U346" s="112"/>
      <c r="V346" s="112"/>
      <c r="W346" s="285"/>
      <c r="X346" s="285"/>
      <c r="Y346" s="285"/>
      <c r="Z346" s="285"/>
      <c r="AA346" s="112"/>
      <c r="AB346" s="112"/>
    </row>
    <row r="347" hidden="1">
      <c r="A347" s="67" t="s">
        <v>944</v>
      </c>
      <c r="B347" s="300">
        <v>140.0</v>
      </c>
      <c r="C347" s="300">
        <v>140.0</v>
      </c>
      <c r="D347" s="300" t="s">
        <v>998</v>
      </c>
      <c r="E347" s="300" t="s">
        <v>998</v>
      </c>
      <c r="F347" s="300" t="s">
        <v>998</v>
      </c>
      <c r="G347" s="112"/>
      <c r="H347" s="112"/>
      <c r="I347" s="300" t="s">
        <v>998</v>
      </c>
      <c r="J347" s="300" t="s">
        <v>998</v>
      </c>
      <c r="K347" s="300" t="s">
        <v>998</v>
      </c>
      <c r="L347" s="300" t="s">
        <v>998</v>
      </c>
      <c r="M347" s="300" t="s">
        <v>998</v>
      </c>
      <c r="N347" s="300" t="s">
        <v>998</v>
      </c>
      <c r="O347" s="112"/>
      <c r="P347" s="285"/>
      <c r="Q347" s="285"/>
      <c r="R347" s="285"/>
      <c r="S347" s="285"/>
      <c r="T347" s="285"/>
      <c r="U347" s="112"/>
      <c r="V347" s="112"/>
      <c r="W347" s="285"/>
      <c r="X347" s="285"/>
      <c r="Y347" s="285"/>
      <c r="Z347" s="285"/>
      <c r="AA347" s="285"/>
      <c r="AB347" s="112"/>
    </row>
    <row r="348" hidden="1">
      <c r="A348" s="67" t="s">
        <v>945</v>
      </c>
      <c r="B348" s="112"/>
      <c r="C348" s="112"/>
      <c r="D348" s="112"/>
      <c r="E348" s="112"/>
      <c r="F348" s="112"/>
      <c r="G348" s="112"/>
      <c r="H348" s="112"/>
      <c r="I348" s="285"/>
      <c r="J348" s="112"/>
      <c r="K348" s="321"/>
      <c r="L348" s="322"/>
      <c r="M348" s="322"/>
      <c r="N348" s="112"/>
      <c r="O348" s="112"/>
      <c r="P348" s="285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</row>
    <row r="349" hidden="1">
      <c r="A349" s="67" t="s">
        <v>955</v>
      </c>
      <c r="B349" s="112"/>
      <c r="C349" s="285"/>
      <c r="D349" s="285"/>
      <c r="E349" s="285"/>
      <c r="F349" s="112"/>
      <c r="G349" s="112"/>
      <c r="H349" s="112"/>
      <c r="I349" s="285"/>
      <c r="J349" s="285"/>
      <c r="K349" s="322"/>
      <c r="L349" s="321"/>
      <c r="M349" s="322"/>
      <c r="N349" s="112"/>
      <c r="O349" s="112"/>
      <c r="P349" s="112"/>
      <c r="Q349" s="285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</row>
    <row r="350" hidden="1">
      <c r="A350" s="67" t="s">
        <v>956</v>
      </c>
      <c r="B350" s="112"/>
      <c r="C350" s="285"/>
      <c r="D350" s="285"/>
      <c r="E350" s="285"/>
      <c r="F350" s="112"/>
      <c r="G350" s="112"/>
      <c r="H350" s="112"/>
      <c r="I350" s="285"/>
      <c r="J350" s="285"/>
      <c r="K350" s="112"/>
      <c r="L350" s="285"/>
      <c r="M350" s="112"/>
      <c r="N350" s="112"/>
      <c r="O350" s="112"/>
      <c r="P350" s="112"/>
      <c r="Q350" s="285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</row>
    <row r="351" hidden="1"/>
    <row r="353">
      <c r="A353" s="251" t="s">
        <v>788</v>
      </c>
      <c r="B353" s="252" t="s">
        <v>25</v>
      </c>
      <c r="C353" s="253" t="s">
        <v>789</v>
      </c>
      <c r="D353" s="253" t="s">
        <v>27</v>
      </c>
      <c r="E353" s="253" t="s">
        <v>2</v>
      </c>
      <c r="F353" s="253" t="s">
        <v>3</v>
      </c>
      <c r="G353" s="254" t="s">
        <v>790</v>
      </c>
      <c r="H353" s="255"/>
      <c r="I353" s="253" t="s">
        <v>25</v>
      </c>
      <c r="J353" s="253" t="s">
        <v>789</v>
      </c>
      <c r="K353" s="253" t="s">
        <v>27</v>
      </c>
      <c r="L353" s="253" t="s">
        <v>2</v>
      </c>
      <c r="M353" s="253" t="s">
        <v>3</v>
      </c>
      <c r="N353" s="287" t="s">
        <v>790</v>
      </c>
      <c r="O353" s="255"/>
      <c r="P353" s="253" t="s">
        <v>25</v>
      </c>
      <c r="Q353" s="256" t="s">
        <v>789</v>
      </c>
      <c r="R353" s="253" t="s">
        <v>27</v>
      </c>
      <c r="S353" s="253" t="s">
        <v>2</v>
      </c>
      <c r="T353" s="253" t="s">
        <v>3</v>
      </c>
      <c r="U353" s="254" t="s">
        <v>790</v>
      </c>
      <c r="V353" s="255"/>
      <c r="W353" s="253" t="s">
        <v>25</v>
      </c>
      <c r="X353" s="256" t="s">
        <v>789</v>
      </c>
      <c r="Y353" s="253" t="s">
        <v>27</v>
      </c>
      <c r="Z353" s="253" t="s">
        <v>2</v>
      </c>
      <c r="AA353" s="253" t="s">
        <v>3</v>
      </c>
      <c r="AB353" s="257" t="s">
        <v>790</v>
      </c>
    </row>
    <row r="354">
      <c r="A354" s="206"/>
      <c r="B354" s="260" t="s">
        <v>999</v>
      </c>
      <c r="C354" s="260">
        <v>2.12</v>
      </c>
      <c r="D354" s="260">
        <v>3.12</v>
      </c>
      <c r="E354" s="260">
        <v>4.12</v>
      </c>
      <c r="F354" s="260">
        <v>5.12</v>
      </c>
      <c r="G354" s="260">
        <v>6.12</v>
      </c>
      <c r="H354" s="260"/>
      <c r="I354" s="260">
        <v>8.12</v>
      </c>
      <c r="J354" s="260">
        <v>9.12</v>
      </c>
      <c r="K354" s="260">
        <v>10.12</v>
      </c>
      <c r="L354" s="260">
        <v>11.12</v>
      </c>
      <c r="M354" s="260">
        <v>12.12</v>
      </c>
      <c r="N354" s="260"/>
      <c r="O354" s="260"/>
      <c r="P354" s="260">
        <v>15.12</v>
      </c>
      <c r="Q354" s="260">
        <v>16.12</v>
      </c>
      <c r="R354" s="260">
        <v>17.12</v>
      </c>
      <c r="S354" s="260"/>
      <c r="T354" s="260"/>
      <c r="U354" s="260"/>
      <c r="V354" s="260"/>
      <c r="W354" s="260"/>
      <c r="X354" s="260"/>
      <c r="Y354" s="260"/>
      <c r="Z354" s="260"/>
      <c r="AA354" s="260"/>
      <c r="AB354" s="260"/>
    </row>
    <row r="355">
      <c r="A355" s="263" t="s">
        <v>816</v>
      </c>
      <c r="B355" s="309"/>
      <c r="C355" s="309"/>
      <c r="D355" s="309"/>
      <c r="E355" s="309"/>
      <c r="F355" s="323"/>
      <c r="G355" s="323"/>
      <c r="H355" s="323"/>
      <c r="I355" s="309"/>
      <c r="J355" s="309"/>
      <c r="K355" s="309"/>
      <c r="L355" s="309"/>
      <c r="M355" s="310"/>
      <c r="N355" s="323"/>
      <c r="O355" s="323"/>
      <c r="P355" s="309"/>
      <c r="Q355" s="310"/>
      <c r="R355" s="309"/>
      <c r="S355" s="288"/>
      <c r="T355" s="275"/>
      <c r="U355" s="275"/>
      <c r="V355" s="275"/>
      <c r="W355" s="282"/>
      <c r="X355" s="282"/>
      <c r="Y355" s="282"/>
      <c r="Z355" s="281"/>
      <c r="AA355" s="282"/>
      <c r="AB355" s="275"/>
    </row>
    <row r="356">
      <c r="A356" s="11" t="s">
        <v>817</v>
      </c>
      <c r="B356" s="309"/>
      <c r="C356" s="309"/>
      <c r="D356" s="309"/>
      <c r="E356" s="309"/>
      <c r="F356" s="323"/>
      <c r="G356" s="323"/>
      <c r="H356" s="323"/>
      <c r="I356" s="309"/>
      <c r="J356" s="309"/>
      <c r="K356" s="309"/>
      <c r="L356" s="309"/>
      <c r="M356" s="310"/>
      <c r="N356" s="323"/>
      <c r="O356" s="323"/>
      <c r="P356" s="309"/>
      <c r="Q356" s="310"/>
      <c r="R356" s="309"/>
      <c r="S356" s="288"/>
      <c r="T356" s="275"/>
      <c r="U356" s="275"/>
      <c r="V356" s="275"/>
      <c r="W356" s="282"/>
      <c r="X356" s="282"/>
      <c r="Y356" s="282"/>
      <c r="Z356" s="281"/>
      <c r="AA356" s="282"/>
      <c r="AB356" s="275"/>
    </row>
    <row r="357">
      <c r="A357" s="17" t="s">
        <v>44</v>
      </c>
      <c r="B357" s="309"/>
      <c r="C357" s="309"/>
      <c r="D357" s="309"/>
      <c r="E357" s="309"/>
      <c r="F357" s="323"/>
      <c r="G357" s="323"/>
      <c r="H357" s="323"/>
      <c r="I357" s="309">
        <v>57.5</v>
      </c>
      <c r="J357" s="309"/>
      <c r="K357" s="323"/>
      <c r="L357" s="323"/>
      <c r="M357" s="324"/>
      <c r="N357" s="323"/>
      <c r="O357" s="323"/>
      <c r="P357" s="309"/>
      <c r="Q357" s="310"/>
      <c r="R357" s="309"/>
      <c r="S357" s="288"/>
      <c r="T357" s="275"/>
      <c r="U357" s="275"/>
      <c r="V357" s="275"/>
      <c r="W357" s="282"/>
      <c r="X357" s="282"/>
      <c r="Y357" s="282"/>
      <c r="Z357" s="281"/>
      <c r="AA357" s="282"/>
      <c r="AB357" s="275"/>
    </row>
    <row r="358">
      <c r="A358" s="11" t="s">
        <v>310</v>
      </c>
      <c r="B358" s="309"/>
      <c r="C358" s="309">
        <v>57.5</v>
      </c>
      <c r="D358" s="309">
        <v>57.5</v>
      </c>
      <c r="E358" s="309">
        <v>57.5</v>
      </c>
      <c r="F358" s="309">
        <v>57.5</v>
      </c>
      <c r="G358" s="323"/>
      <c r="H358" s="323"/>
      <c r="I358" s="309"/>
      <c r="J358" s="309"/>
      <c r="K358" s="309">
        <v>57.5</v>
      </c>
      <c r="L358" s="309">
        <v>57.5</v>
      </c>
      <c r="M358" s="309">
        <v>57.5</v>
      </c>
      <c r="N358" s="323"/>
      <c r="O358" s="323"/>
      <c r="P358" s="309"/>
      <c r="Q358" s="307">
        <v>57.5</v>
      </c>
      <c r="R358" s="310">
        <v>57.5</v>
      </c>
      <c r="S358" s="282"/>
      <c r="T358" s="282"/>
      <c r="U358" s="275"/>
      <c r="V358" s="275"/>
      <c r="W358" s="282"/>
      <c r="X358" s="288"/>
      <c r="Y358" s="282"/>
      <c r="Z358" s="288"/>
      <c r="AA358" s="275"/>
      <c r="AB358" s="275"/>
    </row>
    <row r="359">
      <c r="A359" s="11" t="s">
        <v>819</v>
      </c>
      <c r="B359" s="309"/>
      <c r="C359" s="309">
        <v>57.5</v>
      </c>
      <c r="D359" s="309">
        <v>57.5</v>
      </c>
      <c r="E359" s="309">
        <v>57.5</v>
      </c>
      <c r="F359" s="309">
        <v>57.5</v>
      </c>
      <c r="G359" s="323"/>
      <c r="H359" s="323"/>
      <c r="I359" s="309"/>
      <c r="J359" s="309"/>
      <c r="K359" s="309">
        <v>57.5</v>
      </c>
      <c r="L359" s="309">
        <v>57.5</v>
      </c>
      <c r="M359" s="309">
        <v>57.5</v>
      </c>
      <c r="N359" s="323"/>
      <c r="O359" s="323"/>
      <c r="P359" s="309"/>
      <c r="Q359" s="307">
        <v>57.5</v>
      </c>
      <c r="R359" s="309">
        <v>57.5</v>
      </c>
      <c r="S359" s="282"/>
      <c r="T359" s="282"/>
      <c r="U359" s="275"/>
      <c r="V359" s="275"/>
      <c r="W359" s="282"/>
      <c r="X359" s="288"/>
      <c r="Y359" s="282"/>
      <c r="Z359" s="282"/>
      <c r="AA359" s="282"/>
      <c r="AB359" s="282"/>
    </row>
    <row r="360">
      <c r="A360" s="17" t="s">
        <v>735</v>
      </c>
      <c r="B360" s="309"/>
      <c r="C360" s="309"/>
      <c r="D360" s="309"/>
      <c r="E360" s="309"/>
      <c r="F360" s="323"/>
      <c r="G360" s="323"/>
      <c r="H360" s="323"/>
      <c r="I360" s="309"/>
      <c r="J360" s="309"/>
      <c r="K360" s="309"/>
      <c r="L360" s="309"/>
      <c r="M360" s="309"/>
      <c r="N360" s="323"/>
      <c r="O360" s="323"/>
      <c r="P360" s="309"/>
      <c r="Q360" s="309"/>
      <c r="R360" s="309"/>
      <c r="S360" s="282"/>
      <c r="T360" s="282"/>
      <c r="U360" s="275"/>
      <c r="V360" s="275"/>
      <c r="W360" s="282"/>
      <c r="X360" s="282"/>
      <c r="Y360" s="282"/>
      <c r="Z360" s="282"/>
      <c r="AA360" s="275"/>
      <c r="AB360" s="275"/>
    </row>
    <row r="361">
      <c r="A361" s="17" t="s">
        <v>866</v>
      </c>
      <c r="B361" s="309"/>
      <c r="C361" s="309"/>
      <c r="D361" s="309"/>
      <c r="E361" s="309"/>
      <c r="F361" s="323"/>
      <c r="G361" s="323"/>
      <c r="H361" s="323"/>
      <c r="I361" s="309"/>
      <c r="J361" s="309"/>
      <c r="K361" s="309"/>
      <c r="L361" s="309"/>
      <c r="M361" s="309"/>
      <c r="N361" s="323"/>
      <c r="O361" s="323"/>
      <c r="P361" s="309"/>
      <c r="Q361" s="309"/>
      <c r="R361" s="309"/>
      <c r="S361" s="282"/>
      <c r="T361" s="282"/>
      <c r="U361" s="275"/>
      <c r="V361" s="275"/>
      <c r="W361" s="282"/>
      <c r="X361" s="282"/>
      <c r="Y361" s="288"/>
      <c r="Z361" s="282"/>
      <c r="AA361" s="275"/>
      <c r="AB361" s="275"/>
    </row>
    <row r="362">
      <c r="A362" s="17" t="s">
        <v>867</v>
      </c>
      <c r="B362" s="309"/>
      <c r="C362" s="309"/>
      <c r="D362" s="309"/>
      <c r="E362" s="309"/>
      <c r="F362" s="323"/>
      <c r="G362" s="323"/>
      <c r="H362" s="323"/>
      <c r="I362" s="309"/>
      <c r="J362" s="309"/>
      <c r="K362" s="309"/>
      <c r="L362" s="309"/>
      <c r="M362" s="309"/>
      <c r="N362" s="323"/>
      <c r="O362" s="323"/>
      <c r="P362" s="309"/>
      <c r="Q362" s="309"/>
      <c r="R362" s="309"/>
      <c r="S362" s="282"/>
      <c r="T362" s="282"/>
      <c r="U362" s="275"/>
      <c r="V362" s="275"/>
      <c r="W362" s="282"/>
      <c r="X362" s="282"/>
      <c r="Y362" s="288"/>
      <c r="Z362" s="282"/>
      <c r="AA362" s="275"/>
      <c r="AB362" s="275"/>
    </row>
    <row r="363">
      <c r="A363" s="17" t="s">
        <v>818</v>
      </c>
      <c r="B363" s="307"/>
      <c r="C363" s="307"/>
      <c r="D363" s="309"/>
      <c r="E363" s="309"/>
      <c r="F363" s="309"/>
      <c r="G363" s="309"/>
      <c r="H363" s="323"/>
      <c r="I363" s="309"/>
      <c r="J363" s="309"/>
      <c r="K363" s="309">
        <v>57.5</v>
      </c>
      <c r="L363" s="309">
        <v>57.5</v>
      </c>
      <c r="M363" s="309">
        <v>57.5</v>
      </c>
      <c r="N363" s="323"/>
      <c r="O363" s="323"/>
      <c r="P363" s="309"/>
      <c r="Q363" s="309"/>
      <c r="R363" s="309"/>
      <c r="S363" s="288"/>
      <c r="T363" s="282"/>
      <c r="U363" s="275"/>
      <c r="V363" s="275"/>
      <c r="W363" s="282"/>
      <c r="X363" s="282"/>
      <c r="Y363" s="282"/>
      <c r="Z363" s="282"/>
      <c r="AA363" s="275"/>
      <c r="AB363" s="275"/>
    </row>
    <row r="364">
      <c r="A364" s="17" t="s">
        <v>827</v>
      </c>
      <c r="B364" s="307"/>
      <c r="C364" s="307"/>
      <c r="D364" s="309"/>
      <c r="E364" s="309"/>
      <c r="F364" s="309"/>
      <c r="G364" s="309"/>
      <c r="H364" s="323"/>
      <c r="I364" s="309"/>
      <c r="J364" s="309"/>
      <c r="K364" s="309">
        <v>57.5</v>
      </c>
      <c r="L364" s="309">
        <v>57.5</v>
      </c>
      <c r="M364" s="309">
        <v>57.5</v>
      </c>
      <c r="N364" s="323"/>
      <c r="O364" s="323"/>
      <c r="P364" s="309"/>
      <c r="Q364" s="309"/>
      <c r="R364" s="309"/>
      <c r="S364" s="288"/>
      <c r="T364" s="282"/>
      <c r="U364" s="275"/>
      <c r="V364" s="275"/>
      <c r="W364" s="282"/>
      <c r="X364" s="282"/>
      <c r="Y364" s="282"/>
      <c r="Z364" s="282"/>
      <c r="AA364" s="275"/>
      <c r="AB364" s="275"/>
    </row>
    <row r="365">
      <c r="A365" s="20" t="s">
        <v>832</v>
      </c>
      <c r="B365" s="309"/>
      <c r="C365" s="309"/>
      <c r="D365" s="309"/>
      <c r="E365" s="309"/>
      <c r="F365" s="309"/>
      <c r="G365" s="323"/>
      <c r="H365" s="323"/>
      <c r="I365" s="309"/>
      <c r="J365" s="309"/>
      <c r="K365" s="309"/>
      <c r="L365" s="309"/>
      <c r="M365" s="309"/>
      <c r="N365" s="323"/>
      <c r="O365" s="323"/>
      <c r="P365" s="309"/>
      <c r="Q365" s="309"/>
      <c r="R365" s="309"/>
      <c r="S365" s="282"/>
      <c r="T365" s="282"/>
      <c r="U365" s="275"/>
      <c r="V365" s="275"/>
      <c r="W365" s="288"/>
      <c r="X365" s="288"/>
      <c r="Y365" s="288"/>
      <c r="Z365" s="288"/>
      <c r="AA365" s="275"/>
      <c r="AB365" s="275"/>
    </row>
    <row r="366">
      <c r="A366" s="20" t="s">
        <v>835</v>
      </c>
      <c r="B366" s="309"/>
      <c r="C366" s="309"/>
      <c r="D366" s="309"/>
      <c r="E366" s="309"/>
      <c r="F366" s="309"/>
      <c r="G366" s="323"/>
      <c r="H366" s="323"/>
      <c r="I366" s="309"/>
      <c r="J366" s="309"/>
      <c r="K366" s="309"/>
      <c r="L366" s="309"/>
      <c r="M366" s="309"/>
      <c r="N366" s="323"/>
      <c r="O366" s="323"/>
      <c r="P366" s="309"/>
      <c r="Q366" s="309"/>
      <c r="R366" s="309"/>
      <c r="S366" s="282"/>
      <c r="T366" s="282"/>
      <c r="U366" s="275"/>
      <c r="V366" s="275"/>
      <c r="W366" s="288"/>
      <c r="X366" s="288"/>
      <c r="Y366" s="288"/>
      <c r="Z366" s="288"/>
      <c r="AA366" s="275"/>
      <c r="AB366" s="275"/>
    </row>
    <row r="367">
      <c r="A367" s="20" t="s">
        <v>836</v>
      </c>
      <c r="B367" s="309"/>
      <c r="C367" s="309"/>
      <c r="D367" s="309"/>
      <c r="E367" s="309"/>
      <c r="F367" s="309"/>
      <c r="G367" s="323"/>
      <c r="H367" s="323"/>
      <c r="I367" s="309"/>
      <c r="J367" s="309"/>
      <c r="K367" s="309"/>
      <c r="L367" s="309"/>
      <c r="M367" s="309"/>
      <c r="N367" s="323"/>
      <c r="O367" s="323"/>
      <c r="P367" s="309"/>
      <c r="Q367" s="309"/>
      <c r="R367" s="309"/>
      <c r="S367" s="282"/>
      <c r="T367" s="282"/>
      <c r="U367" s="275"/>
      <c r="V367" s="275"/>
      <c r="W367" s="288"/>
      <c r="X367" s="288"/>
      <c r="Y367" s="288"/>
      <c r="Z367" s="288"/>
      <c r="AA367" s="275"/>
      <c r="AB367" s="275"/>
    </row>
    <row r="368">
      <c r="A368" s="272" t="s">
        <v>824</v>
      </c>
      <c r="B368" s="309"/>
      <c r="C368" s="309"/>
      <c r="D368" s="309"/>
      <c r="E368" s="309"/>
      <c r="F368" s="323"/>
      <c r="G368" s="323"/>
      <c r="H368" s="323"/>
      <c r="I368" s="309"/>
      <c r="J368" s="309"/>
      <c r="K368" s="309"/>
      <c r="L368" s="309"/>
      <c r="M368" s="323"/>
      <c r="N368" s="323"/>
      <c r="O368" s="323"/>
      <c r="P368" s="309"/>
      <c r="Q368" s="310"/>
      <c r="R368" s="309"/>
      <c r="S368" s="288"/>
      <c r="T368" s="285"/>
      <c r="U368" s="275"/>
      <c r="V368" s="275"/>
      <c r="W368" s="288"/>
      <c r="X368" s="292"/>
      <c r="Y368" s="292"/>
      <c r="Z368" s="282"/>
      <c r="AA368" s="275"/>
      <c r="AB368" s="275"/>
    </row>
    <row r="369">
      <c r="A369" s="67" t="s">
        <v>869</v>
      </c>
      <c r="B369" s="309"/>
      <c r="C369" s="309"/>
      <c r="D369" s="309"/>
      <c r="E369" s="309"/>
      <c r="F369" s="309"/>
      <c r="G369" s="323"/>
      <c r="H369" s="323"/>
      <c r="I369" s="309"/>
      <c r="J369" s="325"/>
      <c r="K369" s="309"/>
      <c r="L369" s="309"/>
      <c r="M369" s="309"/>
      <c r="N369" s="323"/>
      <c r="O369" s="323"/>
      <c r="P369" s="307"/>
      <c r="Q369" s="307"/>
      <c r="R369" s="307"/>
      <c r="S369" s="285"/>
      <c r="T369" s="112"/>
      <c r="U369" s="275"/>
      <c r="V369" s="275"/>
      <c r="W369" s="282"/>
      <c r="X369" s="282"/>
      <c r="Y369" s="282"/>
      <c r="Z369" s="288"/>
      <c r="AA369" s="288"/>
      <c r="AB369" s="275"/>
    </row>
    <row r="370">
      <c r="A370" s="67" t="s">
        <v>870</v>
      </c>
      <c r="B370" s="309"/>
      <c r="C370" s="309">
        <v>57.5</v>
      </c>
      <c r="D370" s="309">
        <v>57.5</v>
      </c>
      <c r="E370" s="309">
        <v>57.5</v>
      </c>
      <c r="F370" s="309">
        <v>57.5</v>
      </c>
      <c r="G370" s="323"/>
      <c r="H370" s="323"/>
      <c r="I370" s="309"/>
      <c r="J370" s="309"/>
      <c r="K370" s="310"/>
      <c r="L370" s="310"/>
      <c r="M370" s="310"/>
      <c r="N370" s="323"/>
      <c r="O370" s="323"/>
      <c r="P370" s="307"/>
      <c r="Q370" s="307"/>
      <c r="R370" s="307"/>
      <c r="S370" s="285"/>
      <c r="T370" s="112"/>
      <c r="U370" s="275"/>
      <c r="V370" s="275"/>
      <c r="W370" s="282"/>
      <c r="X370" s="282"/>
      <c r="Y370" s="282"/>
      <c r="Z370" s="288"/>
      <c r="AA370" s="288"/>
      <c r="AB370" s="275"/>
    </row>
    <row r="371">
      <c r="A371" s="272" t="s">
        <v>825</v>
      </c>
      <c r="B371" s="323"/>
      <c r="C371" s="323"/>
      <c r="D371" s="323"/>
      <c r="E371" s="323"/>
      <c r="F371" s="323"/>
      <c r="G371" s="323"/>
      <c r="H371" s="323"/>
      <c r="I371" s="323"/>
      <c r="J371" s="323"/>
      <c r="K371" s="326"/>
      <c r="L371" s="326"/>
      <c r="M371" s="326"/>
      <c r="N371" s="323"/>
      <c r="O371" s="323"/>
      <c r="P371" s="323"/>
      <c r="Q371" s="323"/>
      <c r="R371" s="323"/>
      <c r="S371" s="275"/>
      <c r="T371" s="275"/>
      <c r="U371" s="275"/>
      <c r="V371" s="275"/>
      <c r="W371" s="275"/>
      <c r="X371" s="275"/>
      <c r="Y371" s="275"/>
      <c r="Z371" s="275"/>
      <c r="AA371" s="275"/>
      <c r="AB371" s="275"/>
    </row>
    <row r="372">
      <c r="A372" s="272" t="s">
        <v>826</v>
      </c>
      <c r="B372" s="323"/>
      <c r="C372" s="323"/>
      <c r="D372" s="323"/>
      <c r="E372" s="323"/>
      <c r="F372" s="323"/>
      <c r="G372" s="323"/>
      <c r="H372" s="323"/>
      <c r="I372" s="323"/>
      <c r="J372" s="323"/>
      <c r="K372" s="326"/>
      <c r="L372" s="326"/>
      <c r="M372" s="326"/>
      <c r="N372" s="323"/>
      <c r="O372" s="323"/>
      <c r="P372" s="323"/>
      <c r="Q372" s="323"/>
      <c r="R372" s="323"/>
      <c r="S372" s="275"/>
      <c r="T372" s="275"/>
      <c r="U372" s="275"/>
      <c r="V372" s="275"/>
      <c r="W372" s="275"/>
      <c r="X372" s="275"/>
      <c r="Y372" s="275"/>
      <c r="Z372" s="275"/>
      <c r="AA372" s="275"/>
      <c r="AB372" s="275"/>
    </row>
    <row r="373">
      <c r="A373" s="274" t="s">
        <v>680</v>
      </c>
      <c r="B373" s="323"/>
      <c r="C373" s="323"/>
      <c r="D373" s="323"/>
      <c r="E373" s="323"/>
      <c r="F373" s="323"/>
      <c r="G373" s="323"/>
      <c r="H373" s="323"/>
      <c r="I373" s="323"/>
      <c r="J373" s="323"/>
      <c r="K373" s="326"/>
      <c r="L373" s="326"/>
      <c r="M373" s="326"/>
      <c r="N373" s="323"/>
      <c r="O373" s="323"/>
      <c r="P373" s="323"/>
      <c r="Q373" s="323"/>
      <c r="R373" s="323"/>
      <c r="S373" s="275"/>
      <c r="T373" s="275"/>
      <c r="U373" s="275"/>
      <c r="V373" s="275"/>
      <c r="W373" s="275"/>
      <c r="X373" s="275"/>
      <c r="Y373" s="275"/>
      <c r="Z373" s="275"/>
      <c r="AA373" s="275"/>
      <c r="AB373" s="275"/>
    </row>
    <row r="374">
      <c r="A374" s="274" t="s">
        <v>828</v>
      </c>
      <c r="B374" s="323"/>
      <c r="C374" s="323"/>
      <c r="D374" s="323"/>
      <c r="E374" s="323"/>
      <c r="F374" s="323"/>
      <c r="G374" s="323"/>
      <c r="H374" s="323"/>
      <c r="I374" s="323"/>
      <c r="J374" s="323"/>
      <c r="K374" s="326"/>
      <c r="L374" s="326"/>
      <c r="M374" s="326"/>
      <c r="N374" s="323"/>
      <c r="O374" s="323"/>
      <c r="P374" s="323"/>
      <c r="Q374" s="323"/>
      <c r="R374" s="323"/>
      <c r="S374" s="275"/>
      <c r="T374" s="275"/>
      <c r="U374" s="275"/>
      <c r="V374" s="275"/>
      <c r="W374" s="275"/>
      <c r="X374" s="275"/>
      <c r="Y374" s="275"/>
      <c r="Z374" s="275"/>
      <c r="AA374" s="275"/>
      <c r="AB374" s="275"/>
    </row>
    <row r="375">
      <c r="A375" s="20" t="s">
        <v>829</v>
      </c>
      <c r="B375" s="323"/>
      <c r="C375" s="323"/>
      <c r="D375" s="323"/>
      <c r="E375" s="323"/>
      <c r="F375" s="323"/>
      <c r="G375" s="323"/>
      <c r="H375" s="323"/>
      <c r="I375" s="323"/>
      <c r="J375" s="323"/>
      <c r="K375" s="326"/>
      <c r="L375" s="326"/>
      <c r="M375" s="326"/>
      <c r="N375" s="323"/>
      <c r="O375" s="323"/>
      <c r="P375" s="309"/>
      <c r="Q375" s="323"/>
      <c r="R375" s="323"/>
      <c r="S375" s="282"/>
      <c r="T375" s="275"/>
      <c r="U375" s="275"/>
      <c r="V375" s="275"/>
      <c r="W375" s="275"/>
      <c r="X375" s="275"/>
      <c r="Y375" s="275"/>
      <c r="Z375" s="275"/>
      <c r="AA375" s="275"/>
      <c r="AB375" s="275"/>
    </row>
    <row r="376">
      <c r="A376" s="20" t="s">
        <v>830</v>
      </c>
      <c r="B376" s="323"/>
      <c r="C376" s="323"/>
      <c r="D376" s="323"/>
      <c r="E376" s="323"/>
      <c r="F376" s="323"/>
      <c r="G376" s="323"/>
      <c r="H376" s="323"/>
      <c r="I376" s="323"/>
      <c r="J376" s="323"/>
      <c r="K376" s="326"/>
      <c r="L376" s="326"/>
      <c r="M376" s="326"/>
      <c r="N376" s="323"/>
      <c r="O376" s="323"/>
      <c r="P376" s="309"/>
      <c r="Q376" s="323"/>
      <c r="R376" s="323"/>
      <c r="S376" s="275"/>
      <c r="T376" s="275"/>
      <c r="U376" s="275"/>
      <c r="V376" s="275"/>
      <c r="W376" s="275"/>
      <c r="X376" s="275"/>
      <c r="Y376" s="275"/>
      <c r="Z376" s="275"/>
      <c r="AA376" s="275"/>
      <c r="AB376" s="275"/>
    </row>
    <row r="377">
      <c r="A377" s="67" t="s">
        <v>871</v>
      </c>
      <c r="B377" s="309"/>
      <c r="C377" s="309"/>
      <c r="D377" s="309"/>
      <c r="E377" s="309"/>
      <c r="F377" s="309"/>
      <c r="G377" s="323"/>
      <c r="H377" s="323"/>
      <c r="I377" s="309"/>
      <c r="J377" s="309"/>
      <c r="K377" s="309"/>
      <c r="L377" s="309"/>
      <c r="M377" s="309"/>
      <c r="N377" s="323"/>
      <c r="O377" s="323"/>
      <c r="P377" s="309"/>
      <c r="Q377" s="309"/>
      <c r="R377" s="309"/>
      <c r="S377" s="282"/>
      <c r="T377" s="282"/>
      <c r="U377" s="282"/>
      <c r="V377" s="275"/>
      <c r="W377" s="288"/>
      <c r="X377" s="288"/>
      <c r="Y377" s="288"/>
      <c r="Z377" s="288"/>
      <c r="AA377" s="288"/>
      <c r="AB377" s="282"/>
    </row>
    <row r="378">
      <c r="A378" s="67" t="s">
        <v>948</v>
      </c>
      <c r="B378" s="309"/>
      <c r="C378" s="309">
        <v>57.5</v>
      </c>
      <c r="D378" s="309">
        <v>57.5</v>
      </c>
      <c r="E378" s="309">
        <v>57.5</v>
      </c>
      <c r="F378" s="309">
        <v>57.5</v>
      </c>
      <c r="G378" s="323"/>
      <c r="H378" s="323"/>
      <c r="I378" s="309"/>
      <c r="J378" s="309"/>
      <c r="K378" s="309"/>
      <c r="L378" s="309"/>
      <c r="M378" s="309"/>
      <c r="N378" s="323"/>
      <c r="O378" s="323"/>
      <c r="P378" s="309"/>
      <c r="Q378" s="309"/>
      <c r="R378" s="309"/>
      <c r="S378" s="282"/>
      <c r="T378" s="282"/>
      <c r="U378" s="282"/>
      <c r="V378" s="275"/>
      <c r="W378" s="288"/>
      <c r="X378" s="288"/>
      <c r="Y378" s="288"/>
      <c r="Z378" s="288"/>
      <c r="AA378" s="288"/>
      <c r="AB378" s="282"/>
    </row>
    <row r="379">
      <c r="A379" s="67" t="s">
        <v>872</v>
      </c>
      <c r="B379" s="309"/>
      <c r="C379" s="309"/>
      <c r="D379" s="309"/>
      <c r="E379" s="309"/>
      <c r="F379" s="309"/>
      <c r="G379" s="323"/>
      <c r="H379" s="323"/>
      <c r="I379" s="309"/>
      <c r="J379" s="309"/>
      <c r="K379" s="309"/>
      <c r="L379" s="309"/>
      <c r="M379" s="309"/>
      <c r="N379" s="323"/>
      <c r="O379" s="323"/>
      <c r="P379" s="309"/>
      <c r="Q379" s="309"/>
      <c r="R379" s="309"/>
      <c r="S379" s="282"/>
      <c r="T379" s="282"/>
      <c r="U379" s="282"/>
      <c r="V379" s="275"/>
      <c r="W379" s="288"/>
      <c r="X379" s="288"/>
      <c r="Y379" s="288"/>
      <c r="Z379" s="288"/>
      <c r="AA379" s="288"/>
      <c r="AB379" s="282"/>
    </row>
    <row r="380">
      <c r="A380" s="67" t="s">
        <v>747</v>
      </c>
      <c r="B380" s="309"/>
      <c r="C380" s="309"/>
      <c r="D380" s="309"/>
      <c r="E380" s="309"/>
      <c r="F380" s="309"/>
      <c r="G380" s="323"/>
      <c r="H380" s="323"/>
      <c r="I380" s="309"/>
      <c r="J380" s="309"/>
      <c r="K380" s="309"/>
      <c r="L380" s="309"/>
      <c r="M380" s="309"/>
      <c r="N380" s="323"/>
      <c r="O380" s="323"/>
      <c r="P380" s="309"/>
      <c r="Q380" s="309"/>
      <c r="R380" s="309"/>
      <c r="S380" s="282"/>
      <c r="T380" s="282"/>
      <c r="U380" s="282"/>
      <c r="V380" s="275"/>
      <c r="W380" s="288"/>
      <c r="X380" s="288"/>
      <c r="Y380" s="288"/>
      <c r="Z380" s="288"/>
      <c r="AA380" s="288"/>
      <c r="AB380" s="282"/>
    </row>
    <row r="381">
      <c r="A381" s="67" t="s">
        <v>949</v>
      </c>
      <c r="B381" s="309"/>
      <c r="C381" s="309"/>
      <c r="D381" s="309"/>
      <c r="E381" s="309"/>
      <c r="F381" s="309"/>
      <c r="G381" s="323"/>
      <c r="H381" s="323"/>
      <c r="I381" s="309"/>
      <c r="J381" s="309"/>
      <c r="K381" s="309"/>
      <c r="L381" s="309"/>
      <c r="M381" s="309"/>
      <c r="N381" s="323"/>
      <c r="O381" s="323"/>
      <c r="P381" s="309"/>
      <c r="Q381" s="309"/>
      <c r="R381" s="309"/>
      <c r="S381" s="282"/>
      <c r="T381" s="282"/>
      <c r="U381" s="282"/>
      <c r="V381" s="275"/>
      <c r="W381" s="288"/>
      <c r="X381" s="288"/>
      <c r="Y381" s="288"/>
      <c r="Z381" s="288"/>
      <c r="AA381" s="288"/>
      <c r="AB381" s="282"/>
    </row>
    <row r="382">
      <c r="A382" s="67" t="s">
        <v>954</v>
      </c>
      <c r="B382" s="309"/>
      <c r="C382" s="309">
        <v>57.5</v>
      </c>
      <c r="D382" s="309">
        <v>57.5</v>
      </c>
      <c r="E382" s="309">
        <v>57.5</v>
      </c>
      <c r="F382" s="309">
        <v>57.5</v>
      </c>
      <c r="G382" s="323"/>
      <c r="H382" s="323"/>
      <c r="I382" s="309"/>
      <c r="J382" s="309"/>
      <c r="K382" s="309"/>
      <c r="L382" s="309"/>
      <c r="M382" s="309"/>
      <c r="N382" s="323"/>
      <c r="O382" s="323"/>
      <c r="P382" s="309"/>
      <c r="Q382" s="309"/>
      <c r="R382" s="309"/>
      <c r="S382" s="282"/>
      <c r="T382" s="282"/>
      <c r="U382" s="282"/>
      <c r="V382" s="275"/>
      <c r="W382" s="288"/>
      <c r="X382" s="288"/>
      <c r="Y382" s="288"/>
      <c r="Z382" s="288"/>
      <c r="AA382" s="288"/>
      <c r="AB382" s="275"/>
    </row>
    <row r="383">
      <c r="A383" s="20" t="s">
        <v>12</v>
      </c>
      <c r="B383" s="323"/>
      <c r="C383" s="323"/>
      <c r="D383" s="323"/>
      <c r="E383" s="323"/>
      <c r="F383" s="323"/>
      <c r="G383" s="323"/>
      <c r="H383" s="323"/>
      <c r="I383" s="323"/>
      <c r="J383" s="309"/>
      <c r="K383" s="326"/>
      <c r="L383" s="326"/>
      <c r="M383" s="326"/>
      <c r="N383" s="323"/>
      <c r="O383" s="323"/>
      <c r="P383" s="323"/>
      <c r="Q383" s="323"/>
      <c r="R383" s="323"/>
      <c r="S383" s="275"/>
      <c r="T383" s="275"/>
      <c r="U383" s="275"/>
      <c r="V383" s="275"/>
      <c r="W383" s="275"/>
      <c r="X383" s="288"/>
      <c r="Y383" s="282"/>
      <c r="Z383" s="282"/>
      <c r="AA383" s="275"/>
      <c r="AB383" s="275"/>
    </row>
    <row r="384">
      <c r="A384" s="20" t="s">
        <v>838</v>
      </c>
      <c r="B384" s="309"/>
      <c r="C384" s="323"/>
      <c r="D384" s="323"/>
      <c r="E384" s="309"/>
      <c r="F384" s="323"/>
      <c r="G384" s="323"/>
      <c r="H384" s="323"/>
      <c r="I384" s="309">
        <v>57.5</v>
      </c>
      <c r="J384" s="323"/>
      <c r="K384" s="326"/>
      <c r="L384" s="326"/>
      <c r="M384" s="326"/>
      <c r="N384" s="323"/>
      <c r="O384" s="323"/>
      <c r="P384" s="323"/>
      <c r="Q384" s="323"/>
      <c r="R384" s="323"/>
      <c r="S384" s="275"/>
      <c r="T384" s="275"/>
      <c r="U384" s="275"/>
      <c r="V384" s="275"/>
      <c r="W384" s="275"/>
      <c r="X384" s="282"/>
      <c r="Y384" s="282"/>
      <c r="Z384" s="282"/>
      <c r="AA384" s="275"/>
      <c r="AB384" s="275"/>
    </row>
    <row r="385">
      <c r="A385" s="67" t="s">
        <v>822</v>
      </c>
      <c r="B385" s="307"/>
      <c r="C385" s="307"/>
      <c r="D385" s="307"/>
      <c r="E385" s="307"/>
      <c r="F385" s="307"/>
      <c r="G385" s="327"/>
      <c r="H385" s="327"/>
      <c r="I385" s="307"/>
      <c r="J385" s="307"/>
      <c r="K385" s="320"/>
      <c r="L385" s="320"/>
      <c r="M385" s="320"/>
      <c r="N385" s="327"/>
      <c r="O385" s="327"/>
      <c r="P385" s="307"/>
      <c r="Q385" s="307"/>
      <c r="R385" s="307"/>
      <c r="S385" s="285"/>
      <c r="T385" s="285"/>
      <c r="U385" s="112"/>
      <c r="V385" s="112"/>
      <c r="W385" s="285"/>
      <c r="X385" s="285"/>
      <c r="Y385" s="285"/>
      <c r="Z385" s="285"/>
      <c r="AA385" s="285"/>
      <c r="AB385" s="112"/>
    </row>
    <row r="386">
      <c r="A386" s="67" t="s">
        <v>677</v>
      </c>
      <c r="B386" s="307"/>
      <c r="C386" s="307"/>
      <c r="D386" s="309"/>
      <c r="E386" s="309"/>
      <c r="F386" s="307"/>
      <c r="G386" s="327"/>
      <c r="H386" s="327"/>
      <c r="I386" s="307"/>
      <c r="J386" s="307"/>
      <c r="K386" s="320"/>
      <c r="L386" s="320"/>
      <c r="M386" s="320"/>
      <c r="N386" s="307"/>
      <c r="O386" s="327"/>
      <c r="P386" s="307"/>
      <c r="Q386" s="320"/>
      <c r="R386" s="307"/>
      <c r="S386" s="285"/>
      <c r="T386" s="285"/>
      <c r="U386" s="112"/>
      <c r="V386" s="112"/>
      <c r="W386" s="285"/>
      <c r="X386" s="285"/>
      <c r="Y386" s="285"/>
      <c r="Z386" s="285"/>
      <c r="AA386" s="112"/>
      <c r="AB386" s="112"/>
    </row>
    <row r="387">
      <c r="A387" s="67" t="s">
        <v>875</v>
      </c>
      <c r="B387" s="307"/>
      <c r="C387" s="307"/>
      <c r="D387" s="307"/>
      <c r="E387" s="307"/>
      <c r="F387" s="307"/>
      <c r="G387" s="327"/>
      <c r="H387" s="327"/>
      <c r="I387" s="307"/>
      <c r="J387" s="307"/>
      <c r="K387" s="320"/>
      <c r="L387" s="320"/>
      <c r="M387" s="320"/>
      <c r="N387" s="327"/>
      <c r="O387" s="327"/>
      <c r="P387" s="307"/>
      <c r="Q387" s="307"/>
      <c r="R387" s="307"/>
      <c r="S387" s="285"/>
      <c r="T387" s="285"/>
      <c r="U387" s="112"/>
      <c r="V387" s="112"/>
      <c r="W387" s="285"/>
      <c r="X387" s="285"/>
      <c r="Y387" s="285"/>
      <c r="Z387" s="285"/>
      <c r="AA387" s="285"/>
      <c r="AB387" s="112"/>
    </row>
    <row r="388">
      <c r="A388" s="67" t="s">
        <v>263</v>
      </c>
      <c r="B388" s="307"/>
      <c r="C388" s="307"/>
      <c r="D388" s="307"/>
      <c r="E388" s="307"/>
      <c r="F388" s="307"/>
      <c r="G388" s="327"/>
      <c r="H388" s="327"/>
      <c r="I388" s="307"/>
      <c r="J388" s="307"/>
      <c r="K388" s="307"/>
      <c r="L388" s="307"/>
      <c r="M388" s="307"/>
      <c r="N388" s="327"/>
      <c r="O388" s="327"/>
      <c r="P388" s="307"/>
      <c r="Q388" s="307"/>
      <c r="R388" s="307"/>
      <c r="S388" s="285"/>
      <c r="T388" s="285"/>
      <c r="U388" s="112"/>
      <c r="V388" s="112"/>
      <c r="W388" s="285"/>
      <c r="X388" s="285"/>
      <c r="Y388" s="285"/>
      <c r="Z388" s="285"/>
      <c r="AA388" s="112"/>
      <c r="AB388" s="112"/>
    </row>
    <row r="389">
      <c r="A389" s="67" t="s">
        <v>944</v>
      </c>
      <c r="B389" s="307"/>
      <c r="C389" s="307"/>
      <c r="D389" s="307"/>
      <c r="E389" s="307"/>
      <c r="F389" s="307"/>
      <c r="G389" s="327"/>
      <c r="H389" s="327"/>
      <c r="I389" s="307"/>
      <c r="J389" s="307"/>
      <c r="K389" s="307"/>
      <c r="L389" s="307"/>
      <c r="M389" s="307"/>
      <c r="N389" s="307"/>
      <c r="O389" s="327"/>
      <c r="P389" s="307"/>
      <c r="Q389" s="307"/>
      <c r="R389" s="307"/>
      <c r="S389" s="285"/>
      <c r="T389" s="285"/>
      <c r="U389" s="112"/>
      <c r="V389" s="112"/>
      <c r="W389" s="285"/>
      <c r="X389" s="285"/>
      <c r="Y389" s="285"/>
      <c r="Z389" s="285"/>
      <c r="AA389" s="285"/>
      <c r="AB389" s="112"/>
    </row>
    <row r="390">
      <c r="A390" s="67" t="s">
        <v>945</v>
      </c>
      <c r="B390" s="327"/>
      <c r="C390" s="327"/>
      <c r="D390" s="327"/>
      <c r="E390" s="327"/>
      <c r="F390" s="327"/>
      <c r="G390" s="327"/>
      <c r="H390" s="327"/>
      <c r="I390" s="307"/>
      <c r="J390" s="327"/>
      <c r="K390" s="320"/>
      <c r="L390" s="328"/>
      <c r="M390" s="328"/>
      <c r="N390" s="327"/>
      <c r="O390" s="327"/>
      <c r="P390" s="307"/>
      <c r="Q390" s="327"/>
      <c r="R390" s="327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</row>
    <row r="391">
      <c r="A391" s="67" t="s">
        <v>955</v>
      </c>
      <c r="B391" s="327"/>
      <c r="C391" s="307"/>
      <c r="D391" s="307"/>
      <c r="E391" s="307"/>
      <c r="F391" s="327"/>
      <c r="G391" s="327"/>
      <c r="H391" s="327"/>
      <c r="I391" s="307"/>
      <c r="J391" s="307"/>
      <c r="K391" s="328"/>
      <c r="L391" s="320"/>
      <c r="M391" s="328"/>
      <c r="N391" s="327"/>
      <c r="O391" s="327"/>
      <c r="P391" s="327"/>
      <c r="Q391" s="307"/>
      <c r="R391" s="327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</row>
    <row r="392">
      <c r="A392" s="67" t="s">
        <v>956</v>
      </c>
      <c r="B392" s="327"/>
      <c r="C392" s="307"/>
      <c r="D392" s="307"/>
      <c r="E392" s="307"/>
      <c r="F392" s="327"/>
      <c r="G392" s="327"/>
      <c r="H392" s="327"/>
      <c r="I392" s="307"/>
      <c r="J392" s="307"/>
      <c r="K392" s="327"/>
      <c r="L392" s="307"/>
      <c r="M392" s="327"/>
      <c r="N392" s="327"/>
      <c r="O392" s="327"/>
      <c r="P392" s="327"/>
      <c r="Q392" s="307"/>
      <c r="R392" s="327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</row>
    <row r="395">
      <c r="A395" s="251" t="s">
        <v>788</v>
      </c>
      <c r="B395" s="252" t="s">
        <v>25</v>
      </c>
      <c r="C395" s="253" t="s">
        <v>789</v>
      </c>
      <c r="D395" s="253" t="s">
        <v>27</v>
      </c>
      <c r="E395" s="253" t="s">
        <v>2</v>
      </c>
      <c r="F395" s="253" t="s">
        <v>3</v>
      </c>
      <c r="G395" s="254" t="s">
        <v>790</v>
      </c>
      <c r="H395" s="255"/>
      <c r="I395" s="253" t="s">
        <v>25</v>
      </c>
      <c r="J395" s="253" t="s">
        <v>789</v>
      </c>
      <c r="K395" s="253" t="s">
        <v>27</v>
      </c>
      <c r="L395" s="253" t="s">
        <v>2</v>
      </c>
      <c r="M395" s="253" t="s">
        <v>3</v>
      </c>
      <c r="N395" s="287" t="s">
        <v>790</v>
      </c>
      <c r="O395" s="255"/>
      <c r="P395" s="253" t="s">
        <v>25</v>
      </c>
      <c r="Q395" s="256" t="s">
        <v>789</v>
      </c>
      <c r="R395" s="253" t="s">
        <v>27</v>
      </c>
      <c r="S395" s="253" t="s">
        <v>2</v>
      </c>
      <c r="T395" s="253" t="s">
        <v>3</v>
      </c>
      <c r="U395" s="254" t="s">
        <v>790</v>
      </c>
      <c r="V395" s="255"/>
      <c r="W395" s="253" t="s">
        <v>25</v>
      </c>
      <c r="X395" s="256" t="s">
        <v>789</v>
      </c>
      <c r="Y395" s="253" t="s">
        <v>27</v>
      </c>
      <c r="Z395" s="253" t="s">
        <v>2</v>
      </c>
      <c r="AA395" s="253" t="s">
        <v>3</v>
      </c>
      <c r="AB395" s="257" t="s">
        <v>790</v>
      </c>
    </row>
    <row r="396">
      <c r="A396" s="206"/>
      <c r="B396" s="260" t="s">
        <v>1000</v>
      </c>
      <c r="C396" s="260" t="s">
        <v>1001</v>
      </c>
      <c r="D396" s="260" t="s">
        <v>1002</v>
      </c>
      <c r="E396" s="260" t="s">
        <v>1003</v>
      </c>
      <c r="F396" s="260" t="s">
        <v>1004</v>
      </c>
      <c r="G396" s="260" t="s">
        <v>1005</v>
      </c>
      <c r="H396" s="260"/>
      <c r="I396" s="260">
        <v>19.01</v>
      </c>
      <c r="J396" s="260">
        <v>20.01</v>
      </c>
      <c r="K396" s="260">
        <v>21.01</v>
      </c>
      <c r="L396" s="260">
        <v>22.01</v>
      </c>
      <c r="M396" s="260">
        <v>23.01</v>
      </c>
      <c r="N396" s="260">
        <v>24.01</v>
      </c>
      <c r="O396" s="260"/>
      <c r="P396" s="260">
        <v>26.01</v>
      </c>
      <c r="Q396" s="260">
        <v>27.01</v>
      </c>
      <c r="R396" s="260">
        <v>28.01</v>
      </c>
      <c r="S396" s="260">
        <v>29.01</v>
      </c>
      <c r="T396" s="260">
        <v>30.31</v>
      </c>
      <c r="U396" s="260">
        <v>31.01</v>
      </c>
      <c r="V396" s="260"/>
      <c r="W396" s="260"/>
      <c r="X396" s="260"/>
      <c r="Y396" s="260"/>
      <c r="Z396" s="260"/>
      <c r="AA396" s="260"/>
      <c r="AB396" s="260"/>
    </row>
    <row r="397">
      <c r="A397" s="263" t="s">
        <v>816</v>
      </c>
      <c r="B397" s="282"/>
      <c r="C397" s="282"/>
      <c r="D397" s="318">
        <v>57.5</v>
      </c>
      <c r="E397" s="318">
        <v>57.5</v>
      </c>
      <c r="F397" s="275"/>
      <c r="G397" s="275"/>
      <c r="H397" s="275"/>
      <c r="I397" s="282"/>
      <c r="J397" s="282"/>
      <c r="K397" s="282"/>
      <c r="L397" s="282"/>
      <c r="M397" s="288"/>
      <c r="N397" s="275"/>
      <c r="O397" s="275"/>
      <c r="P397" s="282"/>
      <c r="Q397" s="288"/>
      <c r="R397" s="282"/>
      <c r="S397" s="288"/>
      <c r="T397" s="275"/>
      <c r="U397" s="275"/>
      <c r="V397" s="275"/>
      <c r="W397" s="282"/>
      <c r="X397" s="282"/>
      <c r="Y397" s="282"/>
      <c r="Z397" s="281"/>
      <c r="AA397" s="282"/>
      <c r="AB397" s="275"/>
    </row>
    <row r="398">
      <c r="A398" s="11" t="s">
        <v>817</v>
      </c>
      <c r="B398" s="282"/>
      <c r="C398" s="282"/>
      <c r="D398" s="318">
        <v>57.5</v>
      </c>
      <c r="E398" s="318">
        <v>57.5</v>
      </c>
      <c r="F398" s="275"/>
      <c r="G398" s="275"/>
      <c r="H398" s="275"/>
      <c r="I398" s="282"/>
      <c r="J398" s="282"/>
      <c r="K398" s="282"/>
      <c r="L398" s="282"/>
      <c r="M398" s="288"/>
      <c r="N398" s="275"/>
      <c r="O398" s="275"/>
      <c r="P398" s="282"/>
      <c r="Q398" s="288"/>
      <c r="R398" s="282"/>
      <c r="S398" s="288"/>
      <c r="T398" s="275"/>
      <c r="U398" s="275"/>
      <c r="V398" s="275"/>
      <c r="W398" s="282"/>
      <c r="X398" s="282"/>
      <c r="Y398" s="282"/>
      <c r="Z398" s="281"/>
      <c r="AA398" s="282"/>
      <c r="AB398" s="275"/>
    </row>
    <row r="399">
      <c r="A399" s="17" t="s">
        <v>44</v>
      </c>
      <c r="B399" s="282"/>
      <c r="C399" s="282"/>
      <c r="D399" s="282"/>
      <c r="E399" s="282"/>
      <c r="F399" s="275"/>
      <c r="G399" s="275"/>
      <c r="H399" s="275"/>
      <c r="I399" s="282"/>
      <c r="J399" s="282"/>
      <c r="K399" s="275"/>
      <c r="L399" s="275"/>
      <c r="M399" s="281"/>
      <c r="N399" s="275"/>
      <c r="O399" s="275"/>
      <c r="P399" s="282"/>
      <c r="Q399" s="288"/>
      <c r="R399" s="282"/>
      <c r="S399" s="288"/>
      <c r="T399" s="275"/>
      <c r="U399" s="275"/>
      <c r="V399" s="275"/>
      <c r="W399" s="282"/>
      <c r="X399" s="282"/>
      <c r="Y399" s="282"/>
      <c r="Z399" s="281"/>
      <c r="AA399" s="282"/>
      <c r="AB399" s="275"/>
    </row>
    <row r="400">
      <c r="A400" s="11" t="s">
        <v>310</v>
      </c>
      <c r="B400" s="282"/>
      <c r="C400" s="318">
        <v>57.5</v>
      </c>
      <c r="D400" s="318">
        <v>57.5</v>
      </c>
      <c r="E400" s="318">
        <v>57.5</v>
      </c>
      <c r="F400" s="282"/>
      <c r="G400" s="275"/>
      <c r="H400" s="275"/>
      <c r="I400" s="282"/>
      <c r="J400" s="282"/>
      <c r="K400" s="318">
        <v>57.5</v>
      </c>
      <c r="L400" s="318">
        <v>57.5</v>
      </c>
      <c r="M400" s="282"/>
      <c r="N400" s="275"/>
      <c r="O400" s="275"/>
      <c r="P400" s="318">
        <v>57.5</v>
      </c>
      <c r="Q400" s="318">
        <v>57.5</v>
      </c>
      <c r="R400" s="318">
        <v>57.5</v>
      </c>
      <c r="S400" s="282"/>
      <c r="T400" s="282"/>
      <c r="U400" s="275"/>
      <c r="V400" s="275"/>
      <c r="W400" s="282"/>
      <c r="X400" s="288"/>
      <c r="Y400" s="282"/>
      <c r="Z400" s="288"/>
      <c r="AA400" s="275"/>
      <c r="AB400" s="275"/>
    </row>
    <row r="401">
      <c r="A401" s="11" t="s">
        <v>819</v>
      </c>
      <c r="B401" s="282"/>
      <c r="C401" s="318">
        <v>57.5</v>
      </c>
      <c r="D401" s="318">
        <v>57.5</v>
      </c>
      <c r="E401" s="318">
        <v>57.5</v>
      </c>
      <c r="F401" s="282"/>
      <c r="G401" s="275"/>
      <c r="H401" s="275"/>
      <c r="I401" s="282"/>
      <c r="J401" s="282"/>
      <c r="K401" s="318">
        <v>57.5</v>
      </c>
      <c r="L401" s="318">
        <v>57.5</v>
      </c>
      <c r="M401" s="282"/>
      <c r="N401" s="275"/>
      <c r="O401" s="275"/>
      <c r="P401" s="318">
        <v>57.5</v>
      </c>
      <c r="Q401" s="318">
        <v>57.5</v>
      </c>
      <c r="R401" s="318">
        <v>57.5</v>
      </c>
      <c r="S401" s="282"/>
      <c r="T401" s="282"/>
      <c r="U401" s="275"/>
      <c r="V401" s="275"/>
      <c r="W401" s="282"/>
      <c r="X401" s="288"/>
      <c r="Y401" s="282"/>
      <c r="Z401" s="282"/>
      <c r="AA401" s="282"/>
      <c r="AB401" s="282"/>
    </row>
    <row r="402">
      <c r="A402" s="17" t="s">
        <v>735</v>
      </c>
      <c r="B402" s="282"/>
      <c r="C402" s="282"/>
      <c r="D402" s="282"/>
      <c r="E402" s="282"/>
      <c r="F402" s="275"/>
      <c r="G402" s="275"/>
      <c r="H402" s="275"/>
      <c r="I402" s="282"/>
      <c r="J402" s="282"/>
      <c r="K402" s="282"/>
      <c r="L402" s="282"/>
      <c r="M402" s="282"/>
      <c r="N402" s="275"/>
      <c r="O402" s="275"/>
      <c r="P402" s="282"/>
      <c r="Q402" s="282"/>
      <c r="R402" s="282"/>
      <c r="S402" s="282"/>
      <c r="T402" s="282"/>
      <c r="U402" s="275"/>
      <c r="V402" s="275"/>
      <c r="W402" s="282"/>
      <c r="X402" s="282"/>
      <c r="Y402" s="282"/>
      <c r="Z402" s="282"/>
      <c r="AA402" s="275"/>
      <c r="AB402" s="275"/>
    </row>
    <row r="403">
      <c r="A403" s="17" t="s">
        <v>866</v>
      </c>
      <c r="B403" s="282"/>
      <c r="C403" s="282"/>
      <c r="D403" s="282"/>
      <c r="E403" s="282"/>
      <c r="F403" s="275"/>
      <c r="G403" s="275"/>
      <c r="H403" s="275"/>
      <c r="I403" s="282"/>
      <c r="J403" s="282"/>
      <c r="K403" s="282"/>
      <c r="L403" s="282"/>
      <c r="M403" s="282"/>
      <c r="N403" s="275"/>
      <c r="O403" s="275"/>
      <c r="P403" s="282"/>
      <c r="Q403" s="282"/>
      <c r="R403" s="282"/>
      <c r="S403" s="282"/>
      <c r="T403" s="282"/>
      <c r="U403" s="275"/>
      <c r="V403" s="275"/>
      <c r="W403" s="282"/>
      <c r="X403" s="282"/>
      <c r="Y403" s="288"/>
      <c r="Z403" s="282"/>
      <c r="AA403" s="275"/>
      <c r="AB403" s="275"/>
    </row>
    <row r="404">
      <c r="A404" s="17" t="s">
        <v>867</v>
      </c>
      <c r="B404" s="282"/>
      <c r="C404" s="282"/>
      <c r="D404" s="282"/>
      <c r="E404" s="282"/>
      <c r="F404" s="275"/>
      <c r="G404" s="275"/>
      <c r="H404" s="275"/>
      <c r="I404" s="282"/>
      <c r="J404" s="282"/>
      <c r="K404" s="282"/>
      <c r="L404" s="282"/>
      <c r="M404" s="282"/>
      <c r="N404" s="275"/>
      <c r="O404" s="275"/>
      <c r="P404" s="282"/>
      <c r="Q404" s="282"/>
      <c r="R404" s="282"/>
      <c r="S404" s="282"/>
      <c r="T404" s="282"/>
      <c r="U404" s="275"/>
      <c r="V404" s="275"/>
      <c r="W404" s="282"/>
      <c r="X404" s="282"/>
      <c r="Y404" s="288"/>
      <c r="Z404" s="282"/>
      <c r="AA404" s="275"/>
      <c r="AB404" s="275"/>
    </row>
    <row r="405">
      <c r="A405" s="17" t="s">
        <v>818</v>
      </c>
      <c r="B405" s="285"/>
      <c r="C405" s="285"/>
      <c r="D405" s="282"/>
      <c r="E405" s="282"/>
      <c r="F405" s="282"/>
      <c r="G405" s="282"/>
      <c r="H405" s="275"/>
      <c r="I405" s="282"/>
      <c r="J405" s="282"/>
      <c r="K405" s="282"/>
      <c r="L405" s="282"/>
      <c r="M405" s="282"/>
      <c r="N405" s="275"/>
      <c r="O405" s="275"/>
      <c r="P405" s="318">
        <v>57.5</v>
      </c>
      <c r="Q405" s="318">
        <v>57.5</v>
      </c>
      <c r="R405" s="282"/>
      <c r="S405" s="288"/>
      <c r="T405" s="282"/>
      <c r="U405" s="275"/>
      <c r="V405" s="275"/>
      <c r="W405" s="282"/>
      <c r="X405" s="282"/>
      <c r="Y405" s="282"/>
      <c r="Z405" s="282"/>
      <c r="AA405" s="275"/>
      <c r="AB405" s="275"/>
    </row>
    <row r="406">
      <c r="A406" s="17" t="s">
        <v>827</v>
      </c>
      <c r="B406" s="285"/>
      <c r="C406" s="285"/>
      <c r="D406" s="282"/>
      <c r="E406" s="282"/>
      <c r="F406" s="282"/>
      <c r="G406" s="282"/>
      <c r="H406" s="275"/>
      <c r="I406" s="282"/>
      <c r="J406" s="282"/>
      <c r="K406" s="282"/>
      <c r="L406" s="282"/>
      <c r="M406" s="282"/>
      <c r="N406" s="275"/>
      <c r="O406" s="275"/>
      <c r="P406" s="318">
        <v>57.5</v>
      </c>
      <c r="Q406" s="318">
        <v>57.5</v>
      </c>
      <c r="R406" s="282"/>
      <c r="S406" s="288"/>
      <c r="T406" s="282"/>
      <c r="U406" s="275"/>
      <c r="V406" s="275"/>
      <c r="W406" s="282"/>
      <c r="X406" s="282"/>
      <c r="Y406" s="282"/>
      <c r="Z406" s="282"/>
      <c r="AA406" s="275"/>
      <c r="AB406" s="275"/>
    </row>
    <row r="407">
      <c r="A407" s="20" t="s">
        <v>832</v>
      </c>
      <c r="B407" s="282"/>
      <c r="C407" s="282"/>
      <c r="D407" s="282"/>
      <c r="E407" s="282"/>
      <c r="F407" s="282"/>
      <c r="G407" s="275"/>
      <c r="H407" s="275"/>
      <c r="I407" s="282"/>
      <c r="J407" s="282"/>
      <c r="K407" s="282"/>
      <c r="L407" s="282"/>
      <c r="M407" s="282"/>
      <c r="N407" s="275"/>
      <c r="O407" s="275"/>
      <c r="P407" s="282"/>
      <c r="Q407" s="282"/>
      <c r="R407" s="282"/>
      <c r="S407" s="282"/>
      <c r="T407" s="282"/>
      <c r="U407" s="275"/>
      <c r="V407" s="275"/>
      <c r="W407" s="288"/>
      <c r="X407" s="288"/>
      <c r="Y407" s="288"/>
      <c r="Z407" s="288"/>
      <c r="AA407" s="275"/>
      <c r="AB407" s="275"/>
    </row>
    <row r="408">
      <c r="A408" s="20" t="s">
        <v>835</v>
      </c>
      <c r="B408" s="282"/>
      <c r="C408" s="282"/>
      <c r="D408" s="282"/>
      <c r="E408" s="282"/>
      <c r="F408" s="282"/>
      <c r="G408" s="275"/>
      <c r="H408" s="275"/>
      <c r="I408" s="282"/>
      <c r="J408" s="282"/>
      <c r="K408" s="282"/>
      <c r="L408" s="282"/>
      <c r="M408" s="282"/>
      <c r="N408" s="275"/>
      <c r="O408" s="275"/>
      <c r="P408" s="282"/>
      <c r="Q408" s="282"/>
      <c r="R408" s="282"/>
      <c r="S408" s="282"/>
      <c r="T408" s="282"/>
      <c r="U408" s="275"/>
      <c r="V408" s="275"/>
      <c r="W408" s="288"/>
      <c r="X408" s="288"/>
      <c r="Y408" s="288"/>
      <c r="Z408" s="288"/>
      <c r="AA408" s="275"/>
      <c r="AB408" s="275"/>
    </row>
    <row r="409">
      <c r="A409" s="272" t="s">
        <v>824</v>
      </c>
      <c r="B409" s="282"/>
      <c r="C409" s="282"/>
      <c r="D409" s="282"/>
      <c r="E409" s="282"/>
      <c r="F409" s="275"/>
      <c r="G409" s="275"/>
      <c r="H409" s="275"/>
      <c r="I409" s="282"/>
      <c r="J409" s="282"/>
      <c r="K409" s="282"/>
      <c r="L409" s="282"/>
      <c r="M409" s="275"/>
      <c r="N409" s="275"/>
      <c r="O409" s="275"/>
      <c r="P409" s="282"/>
      <c r="Q409" s="288"/>
      <c r="R409" s="282"/>
      <c r="S409" s="288"/>
      <c r="T409" s="285"/>
      <c r="U409" s="275"/>
      <c r="V409" s="275"/>
      <c r="W409" s="288"/>
      <c r="X409" s="292"/>
      <c r="Y409" s="292"/>
      <c r="Z409" s="282"/>
      <c r="AA409" s="275"/>
      <c r="AB409" s="275"/>
    </row>
    <row r="410">
      <c r="A410" s="67" t="s">
        <v>869</v>
      </c>
      <c r="B410" s="282"/>
      <c r="C410" s="282"/>
      <c r="D410" s="282"/>
      <c r="E410" s="282"/>
      <c r="F410" s="282"/>
      <c r="G410" s="275"/>
      <c r="H410" s="275"/>
      <c r="I410" s="282"/>
      <c r="J410" s="292"/>
      <c r="K410" s="282"/>
      <c r="L410" s="282"/>
      <c r="M410" s="282"/>
      <c r="N410" s="275"/>
      <c r="O410" s="275"/>
      <c r="P410" s="285"/>
      <c r="Q410" s="285"/>
      <c r="R410" s="285"/>
      <c r="S410" s="285"/>
      <c r="T410" s="112"/>
      <c r="U410" s="275"/>
      <c r="V410" s="275"/>
      <c r="W410" s="282"/>
      <c r="X410" s="282"/>
      <c r="Y410" s="282"/>
      <c r="Z410" s="288"/>
      <c r="AA410" s="288"/>
      <c r="AB410" s="275"/>
    </row>
    <row r="411">
      <c r="A411" s="272" t="s">
        <v>825</v>
      </c>
      <c r="B411" s="275"/>
      <c r="C411" s="275"/>
      <c r="D411" s="275"/>
      <c r="E411" s="275"/>
      <c r="F411" s="275"/>
      <c r="G411" s="275"/>
      <c r="H411" s="275"/>
      <c r="I411" s="275"/>
      <c r="J411" s="275"/>
      <c r="K411" s="319"/>
      <c r="L411" s="319"/>
      <c r="M411" s="319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  <c r="AB411" s="275"/>
    </row>
    <row r="412">
      <c r="A412" s="272" t="s">
        <v>826</v>
      </c>
      <c r="B412" s="275"/>
      <c r="C412" s="275"/>
      <c r="D412" s="275"/>
      <c r="E412" s="275"/>
      <c r="F412" s="275"/>
      <c r="G412" s="275"/>
      <c r="H412" s="275"/>
      <c r="I412" s="275"/>
      <c r="J412" s="275"/>
      <c r="K412" s="319"/>
      <c r="L412" s="319"/>
      <c r="M412" s="319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  <c r="AB412" s="275"/>
    </row>
    <row r="413">
      <c r="A413" s="274" t="s">
        <v>680</v>
      </c>
      <c r="B413" s="275"/>
      <c r="C413" s="275"/>
      <c r="D413" s="275"/>
      <c r="E413" s="275"/>
      <c r="F413" s="275"/>
      <c r="G413" s="275"/>
      <c r="H413" s="275"/>
      <c r="I413" s="275"/>
      <c r="J413" s="275"/>
      <c r="K413" s="319"/>
      <c r="L413" s="319"/>
      <c r="M413" s="319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  <c r="AB413" s="275"/>
    </row>
    <row r="414">
      <c r="A414" s="274" t="s">
        <v>828</v>
      </c>
      <c r="B414" s="275"/>
      <c r="C414" s="275"/>
      <c r="D414" s="275"/>
      <c r="E414" s="275"/>
      <c r="F414" s="275"/>
      <c r="G414" s="275"/>
      <c r="H414" s="275"/>
      <c r="I414" s="275"/>
      <c r="J414" s="275"/>
      <c r="K414" s="319"/>
      <c r="L414" s="319"/>
      <c r="M414" s="319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  <c r="AB414" s="275"/>
    </row>
    <row r="415">
      <c r="A415" s="20" t="s">
        <v>829</v>
      </c>
      <c r="B415" s="275"/>
      <c r="C415" s="275"/>
      <c r="D415" s="275"/>
      <c r="E415" s="275"/>
      <c r="F415" s="275"/>
      <c r="G415" s="275"/>
      <c r="H415" s="275"/>
      <c r="I415" s="275"/>
      <c r="J415" s="275"/>
      <c r="K415" s="319"/>
      <c r="L415" s="319"/>
      <c r="M415" s="319"/>
      <c r="N415" s="275"/>
      <c r="O415" s="275"/>
      <c r="P415" s="282"/>
      <c r="Q415" s="275"/>
      <c r="R415" s="275"/>
      <c r="S415" s="282"/>
      <c r="T415" s="275"/>
      <c r="U415" s="275"/>
      <c r="V415" s="275"/>
      <c r="W415" s="275"/>
      <c r="X415" s="275"/>
      <c r="Y415" s="275"/>
      <c r="Z415" s="275"/>
      <c r="AA415" s="275"/>
      <c r="AB415" s="275"/>
    </row>
    <row r="416">
      <c r="A416" s="20" t="s">
        <v>830</v>
      </c>
      <c r="B416" s="275"/>
      <c r="C416" s="275"/>
      <c r="D416" s="275"/>
      <c r="E416" s="275"/>
      <c r="F416" s="275"/>
      <c r="G416" s="275"/>
      <c r="H416" s="275"/>
      <c r="I416" s="275"/>
      <c r="J416" s="275"/>
      <c r="K416" s="319"/>
      <c r="L416" s="319"/>
      <c r="M416" s="319"/>
      <c r="N416" s="275"/>
      <c r="O416" s="275"/>
      <c r="P416" s="282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  <c r="AB416" s="275"/>
    </row>
    <row r="417">
      <c r="A417" s="67" t="s">
        <v>871</v>
      </c>
      <c r="B417" s="282"/>
      <c r="C417" s="282"/>
      <c r="D417" s="282"/>
      <c r="E417" s="282"/>
      <c r="F417" s="282"/>
      <c r="G417" s="275"/>
      <c r="H417" s="275"/>
      <c r="I417" s="282"/>
      <c r="J417" s="282"/>
      <c r="K417" s="282"/>
      <c r="L417" s="282"/>
      <c r="M417" s="282"/>
      <c r="N417" s="275"/>
      <c r="O417" s="275"/>
      <c r="P417" s="282"/>
      <c r="Q417" s="282"/>
      <c r="R417" s="282"/>
      <c r="S417" s="282"/>
      <c r="T417" s="282"/>
      <c r="U417" s="282"/>
      <c r="V417" s="275"/>
      <c r="W417" s="288"/>
      <c r="X417" s="288"/>
      <c r="Y417" s="288"/>
      <c r="Z417" s="288"/>
      <c r="AA417" s="288"/>
      <c r="AB417" s="282"/>
    </row>
    <row r="418">
      <c r="A418" s="67" t="s">
        <v>948</v>
      </c>
      <c r="B418" s="282"/>
      <c r="C418" s="282"/>
      <c r="D418" s="282"/>
      <c r="E418" s="282"/>
      <c r="F418" s="282"/>
      <c r="G418" s="275"/>
      <c r="H418" s="275"/>
      <c r="I418" s="282"/>
      <c r="J418" s="282"/>
      <c r="K418" s="282"/>
      <c r="L418" s="282"/>
      <c r="M418" s="282"/>
      <c r="N418" s="275"/>
      <c r="O418" s="275"/>
      <c r="P418" s="282"/>
      <c r="Q418" s="282"/>
      <c r="R418" s="282"/>
      <c r="S418" s="282"/>
      <c r="T418" s="282"/>
      <c r="U418" s="282"/>
      <c r="V418" s="275"/>
      <c r="W418" s="288"/>
      <c r="X418" s="288"/>
      <c r="Y418" s="288"/>
      <c r="Z418" s="288"/>
      <c r="AA418" s="288"/>
      <c r="AB418" s="282"/>
    </row>
    <row r="419">
      <c r="A419" s="67" t="s">
        <v>872</v>
      </c>
      <c r="B419" s="282"/>
      <c r="C419" s="282"/>
      <c r="D419" s="282"/>
      <c r="E419" s="282"/>
      <c r="F419" s="282"/>
      <c r="G419" s="275"/>
      <c r="H419" s="275"/>
      <c r="I419" s="282"/>
      <c r="J419" s="282"/>
      <c r="K419" s="282"/>
      <c r="L419" s="282"/>
      <c r="M419" s="282"/>
      <c r="N419" s="275"/>
      <c r="O419" s="275"/>
      <c r="P419" s="282"/>
      <c r="Q419" s="282"/>
      <c r="R419" s="282"/>
      <c r="S419" s="282"/>
      <c r="T419" s="282"/>
      <c r="U419" s="282"/>
      <c r="V419" s="275"/>
      <c r="W419" s="288"/>
      <c r="X419" s="288"/>
      <c r="Y419" s="288"/>
      <c r="Z419" s="288"/>
      <c r="AA419" s="288"/>
      <c r="AB419" s="282"/>
    </row>
    <row r="420">
      <c r="A420" s="67" t="s">
        <v>747</v>
      </c>
      <c r="B420" s="282"/>
      <c r="C420" s="282"/>
      <c r="D420" s="282"/>
      <c r="E420" s="282"/>
      <c r="F420" s="282"/>
      <c r="G420" s="275"/>
      <c r="H420" s="275"/>
      <c r="I420" s="282"/>
      <c r="J420" s="282"/>
      <c r="K420" s="282"/>
      <c r="L420" s="282"/>
      <c r="M420" s="282"/>
      <c r="N420" s="275"/>
      <c r="O420" s="275"/>
      <c r="P420" s="282"/>
      <c r="Q420" s="282"/>
      <c r="R420" s="282"/>
      <c r="S420" s="282"/>
      <c r="T420" s="282"/>
      <c r="U420" s="282"/>
      <c r="V420" s="275"/>
      <c r="W420" s="288"/>
      <c r="X420" s="288"/>
      <c r="Y420" s="288"/>
      <c r="Z420" s="288"/>
      <c r="AA420" s="288"/>
      <c r="AB420" s="282"/>
    </row>
    <row r="421">
      <c r="A421" s="67" t="s">
        <v>949</v>
      </c>
      <c r="B421" s="282"/>
      <c r="C421" s="282"/>
      <c r="D421" s="282"/>
      <c r="E421" s="282"/>
      <c r="F421" s="282"/>
      <c r="G421" s="275"/>
      <c r="H421" s="275"/>
      <c r="I421" s="282"/>
      <c r="J421" s="282"/>
      <c r="K421" s="282"/>
      <c r="L421" s="282"/>
      <c r="M421" s="282"/>
      <c r="N421" s="275"/>
      <c r="O421" s="275"/>
      <c r="P421" s="282"/>
      <c r="Q421" s="282"/>
      <c r="R421" s="282"/>
      <c r="S421" s="282"/>
      <c r="T421" s="282"/>
      <c r="U421" s="282"/>
      <c r="V421" s="275"/>
      <c r="W421" s="288"/>
      <c r="X421" s="288"/>
      <c r="Y421" s="288"/>
      <c r="Z421" s="288"/>
      <c r="AA421" s="288"/>
      <c r="AB421" s="282"/>
    </row>
    <row r="422">
      <c r="A422" s="67" t="s">
        <v>954</v>
      </c>
      <c r="B422" s="282"/>
      <c r="C422" s="282"/>
      <c r="D422" s="282"/>
      <c r="E422" s="282"/>
      <c r="F422" s="282"/>
      <c r="G422" s="275"/>
      <c r="H422" s="275"/>
      <c r="I422" s="282"/>
      <c r="J422" s="282"/>
      <c r="K422" s="282"/>
      <c r="L422" s="282"/>
      <c r="M422" s="282"/>
      <c r="N422" s="275"/>
      <c r="O422" s="275"/>
      <c r="P422" s="282"/>
      <c r="Q422" s="282"/>
      <c r="R422" s="282"/>
      <c r="S422" s="282"/>
      <c r="T422" s="282"/>
      <c r="U422" s="282"/>
      <c r="V422" s="275"/>
      <c r="W422" s="288"/>
      <c r="X422" s="288"/>
      <c r="Y422" s="288"/>
      <c r="Z422" s="288"/>
      <c r="AA422" s="288"/>
      <c r="AB422" s="275"/>
    </row>
    <row r="423">
      <c r="A423" s="20" t="s">
        <v>12</v>
      </c>
      <c r="B423" s="275"/>
      <c r="C423" s="275"/>
      <c r="D423" s="275"/>
      <c r="E423" s="275"/>
      <c r="F423" s="275"/>
      <c r="G423" s="275"/>
      <c r="H423" s="275"/>
      <c r="I423" s="275"/>
      <c r="J423" s="282"/>
      <c r="K423" s="319"/>
      <c r="L423" s="319"/>
      <c r="M423" s="319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88"/>
      <c r="Y423" s="282"/>
      <c r="Z423" s="282"/>
      <c r="AA423" s="275"/>
      <c r="AB423" s="275"/>
    </row>
    <row r="424">
      <c r="A424" s="20" t="s">
        <v>838</v>
      </c>
      <c r="B424" s="282"/>
      <c r="C424" s="275"/>
      <c r="D424" s="275"/>
      <c r="E424" s="282"/>
      <c r="F424" s="275"/>
      <c r="G424" s="275"/>
      <c r="H424" s="275"/>
      <c r="I424" s="282"/>
      <c r="J424" s="275"/>
      <c r="K424" s="319"/>
      <c r="L424" s="319"/>
      <c r="M424" s="319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82"/>
      <c r="Y424" s="282"/>
      <c r="Z424" s="282"/>
      <c r="AA424" s="275"/>
      <c r="AB424" s="275"/>
    </row>
    <row r="425">
      <c r="A425" s="67" t="s">
        <v>822</v>
      </c>
      <c r="B425" s="285"/>
      <c r="C425" s="285"/>
      <c r="D425" s="285"/>
      <c r="E425" s="285"/>
      <c r="F425" s="285"/>
      <c r="G425" s="112"/>
      <c r="H425" s="112"/>
      <c r="I425" s="285"/>
      <c r="J425" s="285"/>
      <c r="K425" s="321"/>
      <c r="L425" s="321"/>
      <c r="M425" s="321"/>
      <c r="N425" s="112"/>
      <c r="O425" s="112"/>
      <c r="P425" s="285"/>
      <c r="Q425" s="285"/>
      <c r="R425" s="285"/>
      <c r="S425" s="285"/>
      <c r="T425" s="285"/>
      <c r="U425" s="112"/>
      <c r="V425" s="112"/>
      <c r="W425" s="285"/>
      <c r="X425" s="285"/>
      <c r="Y425" s="285"/>
      <c r="Z425" s="285"/>
      <c r="AA425" s="285"/>
      <c r="AB425" s="112"/>
    </row>
    <row r="426">
      <c r="A426" s="67" t="s">
        <v>677</v>
      </c>
      <c r="B426" s="285"/>
      <c r="C426" s="285"/>
      <c r="D426" s="282"/>
      <c r="E426" s="282"/>
      <c r="F426" s="285"/>
      <c r="G426" s="112"/>
      <c r="H426" s="112"/>
      <c r="I426" s="285"/>
      <c r="J426" s="285"/>
      <c r="K426" s="321"/>
      <c r="L426" s="321"/>
      <c r="M426" s="321"/>
      <c r="N426" s="285"/>
      <c r="O426" s="112"/>
      <c r="P426" s="285"/>
      <c r="Q426" s="321"/>
      <c r="R426" s="285"/>
      <c r="S426" s="285"/>
      <c r="T426" s="285"/>
      <c r="U426" s="112"/>
      <c r="V426" s="112"/>
      <c r="W426" s="285"/>
      <c r="X426" s="285"/>
      <c r="Y426" s="285"/>
      <c r="Z426" s="285"/>
      <c r="AA426" s="112"/>
      <c r="AB426" s="112"/>
    </row>
    <row r="427">
      <c r="A427" s="67" t="s">
        <v>263</v>
      </c>
      <c r="B427" s="285"/>
      <c r="C427" s="285"/>
      <c r="D427" s="285"/>
      <c r="E427" s="285"/>
      <c r="F427" s="285"/>
      <c r="G427" s="112"/>
      <c r="H427" s="112"/>
      <c r="I427" s="285"/>
      <c r="J427" s="285"/>
      <c r="K427" s="285"/>
      <c r="L427" s="285"/>
      <c r="M427" s="285"/>
      <c r="N427" s="112"/>
      <c r="O427" s="112"/>
      <c r="P427" s="285"/>
      <c r="Q427" s="285"/>
      <c r="R427" s="285"/>
      <c r="S427" s="285"/>
      <c r="T427" s="285"/>
      <c r="U427" s="112"/>
      <c r="V427" s="112"/>
      <c r="W427" s="285"/>
      <c r="X427" s="285"/>
      <c r="Y427" s="285"/>
      <c r="Z427" s="285"/>
      <c r="AA427" s="112"/>
      <c r="AB427" s="112"/>
    </row>
    <row r="428">
      <c r="A428" s="67" t="s">
        <v>944</v>
      </c>
      <c r="B428" s="285"/>
      <c r="C428" s="285"/>
      <c r="D428" s="285"/>
      <c r="E428" s="285"/>
      <c r="F428" s="285"/>
      <c r="G428" s="112"/>
      <c r="H428" s="112"/>
      <c r="I428" s="285"/>
      <c r="J428" s="285"/>
      <c r="K428" s="285"/>
      <c r="L428" s="285"/>
      <c r="M428" s="285"/>
      <c r="N428" s="285"/>
      <c r="O428" s="112"/>
      <c r="P428" s="285"/>
      <c r="Q428" s="285"/>
      <c r="R428" s="285"/>
      <c r="S428" s="285"/>
      <c r="T428" s="285"/>
      <c r="U428" s="112"/>
      <c r="V428" s="112"/>
      <c r="W428" s="285"/>
      <c r="X428" s="285"/>
      <c r="Y428" s="285"/>
      <c r="Z428" s="285"/>
      <c r="AA428" s="285"/>
      <c r="AB428" s="112"/>
    </row>
    <row r="429">
      <c r="A429" s="67" t="s">
        <v>945</v>
      </c>
      <c r="B429" s="112"/>
      <c r="C429" s="112"/>
      <c r="D429" s="112"/>
      <c r="E429" s="112"/>
      <c r="F429" s="112"/>
      <c r="G429" s="112"/>
      <c r="H429" s="112"/>
      <c r="I429" s="285"/>
      <c r="J429" s="112"/>
      <c r="K429" s="321"/>
      <c r="L429" s="322"/>
      <c r="M429" s="322"/>
      <c r="N429" s="112"/>
      <c r="O429" s="112"/>
      <c r="P429" s="285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</row>
    <row r="430">
      <c r="A430" s="67" t="s">
        <v>955</v>
      </c>
      <c r="B430" s="112"/>
      <c r="C430" s="285"/>
      <c r="D430" s="285"/>
      <c r="E430" s="285"/>
      <c r="F430" s="112"/>
      <c r="G430" s="112"/>
      <c r="H430" s="112"/>
      <c r="I430" s="285"/>
      <c r="J430" s="285"/>
      <c r="K430" s="322"/>
      <c r="L430" s="321"/>
      <c r="M430" s="322"/>
      <c r="N430" s="112"/>
      <c r="O430" s="112"/>
      <c r="P430" s="112"/>
      <c r="Q430" s="285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</row>
    <row r="431">
      <c r="A431" s="67" t="s">
        <v>956</v>
      </c>
      <c r="B431" s="112"/>
      <c r="C431" s="285"/>
      <c r="D431" s="285"/>
      <c r="E431" s="285"/>
      <c r="F431" s="112"/>
      <c r="G431" s="112"/>
      <c r="H431" s="112"/>
      <c r="I431" s="285"/>
      <c r="J431" s="285"/>
      <c r="K431" s="112"/>
      <c r="L431" s="285"/>
      <c r="M431" s="112"/>
      <c r="N431" s="112"/>
      <c r="O431" s="112"/>
      <c r="P431" s="112"/>
      <c r="Q431" s="285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</row>
    <row r="432">
      <c r="A432" s="329" t="s">
        <v>1006</v>
      </c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330">
        <v>57.5</v>
      </c>
      <c r="T432" s="77"/>
      <c r="U432" s="77"/>
      <c r="V432" s="77"/>
      <c r="W432" s="77"/>
      <c r="X432" s="77"/>
      <c r="Y432" s="77"/>
      <c r="Z432" s="77"/>
      <c r="AA432" s="77"/>
      <c r="AB432" s="77"/>
    </row>
    <row r="434">
      <c r="A434" s="251" t="s">
        <v>788</v>
      </c>
      <c r="B434" s="252" t="s">
        <v>25</v>
      </c>
      <c r="C434" s="253" t="s">
        <v>789</v>
      </c>
      <c r="D434" s="253" t="s">
        <v>27</v>
      </c>
      <c r="E434" s="253" t="s">
        <v>2</v>
      </c>
      <c r="F434" s="253" t="s">
        <v>3</v>
      </c>
      <c r="G434" s="254" t="s">
        <v>790</v>
      </c>
      <c r="H434" s="255"/>
      <c r="I434" s="253" t="s">
        <v>25</v>
      </c>
      <c r="J434" s="253" t="s">
        <v>789</v>
      </c>
      <c r="K434" s="253" t="s">
        <v>27</v>
      </c>
      <c r="L434" s="253" t="s">
        <v>2</v>
      </c>
      <c r="M434" s="253" t="s">
        <v>3</v>
      </c>
      <c r="N434" s="287" t="s">
        <v>790</v>
      </c>
      <c r="O434" s="255"/>
      <c r="P434" s="253" t="s">
        <v>25</v>
      </c>
      <c r="Q434" s="256" t="s">
        <v>789</v>
      </c>
      <c r="R434" s="253" t="s">
        <v>27</v>
      </c>
      <c r="S434" s="253" t="s">
        <v>2</v>
      </c>
      <c r="T434" s="253" t="s">
        <v>3</v>
      </c>
      <c r="U434" s="254" t="s">
        <v>790</v>
      </c>
      <c r="V434" s="255"/>
      <c r="W434" s="253" t="s">
        <v>25</v>
      </c>
      <c r="X434" s="256" t="s">
        <v>789</v>
      </c>
      <c r="Y434" s="253" t="s">
        <v>27</v>
      </c>
      <c r="Z434" s="253" t="s">
        <v>2</v>
      </c>
      <c r="AA434" s="253" t="s">
        <v>3</v>
      </c>
      <c r="AB434" s="257" t="s">
        <v>790</v>
      </c>
    </row>
    <row r="435">
      <c r="A435" s="206"/>
      <c r="B435" s="260">
        <v>2.02</v>
      </c>
      <c r="C435" s="260">
        <v>3.02</v>
      </c>
      <c r="D435" s="260">
        <v>4.02</v>
      </c>
      <c r="E435" s="260">
        <v>5.02</v>
      </c>
      <c r="F435" s="260">
        <v>6.02</v>
      </c>
      <c r="G435" s="260"/>
      <c r="H435" s="260"/>
      <c r="I435" s="260">
        <v>9.02</v>
      </c>
      <c r="J435" s="260">
        <v>10.02</v>
      </c>
      <c r="K435" s="260">
        <v>11.02</v>
      </c>
      <c r="L435" s="260">
        <v>12.02</v>
      </c>
      <c r="M435" s="260">
        <v>13.02</v>
      </c>
      <c r="N435" s="260"/>
      <c r="O435" s="260"/>
      <c r="P435" s="260">
        <v>16.02</v>
      </c>
      <c r="Q435" s="260">
        <v>17.02</v>
      </c>
      <c r="R435" s="260">
        <v>18.02</v>
      </c>
      <c r="S435" s="260">
        <v>19.02</v>
      </c>
      <c r="T435" s="260">
        <v>20.02</v>
      </c>
      <c r="U435" s="260"/>
      <c r="V435" s="260"/>
      <c r="W435" s="260">
        <v>23.02</v>
      </c>
      <c r="X435" s="260">
        <v>24.02</v>
      </c>
      <c r="Y435" s="260">
        <v>25.02</v>
      </c>
      <c r="Z435" s="260">
        <v>26.02</v>
      </c>
      <c r="AA435" s="260">
        <v>27.02</v>
      </c>
      <c r="AB435" s="260"/>
    </row>
    <row r="436">
      <c r="A436" s="263" t="s">
        <v>816</v>
      </c>
      <c r="B436" s="282"/>
      <c r="C436" s="282"/>
      <c r="D436" s="282"/>
      <c r="E436" s="282"/>
      <c r="F436" s="275"/>
      <c r="G436" s="275"/>
      <c r="H436" s="275"/>
      <c r="I436" s="282"/>
      <c r="J436" s="282"/>
      <c r="K436" s="282"/>
      <c r="L436" s="282"/>
      <c r="M436" s="288"/>
      <c r="N436" s="275"/>
      <c r="O436" s="275"/>
      <c r="P436" s="282"/>
      <c r="Q436" s="288"/>
      <c r="R436" s="282"/>
      <c r="S436" s="288"/>
      <c r="T436" s="275"/>
      <c r="U436" s="275"/>
      <c r="V436" s="275"/>
      <c r="W436" s="282"/>
      <c r="X436" s="282"/>
      <c r="Y436" s="282"/>
      <c r="Z436" s="281"/>
      <c r="AA436" s="282"/>
      <c r="AB436" s="275"/>
    </row>
    <row r="437">
      <c r="A437" s="11" t="s">
        <v>817</v>
      </c>
      <c r="B437" s="282"/>
      <c r="C437" s="282"/>
      <c r="D437" s="282"/>
      <c r="E437" s="282"/>
      <c r="F437" s="275"/>
      <c r="G437" s="275"/>
      <c r="H437" s="275"/>
      <c r="I437" s="282"/>
      <c r="J437" s="282"/>
      <c r="K437" s="282"/>
      <c r="L437" s="282"/>
      <c r="M437" s="288"/>
      <c r="N437" s="275"/>
      <c r="O437" s="275"/>
      <c r="P437" s="282"/>
      <c r="Q437" s="288"/>
      <c r="R437" s="282"/>
      <c r="S437" s="288"/>
      <c r="T437" s="275"/>
      <c r="U437" s="275"/>
      <c r="V437" s="275"/>
      <c r="W437" s="282"/>
      <c r="X437" s="282"/>
      <c r="Y437" s="282"/>
      <c r="Z437" s="281"/>
      <c r="AA437" s="282"/>
      <c r="AB437" s="275"/>
    </row>
    <row r="438">
      <c r="A438" s="17" t="s">
        <v>44</v>
      </c>
      <c r="B438" s="282"/>
      <c r="C438" s="282"/>
      <c r="D438" s="282"/>
      <c r="E438" s="282"/>
      <c r="F438" s="275"/>
      <c r="G438" s="275"/>
      <c r="H438" s="275"/>
      <c r="I438" s="282"/>
      <c r="J438" s="282"/>
      <c r="K438" s="275"/>
      <c r="L438" s="275"/>
      <c r="M438" s="281"/>
      <c r="N438" s="275"/>
      <c r="O438" s="275"/>
      <c r="P438" s="282"/>
      <c r="Q438" s="288"/>
      <c r="R438" s="282"/>
      <c r="S438" s="288"/>
      <c r="T438" s="275"/>
      <c r="U438" s="275"/>
      <c r="V438" s="275"/>
      <c r="W438" s="282"/>
      <c r="X438" s="282"/>
      <c r="Y438" s="282"/>
      <c r="Z438" s="281"/>
      <c r="AA438" s="282"/>
      <c r="AB438" s="275"/>
    </row>
    <row r="439">
      <c r="A439" s="11" t="s">
        <v>310</v>
      </c>
      <c r="B439" s="318">
        <v>57.5</v>
      </c>
      <c r="C439" s="318">
        <v>57.5</v>
      </c>
      <c r="D439" s="318">
        <v>57.5</v>
      </c>
      <c r="E439" s="318">
        <v>57.5</v>
      </c>
      <c r="F439" s="282"/>
      <c r="G439" s="275"/>
      <c r="H439" s="275"/>
      <c r="I439" s="282"/>
      <c r="J439" s="282"/>
      <c r="K439" s="282"/>
      <c r="L439" s="282"/>
      <c r="M439" s="282"/>
      <c r="N439" s="275"/>
      <c r="O439" s="275"/>
      <c r="P439" s="282"/>
      <c r="Q439" s="282"/>
      <c r="R439" s="282"/>
      <c r="S439" s="282"/>
      <c r="T439" s="282"/>
      <c r="U439" s="275"/>
      <c r="V439" s="275"/>
      <c r="W439" s="282"/>
      <c r="X439" s="288"/>
      <c r="Y439" s="282"/>
      <c r="Z439" s="288"/>
      <c r="AA439" s="275"/>
      <c r="AB439" s="275"/>
    </row>
    <row r="440">
      <c r="A440" s="11" t="s">
        <v>819</v>
      </c>
      <c r="B440" s="318">
        <v>57.5</v>
      </c>
      <c r="C440" s="318">
        <v>57.5</v>
      </c>
      <c r="D440" s="318">
        <v>57.5</v>
      </c>
      <c r="E440" s="318">
        <v>57.5</v>
      </c>
      <c r="F440" s="282"/>
      <c r="G440" s="275"/>
      <c r="H440" s="275"/>
      <c r="I440" s="282"/>
      <c r="J440" s="282"/>
      <c r="K440" s="282"/>
      <c r="L440" s="282"/>
      <c r="M440" s="282"/>
      <c r="N440" s="275"/>
      <c r="O440" s="275"/>
      <c r="P440" s="282"/>
      <c r="Q440" s="282"/>
      <c r="R440" s="282"/>
      <c r="S440" s="282"/>
      <c r="T440" s="282"/>
      <c r="U440" s="275"/>
      <c r="V440" s="275"/>
      <c r="W440" s="282"/>
      <c r="X440" s="288"/>
      <c r="Y440" s="282"/>
      <c r="Z440" s="282"/>
      <c r="AA440" s="282"/>
      <c r="AB440" s="282"/>
    </row>
    <row r="441">
      <c r="A441" s="17" t="s">
        <v>735</v>
      </c>
      <c r="B441" s="282"/>
      <c r="C441" s="282"/>
      <c r="D441" s="282"/>
      <c r="E441" s="282"/>
      <c r="F441" s="275"/>
      <c r="G441" s="275"/>
      <c r="H441" s="275"/>
      <c r="I441" s="282"/>
      <c r="J441" s="282"/>
      <c r="K441" s="282"/>
      <c r="L441" s="282"/>
      <c r="M441" s="282"/>
      <c r="N441" s="275"/>
      <c r="O441" s="275"/>
      <c r="P441" s="318">
        <v>57.5</v>
      </c>
      <c r="Q441" s="318">
        <v>57.5</v>
      </c>
      <c r="R441" s="318">
        <v>57.5</v>
      </c>
      <c r="S441" s="282"/>
      <c r="T441" s="282"/>
      <c r="U441" s="275"/>
      <c r="V441" s="275"/>
      <c r="W441" s="282"/>
      <c r="X441" s="282"/>
      <c r="Y441" s="282"/>
      <c r="Z441" s="282"/>
      <c r="AA441" s="275"/>
      <c r="AB441" s="275"/>
    </row>
    <row r="442">
      <c r="A442" s="17" t="s">
        <v>866</v>
      </c>
      <c r="B442" s="282"/>
      <c r="C442" s="282"/>
      <c r="D442" s="282"/>
      <c r="E442" s="282"/>
      <c r="F442" s="275"/>
      <c r="G442" s="275"/>
      <c r="H442" s="275"/>
      <c r="I442" s="282"/>
      <c r="J442" s="282"/>
      <c r="K442" s="282"/>
      <c r="L442" s="282"/>
      <c r="M442" s="282"/>
      <c r="N442" s="275"/>
      <c r="O442" s="275"/>
      <c r="P442" s="318">
        <v>57.5</v>
      </c>
      <c r="Q442" s="318">
        <v>57.5</v>
      </c>
      <c r="R442" s="318">
        <v>57.5</v>
      </c>
      <c r="S442" s="282"/>
      <c r="T442" s="282"/>
      <c r="U442" s="275"/>
      <c r="V442" s="275"/>
      <c r="W442" s="282"/>
      <c r="X442" s="282"/>
      <c r="Y442" s="288"/>
      <c r="Z442" s="282"/>
      <c r="AA442" s="275"/>
      <c r="AB442" s="275"/>
    </row>
    <row r="443">
      <c r="A443" s="17" t="s">
        <v>867</v>
      </c>
      <c r="B443" s="282"/>
      <c r="C443" s="282"/>
      <c r="D443" s="282"/>
      <c r="E443" s="282"/>
      <c r="F443" s="275"/>
      <c r="G443" s="275"/>
      <c r="H443" s="275"/>
      <c r="I443" s="282"/>
      <c r="J443" s="282"/>
      <c r="K443" s="282"/>
      <c r="L443" s="282"/>
      <c r="M443" s="282"/>
      <c r="N443" s="275"/>
      <c r="O443" s="275"/>
      <c r="P443" s="318">
        <v>57.5</v>
      </c>
      <c r="Q443" s="318">
        <v>57.5</v>
      </c>
      <c r="R443" s="318">
        <v>57.5</v>
      </c>
      <c r="S443" s="282"/>
      <c r="T443" s="282"/>
      <c r="U443" s="275"/>
      <c r="V443" s="275"/>
      <c r="W443" s="282"/>
      <c r="X443" s="282"/>
      <c r="Y443" s="288"/>
      <c r="Z443" s="282"/>
      <c r="AA443" s="275"/>
      <c r="AB443" s="275"/>
    </row>
    <row r="444">
      <c r="A444" s="17" t="s">
        <v>818</v>
      </c>
      <c r="B444" s="285"/>
      <c r="C444" s="285"/>
      <c r="D444" s="282"/>
      <c r="E444" s="282"/>
      <c r="F444" s="282"/>
      <c r="G444" s="282"/>
      <c r="H444" s="275"/>
      <c r="I444" s="282"/>
      <c r="J444" s="282"/>
      <c r="K444" s="282"/>
      <c r="L444" s="282"/>
      <c r="M444" s="282"/>
      <c r="N444" s="275"/>
      <c r="O444" s="275"/>
      <c r="P444" s="282"/>
      <c r="Q444" s="282"/>
      <c r="R444" s="282"/>
      <c r="S444" s="288"/>
      <c r="T444" s="282"/>
      <c r="U444" s="275"/>
      <c r="V444" s="275"/>
      <c r="W444" s="282"/>
      <c r="X444" s="282"/>
      <c r="Y444" s="282"/>
      <c r="Z444" s="282"/>
      <c r="AA444" s="275"/>
      <c r="AB444" s="275"/>
    </row>
    <row r="445">
      <c r="A445" s="17" t="s">
        <v>827</v>
      </c>
      <c r="B445" s="285"/>
      <c r="C445" s="285"/>
      <c r="D445" s="282"/>
      <c r="E445" s="282"/>
      <c r="F445" s="282"/>
      <c r="G445" s="282"/>
      <c r="H445" s="275"/>
      <c r="I445" s="282"/>
      <c r="J445" s="282"/>
      <c r="K445" s="282"/>
      <c r="L445" s="282"/>
      <c r="M445" s="282"/>
      <c r="N445" s="275"/>
      <c r="O445" s="275"/>
      <c r="P445" s="282"/>
      <c r="Q445" s="282"/>
      <c r="R445" s="282"/>
      <c r="S445" s="288"/>
      <c r="T445" s="282"/>
      <c r="U445" s="275"/>
      <c r="V445" s="275"/>
      <c r="W445" s="282"/>
      <c r="X445" s="282"/>
      <c r="Y445" s="282"/>
      <c r="Z445" s="282"/>
      <c r="AA445" s="275"/>
      <c r="AB445" s="275"/>
    </row>
    <row r="446">
      <c r="A446" s="20" t="s">
        <v>832</v>
      </c>
      <c r="B446" s="282"/>
      <c r="C446" s="282"/>
      <c r="D446" s="282"/>
      <c r="E446" s="282"/>
      <c r="F446" s="282"/>
      <c r="G446" s="275"/>
      <c r="H446" s="275"/>
      <c r="I446" s="282"/>
      <c r="J446" s="282"/>
      <c r="K446" s="282"/>
      <c r="L446" s="282"/>
      <c r="M446" s="282"/>
      <c r="N446" s="275"/>
      <c r="O446" s="275"/>
      <c r="P446" s="282"/>
      <c r="Q446" s="282"/>
      <c r="R446" s="282"/>
      <c r="S446" s="282"/>
      <c r="T446" s="282"/>
      <c r="U446" s="275"/>
      <c r="V446" s="275"/>
      <c r="W446" s="288"/>
      <c r="X446" s="288"/>
      <c r="Y446" s="288"/>
      <c r="Z446" s="288"/>
      <c r="AA446" s="275"/>
      <c r="AB446" s="275"/>
    </row>
    <row r="447">
      <c r="A447" s="20" t="s">
        <v>835</v>
      </c>
      <c r="B447" s="282"/>
      <c r="C447" s="282"/>
      <c r="D447" s="282"/>
      <c r="E447" s="282"/>
      <c r="F447" s="282"/>
      <c r="G447" s="275"/>
      <c r="H447" s="275"/>
      <c r="I447" s="282"/>
      <c r="J447" s="282"/>
      <c r="K447" s="282"/>
      <c r="L447" s="282"/>
      <c r="M447" s="282"/>
      <c r="N447" s="275"/>
      <c r="O447" s="275"/>
      <c r="P447" s="282"/>
      <c r="Q447" s="282"/>
      <c r="R447" s="282"/>
      <c r="S447" s="282"/>
      <c r="T447" s="282"/>
      <c r="U447" s="275"/>
      <c r="V447" s="275"/>
      <c r="W447" s="288"/>
      <c r="X447" s="288"/>
      <c r="Y447" s="288"/>
      <c r="Z447" s="288"/>
      <c r="AA447" s="275"/>
      <c r="AB447" s="275"/>
    </row>
    <row r="448">
      <c r="A448" s="272" t="s">
        <v>824</v>
      </c>
      <c r="B448" s="282"/>
      <c r="C448" s="282"/>
      <c r="D448" s="282"/>
      <c r="E448" s="282"/>
      <c r="F448" s="275"/>
      <c r="G448" s="275"/>
      <c r="H448" s="275"/>
      <c r="I448" s="282"/>
      <c r="J448" s="282"/>
      <c r="K448" s="282"/>
      <c r="L448" s="282"/>
      <c r="M448" s="275"/>
      <c r="N448" s="275"/>
      <c r="O448" s="275"/>
      <c r="P448" s="282"/>
      <c r="Q448" s="288"/>
      <c r="R448" s="282"/>
      <c r="S448" s="288"/>
      <c r="T448" s="285"/>
      <c r="U448" s="275"/>
      <c r="V448" s="275"/>
      <c r="W448" s="288"/>
      <c r="X448" s="292"/>
      <c r="Y448" s="292"/>
      <c r="Z448" s="282"/>
      <c r="AA448" s="275"/>
      <c r="AB448" s="275"/>
    </row>
    <row r="449">
      <c r="A449" s="67" t="s">
        <v>869</v>
      </c>
      <c r="B449" s="282"/>
      <c r="C449" s="282"/>
      <c r="D449" s="282"/>
      <c r="E449" s="282"/>
      <c r="F449" s="282"/>
      <c r="G449" s="275"/>
      <c r="H449" s="275"/>
      <c r="I449" s="282"/>
      <c r="J449" s="292"/>
      <c r="K449" s="282"/>
      <c r="L449" s="282"/>
      <c r="M449" s="282"/>
      <c r="N449" s="275"/>
      <c r="O449" s="275"/>
      <c r="P449" s="285"/>
      <c r="Q449" s="285"/>
      <c r="R449" s="285"/>
      <c r="S449" s="285"/>
      <c r="T449" s="112"/>
      <c r="U449" s="275"/>
      <c r="V449" s="275"/>
      <c r="W449" s="282"/>
      <c r="X449" s="282"/>
      <c r="Y449" s="282"/>
      <c r="Z449" s="288"/>
      <c r="AA449" s="288"/>
      <c r="AB449" s="275"/>
    </row>
    <row r="450">
      <c r="A450" s="272" t="s">
        <v>825</v>
      </c>
      <c r="B450" s="275"/>
      <c r="C450" s="275"/>
      <c r="D450" s="275"/>
      <c r="E450" s="275"/>
      <c r="F450" s="275"/>
      <c r="G450" s="275"/>
      <c r="H450" s="275"/>
      <c r="I450" s="275"/>
      <c r="J450" s="275"/>
      <c r="K450" s="319"/>
      <c r="L450" s="319"/>
      <c r="M450" s="319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  <c r="AB450" s="275"/>
    </row>
    <row r="451">
      <c r="A451" s="272" t="s">
        <v>826</v>
      </c>
      <c r="B451" s="330">
        <v>57.5</v>
      </c>
      <c r="C451" s="330">
        <v>57.5</v>
      </c>
      <c r="D451" s="330">
        <v>57.5</v>
      </c>
      <c r="E451" s="330">
        <v>57.5</v>
      </c>
      <c r="F451" s="330">
        <v>57.5</v>
      </c>
      <c r="G451" s="275"/>
      <c r="H451" s="275"/>
      <c r="I451" s="330">
        <v>57.5</v>
      </c>
      <c r="J451" s="330">
        <v>57.5</v>
      </c>
      <c r="K451" s="330">
        <v>57.5</v>
      </c>
      <c r="L451" s="330">
        <v>57.5</v>
      </c>
      <c r="M451" s="285"/>
      <c r="N451" s="275"/>
      <c r="O451" s="275"/>
      <c r="P451" s="330">
        <v>57.5</v>
      </c>
      <c r="Q451" s="330">
        <v>57.5</v>
      </c>
      <c r="R451" s="330">
        <v>57.5</v>
      </c>
      <c r="S451" s="285"/>
      <c r="T451" s="275"/>
      <c r="U451" s="275"/>
      <c r="V451" s="275"/>
      <c r="W451" s="275"/>
      <c r="X451" s="275"/>
      <c r="Y451" s="275"/>
      <c r="Z451" s="275"/>
      <c r="AA451" s="275"/>
      <c r="AB451" s="275"/>
    </row>
    <row r="452">
      <c r="A452" s="274" t="s">
        <v>680</v>
      </c>
      <c r="B452" s="275"/>
      <c r="C452" s="275"/>
      <c r="D452" s="275"/>
      <c r="E452" s="275"/>
      <c r="F452" s="275"/>
      <c r="G452" s="275"/>
      <c r="H452" s="275"/>
      <c r="I452" s="275"/>
      <c r="J452" s="275"/>
      <c r="K452" s="319"/>
      <c r="L452" s="319"/>
      <c r="M452" s="319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  <c r="AB452" s="275"/>
    </row>
    <row r="453">
      <c r="A453" s="274" t="s">
        <v>828</v>
      </c>
      <c r="B453" s="275"/>
      <c r="C453" s="275"/>
      <c r="D453" s="275"/>
      <c r="E453" s="275"/>
      <c r="F453" s="275"/>
      <c r="G453" s="275"/>
      <c r="H453" s="275"/>
      <c r="I453" s="275"/>
      <c r="J453" s="275"/>
      <c r="K453" s="319"/>
      <c r="L453" s="319"/>
      <c r="M453" s="319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  <c r="AB453" s="275"/>
    </row>
    <row r="454">
      <c r="A454" s="20" t="s">
        <v>829</v>
      </c>
      <c r="B454" s="275"/>
      <c r="C454" s="275"/>
      <c r="D454" s="275"/>
      <c r="E454" s="275"/>
      <c r="F454" s="275"/>
      <c r="G454" s="275"/>
      <c r="H454" s="275"/>
      <c r="I454" s="275"/>
      <c r="J454" s="275"/>
      <c r="K454" s="319"/>
      <c r="L454" s="319"/>
      <c r="M454" s="319"/>
      <c r="N454" s="275"/>
      <c r="O454" s="275"/>
      <c r="P454" s="282"/>
      <c r="Q454" s="275"/>
      <c r="R454" s="275"/>
      <c r="S454" s="282"/>
      <c r="T454" s="275"/>
      <c r="U454" s="275"/>
      <c r="V454" s="275"/>
      <c r="W454" s="275"/>
      <c r="X454" s="275"/>
      <c r="Y454" s="275"/>
      <c r="Z454" s="275"/>
      <c r="AA454" s="275"/>
      <c r="AB454" s="275"/>
    </row>
    <row r="455">
      <c r="A455" s="20" t="s">
        <v>830</v>
      </c>
      <c r="B455" s="275"/>
      <c r="C455" s="275"/>
      <c r="D455" s="275"/>
      <c r="E455" s="275"/>
      <c r="F455" s="275"/>
      <c r="G455" s="275"/>
      <c r="H455" s="275"/>
      <c r="I455" s="275"/>
      <c r="J455" s="275"/>
      <c r="K455" s="319"/>
      <c r="L455" s="319"/>
      <c r="M455" s="319"/>
      <c r="N455" s="275"/>
      <c r="O455" s="275"/>
      <c r="P455" s="282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  <c r="AB455" s="275"/>
    </row>
    <row r="456">
      <c r="A456" s="67" t="s">
        <v>871</v>
      </c>
      <c r="B456" s="282"/>
      <c r="C456" s="282"/>
      <c r="D456" s="282"/>
      <c r="E456" s="282"/>
      <c r="F456" s="282"/>
      <c r="G456" s="275"/>
      <c r="H456" s="275"/>
      <c r="I456" s="282"/>
      <c r="J456" s="282"/>
      <c r="K456" s="282"/>
      <c r="L456" s="282"/>
      <c r="M456" s="282"/>
      <c r="N456" s="275"/>
      <c r="O456" s="275"/>
      <c r="P456" s="282"/>
      <c r="Q456" s="282"/>
      <c r="R456" s="282"/>
      <c r="S456" s="282"/>
      <c r="T456" s="282"/>
      <c r="U456" s="282"/>
      <c r="V456" s="275"/>
      <c r="W456" s="288"/>
      <c r="X456" s="288"/>
      <c r="Y456" s="288"/>
      <c r="Z456" s="288"/>
      <c r="AA456" s="288"/>
      <c r="AB456" s="282"/>
    </row>
    <row r="457">
      <c r="A457" s="67" t="s">
        <v>948</v>
      </c>
      <c r="B457" s="282"/>
      <c r="C457" s="282"/>
      <c r="D457" s="282"/>
      <c r="E457" s="282"/>
      <c r="F457" s="282"/>
      <c r="G457" s="275"/>
      <c r="H457" s="275"/>
      <c r="I457" s="282"/>
      <c r="J457" s="282"/>
      <c r="K457" s="282"/>
      <c r="L457" s="282"/>
      <c r="M457" s="282"/>
      <c r="N457" s="275"/>
      <c r="O457" s="275"/>
      <c r="P457" s="282"/>
      <c r="Q457" s="282"/>
      <c r="R457" s="282"/>
      <c r="S457" s="282"/>
      <c r="T457" s="282"/>
      <c r="U457" s="282"/>
      <c r="V457" s="275"/>
      <c r="W457" s="288"/>
      <c r="X457" s="288"/>
      <c r="Y457" s="288"/>
      <c r="Z457" s="288"/>
      <c r="AA457" s="288"/>
      <c r="AB457" s="282"/>
    </row>
    <row r="458">
      <c r="A458" s="67" t="s">
        <v>872</v>
      </c>
      <c r="B458" s="282"/>
      <c r="C458" s="282"/>
      <c r="D458" s="282"/>
      <c r="E458" s="282"/>
      <c r="F458" s="282"/>
      <c r="G458" s="275"/>
      <c r="H458" s="275"/>
      <c r="I458" s="282"/>
      <c r="J458" s="282"/>
      <c r="K458" s="282"/>
      <c r="L458" s="282"/>
      <c r="M458" s="282"/>
      <c r="N458" s="275"/>
      <c r="O458" s="275"/>
      <c r="P458" s="282"/>
      <c r="Q458" s="282"/>
      <c r="R458" s="282"/>
      <c r="S458" s="282"/>
      <c r="T458" s="282"/>
      <c r="U458" s="282"/>
      <c r="V458" s="275"/>
      <c r="W458" s="288"/>
      <c r="X458" s="288"/>
      <c r="Y458" s="288"/>
      <c r="Z458" s="288"/>
      <c r="AA458" s="288"/>
      <c r="AB458" s="282"/>
    </row>
    <row r="459">
      <c r="A459" s="67" t="s">
        <v>747</v>
      </c>
      <c r="B459" s="282"/>
      <c r="C459" s="282"/>
      <c r="D459" s="282"/>
      <c r="E459" s="282"/>
      <c r="F459" s="282"/>
      <c r="G459" s="275"/>
      <c r="H459" s="275"/>
      <c r="I459" s="282"/>
      <c r="J459" s="282"/>
      <c r="K459" s="282"/>
      <c r="L459" s="282"/>
      <c r="M459" s="282"/>
      <c r="N459" s="275"/>
      <c r="O459" s="275"/>
      <c r="P459" s="282"/>
      <c r="Q459" s="282"/>
      <c r="R459" s="282"/>
      <c r="S459" s="282"/>
      <c r="T459" s="282"/>
      <c r="U459" s="282"/>
      <c r="V459" s="275"/>
      <c r="W459" s="288"/>
      <c r="X459" s="288"/>
      <c r="Y459" s="288"/>
      <c r="Z459" s="288"/>
      <c r="AA459" s="288"/>
      <c r="AB459" s="282"/>
    </row>
    <row r="460">
      <c r="A460" s="67" t="s">
        <v>949</v>
      </c>
      <c r="B460" s="282"/>
      <c r="C460" s="282"/>
      <c r="D460" s="282"/>
      <c r="E460" s="282"/>
      <c r="F460" s="282"/>
      <c r="G460" s="275"/>
      <c r="H460" s="275"/>
      <c r="I460" s="282"/>
      <c r="J460" s="282"/>
      <c r="K460" s="282"/>
      <c r="L460" s="282"/>
      <c r="M460" s="282"/>
      <c r="N460" s="275"/>
      <c r="O460" s="275"/>
      <c r="P460" s="282"/>
      <c r="Q460" s="282"/>
      <c r="R460" s="282"/>
      <c r="S460" s="282"/>
      <c r="T460" s="282"/>
      <c r="U460" s="282"/>
      <c r="V460" s="275"/>
      <c r="W460" s="288"/>
      <c r="X460" s="288"/>
      <c r="Y460" s="288"/>
      <c r="Z460" s="288"/>
      <c r="AA460" s="288"/>
      <c r="AB460" s="282"/>
    </row>
    <row r="461">
      <c r="A461" s="67" t="s">
        <v>954</v>
      </c>
      <c r="B461" s="282"/>
      <c r="C461" s="282"/>
      <c r="D461" s="282"/>
      <c r="E461" s="282"/>
      <c r="F461" s="282"/>
      <c r="G461" s="275"/>
      <c r="H461" s="275"/>
      <c r="I461" s="282"/>
      <c r="J461" s="282"/>
      <c r="K461" s="282"/>
      <c r="L461" s="282"/>
      <c r="M461" s="282"/>
      <c r="N461" s="275"/>
      <c r="O461" s="275"/>
      <c r="P461" s="282"/>
      <c r="Q461" s="282"/>
      <c r="R461" s="282"/>
      <c r="S461" s="282"/>
      <c r="T461" s="282"/>
      <c r="U461" s="282"/>
      <c r="V461" s="275"/>
      <c r="W461" s="288"/>
      <c r="X461" s="288"/>
      <c r="Y461" s="288"/>
      <c r="Z461" s="288"/>
      <c r="AA461" s="288"/>
      <c r="AB461" s="275"/>
    </row>
    <row r="462">
      <c r="A462" s="20" t="s">
        <v>12</v>
      </c>
      <c r="B462" s="275"/>
      <c r="C462" s="275"/>
      <c r="D462" s="275"/>
      <c r="E462" s="275"/>
      <c r="F462" s="275"/>
      <c r="G462" s="275"/>
      <c r="H462" s="275"/>
      <c r="I462" s="275"/>
      <c r="J462" s="282"/>
      <c r="K462" s="319"/>
      <c r="L462" s="319"/>
      <c r="M462" s="319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88"/>
      <c r="Y462" s="282"/>
      <c r="Z462" s="282"/>
      <c r="AA462" s="275"/>
      <c r="AB462" s="275"/>
    </row>
    <row r="463">
      <c r="A463" s="20" t="s">
        <v>838</v>
      </c>
      <c r="B463" s="282"/>
      <c r="C463" s="275"/>
      <c r="D463" s="275"/>
      <c r="E463" s="282"/>
      <c r="F463" s="275"/>
      <c r="G463" s="275"/>
      <c r="H463" s="275"/>
      <c r="I463" s="282"/>
      <c r="J463" s="275"/>
      <c r="K463" s="319"/>
      <c r="L463" s="319"/>
      <c r="M463" s="319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82"/>
      <c r="Y463" s="282"/>
      <c r="Z463" s="282"/>
      <c r="AA463" s="275"/>
      <c r="AB463" s="275"/>
    </row>
    <row r="464">
      <c r="A464" s="67" t="s">
        <v>822</v>
      </c>
      <c r="B464" s="330">
        <v>57.5</v>
      </c>
      <c r="C464" s="330">
        <v>57.5</v>
      </c>
      <c r="D464" s="330">
        <v>57.5</v>
      </c>
      <c r="E464" s="330">
        <v>57.5</v>
      </c>
      <c r="F464" s="330">
        <v>57.5</v>
      </c>
      <c r="G464" s="112"/>
      <c r="H464" s="112"/>
      <c r="I464" s="330">
        <v>57.5</v>
      </c>
      <c r="J464" s="330">
        <v>57.5</v>
      </c>
      <c r="K464" s="330">
        <v>57.5</v>
      </c>
      <c r="L464" s="330">
        <v>57.5</v>
      </c>
      <c r="M464" s="321"/>
      <c r="N464" s="112"/>
      <c r="O464" s="112"/>
      <c r="P464" s="330">
        <v>57.5</v>
      </c>
      <c r="Q464" s="330">
        <v>57.5</v>
      </c>
      <c r="R464" s="330">
        <v>57.5</v>
      </c>
      <c r="S464" s="285"/>
      <c r="T464" s="285"/>
      <c r="U464" s="112"/>
      <c r="V464" s="112"/>
      <c r="W464" s="285"/>
      <c r="X464" s="285"/>
      <c r="Y464" s="285"/>
      <c r="Z464" s="285"/>
      <c r="AA464" s="285"/>
      <c r="AB464" s="112"/>
    </row>
    <row r="465">
      <c r="A465" s="67" t="s">
        <v>677</v>
      </c>
      <c r="B465" s="285"/>
      <c r="C465" s="285"/>
      <c r="D465" s="282"/>
      <c r="E465" s="282"/>
      <c r="F465" s="285"/>
      <c r="G465" s="112"/>
      <c r="H465" s="112"/>
      <c r="I465" s="285"/>
      <c r="J465" s="285"/>
      <c r="K465" s="321"/>
      <c r="L465" s="321"/>
      <c r="M465" s="321"/>
      <c r="N465" s="285"/>
      <c r="O465" s="112"/>
      <c r="P465" s="285"/>
      <c r="Q465" s="321"/>
      <c r="R465" s="285"/>
      <c r="S465" s="285"/>
      <c r="T465" s="285"/>
      <c r="U465" s="112"/>
      <c r="V465" s="112"/>
      <c r="W465" s="285"/>
      <c r="X465" s="285"/>
      <c r="Y465" s="285"/>
      <c r="Z465" s="285"/>
      <c r="AA465" s="112"/>
      <c r="AB465" s="112"/>
    </row>
    <row r="466">
      <c r="A466" s="67" t="s">
        <v>263</v>
      </c>
      <c r="B466" s="285"/>
      <c r="C466" s="285"/>
      <c r="D466" s="285"/>
      <c r="E466" s="285"/>
      <c r="F466" s="285"/>
      <c r="G466" s="112"/>
      <c r="H466" s="112"/>
      <c r="I466" s="285"/>
      <c r="J466" s="285"/>
      <c r="K466" s="285"/>
      <c r="L466" s="285"/>
      <c r="M466" s="285"/>
      <c r="N466" s="112"/>
      <c r="O466" s="112"/>
      <c r="P466" s="285"/>
      <c r="Q466" s="285"/>
      <c r="R466" s="285"/>
      <c r="S466" s="285"/>
      <c r="T466" s="285"/>
      <c r="U466" s="112"/>
      <c r="V466" s="112"/>
      <c r="W466" s="285"/>
      <c r="X466" s="285"/>
      <c r="Y466" s="285"/>
      <c r="Z466" s="285"/>
      <c r="AA466" s="112"/>
      <c r="AB466" s="112"/>
    </row>
    <row r="467">
      <c r="A467" s="67" t="s">
        <v>944</v>
      </c>
      <c r="B467" s="285"/>
      <c r="C467" s="285"/>
      <c r="D467" s="285"/>
      <c r="E467" s="285"/>
      <c r="F467" s="285"/>
      <c r="G467" s="112"/>
      <c r="H467" s="112"/>
      <c r="I467" s="285"/>
      <c r="J467" s="285"/>
      <c r="K467" s="285"/>
      <c r="L467" s="285"/>
      <c r="M467" s="285"/>
      <c r="N467" s="285"/>
      <c r="O467" s="112"/>
      <c r="P467" s="285"/>
      <c r="Q467" s="285"/>
      <c r="R467" s="285"/>
      <c r="S467" s="285"/>
      <c r="T467" s="285"/>
      <c r="U467" s="112"/>
      <c r="V467" s="112"/>
      <c r="W467" s="285"/>
      <c r="X467" s="285"/>
      <c r="Y467" s="285"/>
      <c r="Z467" s="285"/>
      <c r="AA467" s="285"/>
      <c r="AB467" s="112"/>
    </row>
    <row r="468">
      <c r="A468" s="67" t="s">
        <v>945</v>
      </c>
      <c r="B468" s="112"/>
      <c r="C468" s="112"/>
      <c r="D468" s="112"/>
      <c r="E468" s="112"/>
      <c r="F468" s="112"/>
      <c r="G468" s="112"/>
      <c r="H468" s="112"/>
      <c r="I468" s="285"/>
      <c r="J468" s="112"/>
      <c r="K468" s="321"/>
      <c r="L468" s="322"/>
      <c r="M468" s="322"/>
      <c r="N468" s="112"/>
      <c r="O468" s="112"/>
      <c r="P468" s="285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</row>
    <row r="469">
      <c r="A469" s="67" t="s">
        <v>955</v>
      </c>
      <c r="B469" s="330">
        <v>57.5</v>
      </c>
      <c r="C469" s="330">
        <v>57.5</v>
      </c>
      <c r="D469" s="330">
        <v>57.5</v>
      </c>
      <c r="E469" s="330">
        <v>57.5</v>
      </c>
      <c r="F469" s="330">
        <v>57.5</v>
      </c>
      <c r="G469" s="112"/>
      <c r="H469" s="112"/>
      <c r="I469" s="330">
        <v>57.5</v>
      </c>
      <c r="J469" s="330">
        <v>57.5</v>
      </c>
      <c r="K469" s="330">
        <v>57.5</v>
      </c>
      <c r="L469" s="330">
        <v>57.5</v>
      </c>
      <c r="M469" s="322"/>
      <c r="N469" s="112"/>
      <c r="O469" s="112"/>
      <c r="P469" s="330">
        <v>57.5</v>
      </c>
      <c r="Q469" s="330">
        <v>57.5</v>
      </c>
      <c r="R469" s="330">
        <v>57.5</v>
      </c>
      <c r="S469" s="285"/>
      <c r="T469" s="112"/>
      <c r="U469" s="112"/>
      <c r="V469" s="112"/>
      <c r="W469" s="112"/>
      <c r="X469" s="112"/>
      <c r="Y469" s="112"/>
      <c r="Z469" s="112"/>
      <c r="AA469" s="112"/>
      <c r="AB469" s="112"/>
    </row>
    <row r="470">
      <c r="A470" s="67" t="s">
        <v>956</v>
      </c>
      <c r="B470" s="330">
        <v>57.5</v>
      </c>
      <c r="C470" s="330">
        <v>57.5</v>
      </c>
      <c r="D470" s="330">
        <v>57.5</v>
      </c>
      <c r="E470" s="330">
        <v>57.5</v>
      </c>
      <c r="F470" s="330">
        <v>57.5</v>
      </c>
      <c r="G470" s="112"/>
      <c r="H470" s="112"/>
      <c r="I470" s="330">
        <v>57.5</v>
      </c>
      <c r="J470" s="330">
        <v>57.5</v>
      </c>
      <c r="K470" s="330">
        <v>57.5</v>
      </c>
      <c r="L470" s="330">
        <v>57.5</v>
      </c>
      <c r="M470" s="112"/>
      <c r="N470" s="112"/>
      <c r="O470" s="112"/>
      <c r="P470" s="330">
        <v>57.5</v>
      </c>
      <c r="Q470" s="330">
        <v>57.5</v>
      </c>
      <c r="R470" s="330">
        <v>57.5</v>
      </c>
      <c r="S470" s="285"/>
      <c r="T470" s="112"/>
      <c r="U470" s="112"/>
      <c r="V470" s="112"/>
      <c r="W470" s="112"/>
      <c r="X470" s="112"/>
      <c r="Y470" s="112"/>
      <c r="Z470" s="112"/>
      <c r="AA470" s="112"/>
      <c r="AB470" s="112"/>
    </row>
    <row r="471">
      <c r="A471" s="67" t="s">
        <v>717</v>
      </c>
      <c r="B471" s="77"/>
      <c r="C471" s="77"/>
      <c r="D471" s="330">
        <v>57.5</v>
      </c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285"/>
      <c r="R471" s="285"/>
      <c r="S471" s="77"/>
      <c r="T471" s="77"/>
      <c r="U471" s="77"/>
      <c r="V471" s="77"/>
      <c r="W471" s="77"/>
      <c r="X471" s="330">
        <v>57.5</v>
      </c>
      <c r="Y471" s="77"/>
      <c r="Z471" s="77"/>
      <c r="AA471" s="77"/>
      <c r="AB471" s="77"/>
    </row>
    <row r="472">
      <c r="A472" s="67" t="s">
        <v>1006</v>
      </c>
      <c r="B472" s="77"/>
      <c r="C472" s="77"/>
      <c r="D472" s="330">
        <v>57.5</v>
      </c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330">
        <v>57.5</v>
      </c>
      <c r="R472" s="330">
        <v>57.5</v>
      </c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>
      <c r="A473" s="67" t="s">
        <v>1007</v>
      </c>
      <c r="B473" s="77"/>
      <c r="C473" s="77"/>
      <c r="D473" s="285"/>
      <c r="E473" s="77"/>
      <c r="F473" s="77"/>
      <c r="G473" s="77"/>
      <c r="H473" s="77"/>
      <c r="I473" s="77"/>
      <c r="J473" s="77"/>
      <c r="K473" s="330" t="s">
        <v>1008</v>
      </c>
      <c r="L473" s="77"/>
      <c r="M473" s="77"/>
      <c r="N473" s="77"/>
      <c r="O473" s="77"/>
      <c r="P473" s="77"/>
      <c r="Q473" s="226"/>
      <c r="R473" s="226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5">
      <c r="A475" s="251" t="s">
        <v>788</v>
      </c>
      <c r="B475" s="331" t="s">
        <v>25</v>
      </c>
      <c r="C475" s="332" t="s">
        <v>789</v>
      </c>
      <c r="D475" s="332" t="s">
        <v>27</v>
      </c>
      <c r="E475" s="332" t="s">
        <v>2</v>
      </c>
      <c r="F475" s="332" t="s">
        <v>3</v>
      </c>
      <c r="G475" s="333" t="s">
        <v>790</v>
      </c>
      <c r="H475" s="334"/>
      <c r="I475" s="332" t="s">
        <v>25</v>
      </c>
      <c r="J475" s="332" t="s">
        <v>789</v>
      </c>
      <c r="K475" s="332" t="s">
        <v>27</v>
      </c>
      <c r="L475" s="332" t="s">
        <v>2</v>
      </c>
      <c r="M475" s="332" t="s">
        <v>3</v>
      </c>
      <c r="N475" s="335" t="s">
        <v>790</v>
      </c>
      <c r="O475" s="334"/>
      <c r="P475" s="332" t="s">
        <v>25</v>
      </c>
      <c r="Q475" s="331" t="s">
        <v>789</v>
      </c>
      <c r="R475" s="332" t="s">
        <v>27</v>
      </c>
      <c r="S475" s="332" t="s">
        <v>2</v>
      </c>
      <c r="T475" s="332" t="s">
        <v>3</v>
      </c>
      <c r="U475" s="333" t="s">
        <v>790</v>
      </c>
      <c r="V475" s="334"/>
      <c r="W475" s="332" t="s">
        <v>25</v>
      </c>
      <c r="X475" s="331" t="s">
        <v>789</v>
      </c>
      <c r="Y475" s="332" t="s">
        <v>27</v>
      </c>
      <c r="Z475" s="332" t="s">
        <v>2</v>
      </c>
      <c r="AA475" s="332" t="s">
        <v>3</v>
      </c>
      <c r="AB475" s="336" t="s">
        <v>790</v>
      </c>
      <c r="AC475" s="336"/>
      <c r="AD475" s="337" t="s">
        <v>25</v>
      </c>
      <c r="AE475" s="337" t="s">
        <v>26</v>
      </c>
      <c r="AF475" s="206"/>
      <c r="AG475" s="206"/>
      <c r="AH475" s="206"/>
      <c r="AI475" s="206"/>
      <c r="AJ475" s="206"/>
    </row>
    <row r="476">
      <c r="A476" s="206"/>
      <c r="B476" s="338">
        <v>2.03</v>
      </c>
      <c r="C476" s="338">
        <v>3.03</v>
      </c>
      <c r="D476" s="338">
        <v>4.03</v>
      </c>
      <c r="E476" s="338">
        <v>5.03</v>
      </c>
      <c r="F476" s="338">
        <v>6.03</v>
      </c>
      <c r="G476" s="339"/>
      <c r="H476" s="339"/>
      <c r="I476" s="338">
        <v>9.03</v>
      </c>
      <c r="J476" s="338">
        <v>10.03</v>
      </c>
      <c r="K476" s="338">
        <v>11.03</v>
      </c>
      <c r="L476" s="338">
        <v>12.03</v>
      </c>
      <c r="M476" s="338">
        <v>13.03</v>
      </c>
      <c r="N476" s="339"/>
      <c r="O476" s="339"/>
      <c r="P476" s="338">
        <v>16.03</v>
      </c>
      <c r="Q476" s="338">
        <v>17.03</v>
      </c>
      <c r="R476" s="338">
        <v>18.03</v>
      </c>
      <c r="S476" s="338">
        <v>19.03</v>
      </c>
      <c r="T476" s="338">
        <v>20.03</v>
      </c>
      <c r="U476" s="340">
        <v>21.03</v>
      </c>
      <c r="V476" s="339"/>
      <c r="W476" s="338">
        <v>23.03</v>
      </c>
      <c r="X476" s="338">
        <v>24.03</v>
      </c>
      <c r="Y476" s="338">
        <v>25.03</v>
      </c>
      <c r="Z476" s="338">
        <v>26.03</v>
      </c>
      <c r="AA476" s="338">
        <v>27.03</v>
      </c>
      <c r="AB476" s="339"/>
      <c r="AC476" s="339"/>
      <c r="AD476" s="338">
        <v>30.03</v>
      </c>
      <c r="AE476" s="338">
        <v>31.03</v>
      </c>
      <c r="AF476" s="206"/>
      <c r="AG476" s="206"/>
      <c r="AH476" s="206"/>
      <c r="AI476" s="206"/>
      <c r="AJ476" s="206"/>
    </row>
    <row r="477">
      <c r="A477" s="341" t="s">
        <v>816</v>
      </c>
      <c r="B477" s="302"/>
      <c r="C477" s="302"/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297">
        <v>57.5</v>
      </c>
      <c r="S477" s="297">
        <v>57.5</v>
      </c>
      <c r="T477" s="302"/>
      <c r="U477" s="302"/>
      <c r="V477" s="302"/>
      <c r="W477" s="77"/>
      <c r="X477" s="77"/>
      <c r="Y477" s="77"/>
      <c r="Z477" s="302"/>
      <c r="AA477" s="302"/>
      <c r="AB477" s="302"/>
      <c r="AC477" s="302"/>
      <c r="AD477" s="302"/>
      <c r="AE477" s="302"/>
      <c r="AF477" s="206"/>
      <c r="AG477" s="206"/>
      <c r="AH477" s="206"/>
      <c r="AI477" s="206"/>
      <c r="AJ477" s="206"/>
    </row>
    <row r="478">
      <c r="A478" s="342" t="s">
        <v>817</v>
      </c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97">
        <v>57.5</v>
      </c>
      <c r="S478" s="297">
        <v>57.5</v>
      </c>
      <c r="T478" s="302"/>
      <c r="U478" s="302"/>
      <c r="V478" s="302"/>
      <c r="W478" s="77"/>
      <c r="X478" s="77"/>
      <c r="Y478" s="77"/>
      <c r="Z478" s="302"/>
      <c r="AA478" s="302"/>
      <c r="AB478" s="302"/>
      <c r="AC478" s="302"/>
      <c r="AD478" s="302"/>
      <c r="AE478" s="302"/>
      <c r="AF478" s="206"/>
      <c r="AG478" s="206"/>
      <c r="AH478" s="206"/>
      <c r="AI478" s="206"/>
      <c r="AJ478" s="206"/>
    </row>
    <row r="479">
      <c r="A479" s="342" t="s">
        <v>44</v>
      </c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  <c r="AD479" s="302"/>
      <c r="AE479" s="302"/>
      <c r="AF479" s="206"/>
      <c r="AG479" s="206"/>
      <c r="AH479" s="206"/>
      <c r="AI479" s="206"/>
      <c r="AJ479" s="206"/>
    </row>
    <row r="480">
      <c r="A480" s="342" t="s">
        <v>310</v>
      </c>
      <c r="B480" s="281"/>
      <c r="C480" s="281"/>
      <c r="D480" s="281"/>
      <c r="E480" s="281"/>
      <c r="F480" s="275"/>
      <c r="G480" s="275"/>
      <c r="H480" s="275"/>
      <c r="I480" s="275"/>
      <c r="J480" s="275"/>
      <c r="K480" s="275"/>
      <c r="L480" s="297">
        <v>57.5</v>
      </c>
      <c r="M480" s="297">
        <v>57.5</v>
      </c>
      <c r="N480" s="275"/>
      <c r="O480" s="275"/>
      <c r="P480" s="275"/>
      <c r="Q480" s="275"/>
      <c r="R480" s="275"/>
      <c r="S480" s="302"/>
      <c r="T480" s="302"/>
      <c r="U480" s="302"/>
      <c r="V480" s="302"/>
      <c r="W480" s="297">
        <v>57.5</v>
      </c>
      <c r="X480" s="297">
        <v>57.5</v>
      </c>
      <c r="Y480" s="297">
        <v>57.5</v>
      </c>
      <c r="Z480" s="302"/>
      <c r="AA480" s="302"/>
      <c r="AB480" s="302"/>
      <c r="AC480" s="302"/>
      <c r="AD480" s="318">
        <v>57.5</v>
      </c>
      <c r="AE480" s="302"/>
      <c r="AF480" s="206"/>
      <c r="AG480" s="206"/>
      <c r="AH480" s="206"/>
      <c r="AI480" s="206"/>
      <c r="AJ480" s="206"/>
    </row>
    <row r="481">
      <c r="A481" s="342" t="s">
        <v>819</v>
      </c>
      <c r="B481" s="281"/>
      <c r="C481" s="281"/>
      <c r="D481" s="281"/>
      <c r="E481" s="281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302"/>
      <c r="T481" s="302"/>
      <c r="U481" s="302"/>
      <c r="V481" s="302"/>
      <c r="W481" s="297">
        <v>57.5</v>
      </c>
      <c r="X481" s="297">
        <v>57.5</v>
      </c>
      <c r="Y481" s="297">
        <v>57.5</v>
      </c>
      <c r="Z481" s="302"/>
      <c r="AA481" s="302"/>
      <c r="AB481" s="302"/>
      <c r="AC481" s="302"/>
      <c r="AD481" s="302"/>
      <c r="AE481" s="302"/>
      <c r="AF481" s="206"/>
      <c r="AG481" s="206"/>
      <c r="AH481" s="206"/>
      <c r="AI481" s="206"/>
      <c r="AJ481" s="206"/>
    </row>
    <row r="482">
      <c r="A482" s="342" t="s">
        <v>735</v>
      </c>
      <c r="B482" s="300">
        <v>57.5</v>
      </c>
      <c r="C482" s="300">
        <v>57.5</v>
      </c>
      <c r="D482" s="300">
        <v>57.5</v>
      </c>
      <c r="E482" s="300">
        <v>57.5</v>
      </c>
      <c r="F482" s="275"/>
      <c r="G482" s="275"/>
      <c r="H482" s="275"/>
      <c r="I482" s="297">
        <v>57.5</v>
      </c>
      <c r="J482" s="297">
        <v>57.5</v>
      </c>
      <c r="K482" s="275"/>
      <c r="L482" s="297">
        <v>57.5</v>
      </c>
      <c r="M482" s="297">
        <v>57.5</v>
      </c>
      <c r="N482" s="275"/>
      <c r="O482" s="275"/>
      <c r="P482" s="281"/>
      <c r="Q482" s="281"/>
      <c r="R482" s="298">
        <v>57.5</v>
      </c>
      <c r="S482" s="298">
        <v>57.5</v>
      </c>
      <c r="T482" s="298">
        <v>57.5</v>
      </c>
      <c r="U482" s="298">
        <v>57.5</v>
      </c>
      <c r="V482" s="302"/>
      <c r="W482" s="302"/>
      <c r="X482" s="302"/>
      <c r="Y482" s="297">
        <v>57.5</v>
      </c>
      <c r="Z482" s="302"/>
      <c r="AA482" s="302"/>
      <c r="AB482" s="302"/>
      <c r="AC482" s="302"/>
      <c r="AD482" s="318">
        <v>57.5</v>
      </c>
      <c r="AE482" s="302"/>
      <c r="AF482" s="206"/>
      <c r="AG482" s="206"/>
      <c r="AH482" s="206"/>
      <c r="AI482" s="206"/>
      <c r="AJ482" s="206"/>
    </row>
    <row r="483">
      <c r="A483" s="342" t="s">
        <v>866</v>
      </c>
      <c r="B483" s="300">
        <v>57.5</v>
      </c>
      <c r="C483" s="300">
        <v>57.5</v>
      </c>
      <c r="D483" s="300">
        <v>57.5</v>
      </c>
      <c r="E483" s="300">
        <v>57.5</v>
      </c>
      <c r="F483" s="275"/>
      <c r="G483" s="275"/>
      <c r="H483" s="275"/>
      <c r="I483" s="297">
        <v>57.5</v>
      </c>
      <c r="J483" s="297">
        <v>57.5</v>
      </c>
      <c r="K483" s="275"/>
      <c r="L483" s="275"/>
      <c r="M483" s="275"/>
      <c r="N483" s="275"/>
      <c r="O483" s="275"/>
      <c r="P483" s="298">
        <v>57.5</v>
      </c>
      <c r="Q483" s="281"/>
      <c r="R483" s="298">
        <v>57.5</v>
      </c>
      <c r="S483" s="298">
        <v>57.5</v>
      </c>
      <c r="T483" s="298">
        <v>57.5</v>
      </c>
      <c r="U483" s="298">
        <v>57.5</v>
      </c>
      <c r="V483" s="302"/>
      <c r="W483" s="302"/>
      <c r="X483" s="302"/>
      <c r="Y483" s="302"/>
      <c r="Z483" s="302"/>
      <c r="AA483" s="302"/>
      <c r="AB483" s="302"/>
      <c r="AC483" s="302"/>
      <c r="AD483" s="302"/>
      <c r="AE483" s="302"/>
      <c r="AF483" s="206"/>
      <c r="AG483" s="206"/>
      <c r="AH483" s="206"/>
      <c r="AI483" s="206"/>
      <c r="AJ483" s="206"/>
    </row>
    <row r="484">
      <c r="A484" s="342" t="s">
        <v>867</v>
      </c>
      <c r="B484" s="300">
        <v>57.5</v>
      </c>
      <c r="C484" s="300">
        <v>57.5</v>
      </c>
      <c r="D484" s="300">
        <v>57.5</v>
      </c>
      <c r="E484" s="300">
        <v>57.5</v>
      </c>
      <c r="F484" s="275"/>
      <c r="G484" s="275"/>
      <c r="H484" s="275"/>
      <c r="I484" s="297">
        <v>57.5</v>
      </c>
      <c r="J484" s="297">
        <v>57.5</v>
      </c>
      <c r="K484" s="275"/>
      <c r="L484" s="297">
        <v>57.5</v>
      </c>
      <c r="M484" s="297">
        <v>57.5</v>
      </c>
      <c r="N484" s="275"/>
      <c r="O484" s="275"/>
      <c r="P484" s="281"/>
      <c r="Q484" s="281"/>
      <c r="R484" s="298">
        <v>57.5</v>
      </c>
      <c r="S484" s="298">
        <v>57.5</v>
      </c>
      <c r="T484" s="298">
        <v>57.5</v>
      </c>
      <c r="U484" s="298">
        <v>57.5</v>
      </c>
      <c r="V484" s="302"/>
      <c r="W484" s="302"/>
      <c r="X484" s="302"/>
      <c r="Y484" s="302"/>
      <c r="Z484" s="302"/>
      <c r="AA484" s="302"/>
      <c r="AB484" s="302"/>
      <c r="AC484" s="302"/>
      <c r="AD484" s="318">
        <v>57.5</v>
      </c>
      <c r="AE484" s="302"/>
      <c r="AF484" s="206"/>
      <c r="AG484" s="206"/>
      <c r="AH484" s="206"/>
      <c r="AI484" s="206"/>
      <c r="AJ484" s="206"/>
    </row>
    <row r="485">
      <c r="A485" s="342" t="s">
        <v>818</v>
      </c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97">
        <v>57.5</v>
      </c>
      <c r="R485" s="297">
        <v>57.5</v>
      </c>
      <c r="S485" s="297">
        <v>57.5</v>
      </c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  <c r="AD485" s="282">
        <v>57.5</v>
      </c>
      <c r="AE485" s="302"/>
      <c r="AF485" s="206"/>
      <c r="AG485" s="206"/>
      <c r="AH485" s="206"/>
      <c r="AI485" s="206"/>
      <c r="AJ485" s="206"/>
    </row>
    <row r="486">
      <c r="A486" s="342" t="s">
        <v>827</v>
      </c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97">
        <v>57.5</v>
      </c>
      <c r="R486" s="297">
        <v>57.5</v>
      </c>
      <c r="S486" s="297">
        <v>57.5</v>
      </c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  <c r="AD486" s="282">
        <v>57.5</v>
      </c>
      <c r="AE486" s="302"/>
      <c r="AF486" s="206"/>
      <c r="AG486" s="206"/>
      <c r="AH486" s="206"/>
      <c r="AI486" s="206"/>
      <c r="AJ486" s="206"/>
    </row>
    <row r="487">
      <c r="A487" s="343" t="s">
        <v>832</v>
      </c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82"/>
      <c r="R487" s="275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  <c r="AD487" s="275"/>
      <c r="AE487" s="302"/>
      <c r="AF487" s="206"/>
      <c r="AG487" s="206"/>
      <c r="AH487" s="206"/>
      <c r="AI487" s="206"/>
      <c r="AJ487" s="206"/>
    </row>
    <row r="488">
      <c r="A488" s="343" t="s">
        <v>835</v>
      </c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  <c r="AD488" s="275"/>
      <c r="AE488" s="302"/>
      <c r="AF488" s="206"/>
      <c r="AG488" s="206"/>
      <c r="AH488" s="206"/>
      <c r="AI488" s="206"/>
      <c r="AJ488" s="206"/>
    </row>
    <row r="489">
      <c r="A489" s="344" t="s">
        <v>824</v>
      </c>
      <c r="B489" s="275"/>
      <c r="C489" s="275"/>
      <c r="D489" s="275"/>
      <c r="E489" s="275"/>
      <c r="F489" s="275"/>
      <c r="G489" s="275"/>
      <c r="H489" s="275"/>
      <c r="I489" s="275"/>
      <c r="J489" s="345" t="s">
        <v>1008</v>
      </c>
      <c r="K489" s="345" t="s">
        <v>1008</v>
      </c>
      <c r="L489" s="345" t="s">
        <v>1008</v>
      </c>
      <c r="M489" s="275"/>
      <c r="N489" s="275"/>
      <c r="O489" s="275"/>
      <c r="P489" s="275"/>
      <c r="Q489" s="275"/>
      <c r="R489" s="275"/>
      <c r="S489" s="345" t="s">
        <v>1008</v>
      </c>
      <c r="T489" s="302"/>
      <c r="U489" s="302"/>
      <c r="V489" s="302"/>
      <c r="W489" s="302"/>
      <c r="X489" s="346"/>
      <c r="Y489" s="346"/>
      <c r="Z489" s="302"/>
      <c r="AA489" s="302"/>
      <c r="AB489" s="302"/>
      <c r="AC489" s="302"/>
      <c r="AD489" s="275"/>
      <c r="AE489" s="302"/>
      <c r="AF489" s="206"/>
      <c r="AG489" s="206"/>
      <c r="AH489" s="206"/>
      <c r="AI489" s="206"/>
      <c r="AJ489" s="206"/>
    </row>
    <row r="490">
      <c r="A490" s="344" t="s">
        <v>825</v>
      </c>
      <c r="B490" s="297">
        <v>57.5</v>
      </c>
      <c r="C490" s="297">
        <v>57.5</v>
      </c>
      <c r="D490" s="297">
        <v>57.5</v>
      </c>
      <c r="E490" s="297">
        <v>57.5</v>
      </c>
      <c r="F490" s="275"/>
      <c r="G490" s="275"/>
      <c r="H490" s="275"/>
      <c r="I490" s="297">
        <v>57.5</v>
      </c>
      <c r="J490" s="298">
        <v>57.5</v>
      </c>
      <c r="K490" s="298">
        <v>57.5</v>
      </c>
      <c r="L490" s="298">
        <v>57.5</v>
      </c>
      <c r="M490" s="275"/>
      <c r="N490" s="275"/>
      <c r="O490" s="275"/>
      <c r="P490" s="275"/>
      <c r="Q490" s="297">
        <v>57.5</v>
      </c>
      <c r="R490" s="297">
        <v>57.5</v>
      </c>
      <c r="S490" s="297">
        <v>57.5</v>
      </c>
      <c r="T490" s="297">
        <v>57.5</v>
      </c>
      <c r="U490" s="302"/>
      <c r="V490" s="302"/>
      <c r="W490" s="297">
        <v>57.5</v>
      </c>
      <c r="X490" s="297">
        <v>57.5</v>
      </c>
      <c r="Y490" s="297">
        <v>57.5</v>
      </c>
      <c r="Z490" s="297">
        <v>57.5</v>
      </c>
      <c r="AA490" s="297">
        <v>57.5</v>
      </c>
      <c r="AB490" s="302"/>
      <c r="AC490" s="302"/>
      <c r="AD490" s="275"/>
      <c r="AE490" s="302"/>
      <c r="AF490" s="206"/>
      <c r="AG490" s="206"/>
      <c r="AH490" s="206"/>
      <c r="AI490" s="206"/>
      <c r="AJ490" s="206"/>
    </row>
    <row r="491">
      <c r="A491" s="344" t="s">
        <v>826</v>
      </c>
      <c r="B491" s="300">
        <v>57.5</v>
      </c>
      <c r="C491" s="300">
        <v>57.5</v>
      </c>
      <c r="D491" s="300">
        <v>57.5</v>
      </c>
      <c r="E491" s="300">
        <v>57.5</v>
      </c>
      <c r="F491" s="281"/>
      <c r="G491" s="275"/>
      <c r="H491" s="275"/>
      <c r="I491" s="281"/>
      <c r="J491" s="281"/>
      <c r="K491" s="281"/>
      <c r="L491" s="281"/>
      <c r="M491" s="275"/>
      <c r="N491" s="275"/>
      <c r="O491" s="275"/>
      <c r="P491" s="281"/>
      <c r="Q491" s="285"/>
      <c r="R491" s="285"/>
      <c r="S491" s="285"/>
      <c r="T491" s="285"/>
      <c r="U491" s="302"/>
      <c r="V491" s="302"/>
      <c r="W491" s="302"/>
      <c r="X491" s="302"/>
      <c r="Y491" s="302"/>
      <c r="Z491" s="302"/>
      <c r="AA491" s="302"/>
      <c r="AB491" s="302"/>
      <c r="AC491" s="302"/>
      <c r="AD491" s="275"/>
      <c r="AE491" s="302"/>
      <c r="AF491" s="206"/>
      <c r="AG491" s="206"/>
      <c r="AH491" s="206"/>
      <c r="AI491" s="206"/>
      <c r="AJ491" s="206"/>
    </row>
    <row r="492">
      <c r="A492" s="347" t="s">
        <v>680</v>
      </c>
      <c r="B492" s="275"/>
      <c r="C492" s="275"/>
      <c r="D492" s="275"/>
      <c r="E492" s="275"/>
      <c r="F492" s="275"/>
      <c r="G492" s="275"/>
      <c r="H492" s="275"/>
      <c r="I492" s="275"/>
      <c r="J492" s="319"/>
      <c r="K492" s="319"/>
      <c r="L492" s="319"/>
      <c r="M492" s="275"/>
      <c r="N492" s="275"/>
      <c r="O492" s="275"/>
      <c r="P492" s="275"/>
      <c r="Q492" s="275"/>
      <c r="R492" s="275"/>
      <c r="S492" s="275"/>
      <c r="T492" s="275"/>
      <c r="U492" s="302"/>
      <c r="V492" s="302"/>
      <c r="W492" s="302"/>
      <c r="X492" s="302"/>
      <c r="Y492" s="302"/>
      <c r="Z492" s="302"/>
      <c r="AA492" s="302"/>
      <c r="AB492" s="302"/>
      <c r="AC492" s="302"/>
      <c r="AD492" s="275"/>
      <c r="AE492" s="302"/>
      <c r="AF492" s="206"/>
      <c r="AG492" s="206"/>
      <c r="AH492" s="206"/>
      <c r="AI492" s="206"/>
      <c r="AJ492" s="206"/>
    </row>
    <row r="493">
      <c r="A493" s="347" t="s">
        <v>828</v>
      </c>
      <c r="B493" s="297">
        <v>57.5</v>
      </c>
      <c r="C493" s="297">
        <v>57.5</v>
      </c>
      <c r="D493" s="297">
        <v>57.5</v>
      </c>
      <c r="E493" s="297">
        <v>57.5</v>
      </c>
      <c r="F493" s="275"/>
      <c r="G493" s="275"/>
      <c r="H493" s="275"/>
      <c r="I493" s="297">
        <v>57.5</v>
      </c>
      <c r="J493" s="298">
        <v>57.5</v>
      </c>
      <c r="K493" s="298">
        <v>57.5</v>
      </c>
      <c r="L493" s="298">
        <v>57.5</v>
      </c>
      <c r="M493" s="275"/>
      <c r="N493" s="275"/>
      <c r="O493" s="275"/>
      <c r="P493" s="275"/>
      <c r="Q493" s="297">
        <v>57.5</v>
      </c>
      <c r="R493" s="297">
        <v>57.5</v>
      </c>
      <c r="S493" s="297">
        <v>57.5</v>
      </c>
      <c r="T493" s="297">
        <v>57.5</v>
      </c>
      <c r="U493" s="302"/>
      <c r="V493" s="302"/>
      <c r="W493" s="297">
        <v>57.5</v>
      </c>
      <c r="X493" s="297">
        <v>57.5</v>
      </c>
      <c r="Y493" s="297">
        <v>57.5</v>
      </c>
      <c r="Z493" s="297">
        <v>57.5</v>
      </c>
      <c r="AA493" s="297">
        <v>57.5</v>
      </c>
      <c r="AB493" s="302"/>
      <c r="AC493" s="302"/>
      <c r="AD493" s="275"/>
      <c r="AE493" s="302"/>
      <c r="AF493" s="206"/>
      <c r="AG493" s="206"/>
      <c r="AH493" s="206"/>
      <c r="AI493" s="206"/>
      <c r="AJ493" s="206"/>
    </row>
    <row r="494">
      <c r="A494" s="343" t="s">
        <v>829</v>
      </c>
      <c r="B494" s="297">
        <v>57.5</v>
      </c>
      <c r="C494" s="297">
        <v>57.5</v>
      </c>
      <c r="D494" s="297">
        <v>57.5</v>
      </c>
      <c r="E494" s="297">
        <v>57.5</v>
      </c>
      <c r="F494" s="275"/>
      <c r="G494" s="275"/>
      <c r="H494" s="275"/>
      <c r="I494" s="297">
        <v>57.5</v>
      </c>
      <c r="J494" s="298">
        <v>57.5</v>
      </c>
      <c r="K494" s="298">
        <v>57.5</v>
      </c>
      <c r="L494" s="298">
        <v>57.5</v>
      </c>
      <c r="M494" s="275"/>
      <c r="N494" s="275"/>
      <c r="O494" s="275"/>
      <c r="P494" s="275"/>
      <c r="Q494" s="297">
        <v>57.5</v>
      </c>
      <c r="R494" s="297">
        <v>57.5</v>
      </c>
      <c r="S494" s="297">
        <v>57.5</v>
      </c>
      <c r="T494" s="297">
        <v>57.5</v>
      </c>
      <c r="U494" s="302"/>
      <c r="V494" s="302"/>
      <c r="W494" s="297">
        <v>57.5</v>
      </c>
      <c r="X494" s="297">
        <v>57.5</v>
      </c>
      <c r="Y494" s="297">
        <v>57.5</v>
      </c>
      <c r="Z494" s="297">
        <v>57.5</v>
      </c>
      <c r="AA494" s="297">
        <v>57.5</v>
      </c>
      <c r="AB494" s="302"/>
      <c r="AC494" s="302"/>
      <c r="AD494" s="275"/>
      <c r="AE494" s="302"/>
      <c r="AF494" s="206"/>
      <c r="AG494" s="206"/>
      <c r="AH494" s="206"/>
      <c r="AI494" s="206"/>
      <c r="AJ494" s="206"/>
    </row>
    <row r="495">
      <c r="A495" s="343" t="s">
        <v>830</v>
      </c>
      <c r="B495" s="297">
        <v>57.5</v>
      </c>
      <c r="C495" s="297">
        <v>57.5</v>
      </c>
      <c r="D495" s="297">
        <v>57.5</v>
      </c>
      <c r="E495" s="297">
        <v>57.5</v>
      </c>
      <c r="F495" s="275"/>
      <c r="G495" s="275"/>
      <c r="H495" s="275"/>
      <c r="I495" s="275"/>
      <c r="J495" s="319"/>
      <c r="K495" s="319"/>
      <c r="L495" s="319"/>
      <c r="M495" s="275"/>
      <c r="N495" s="275"/>
      <c r="O495" s="275"/>
      <c r="P495" s="275"/>
      <c r="Q495" s="297">
        <v>57.5</v>
      </c>
      <c r="R495" s="297">
        <v>57.5</v>
      </c>
      <c r="S495" s="297">
        <v>57.5</v>
      </c>
      <c r="T495" s="297">
        <v>57.5</v>
      </c>
      <c r="U495" s="302"/>
      <c r="V495" s="302"/>
      <c r="W495" s="297">
        <v>57.5</v>
      </c>
      <c r="X495" s="297">
        <v>57.5</v>
      </c>
      <c r="Y495" s="297">
        <v>57.5</v>
      </c>
      <c r="Z495" s="297">
        <v>57.5</v>
      </c>
      <c r="AA495" s="297">
        <v>57.5</v>
      </c>
      <c r="AB495" s="302"/>
      <c r="AC495" s="302"/>
      <c r="AD495" s="275"/>
      <c r="AE495" s="302"/>
      <c r="AF495" s="206"/>
      <c r="AG495" s="206"/>
      <c r="AH495" s="206"/>
      <c r="AI495" s="206"/>
      <c r="AJ495" s="206"/>
    </row>
    <row r="496">
      <c r="A496" s="343" t="s">
        <v>871</v>
      </c>
      <c r="B496" s="297">
        <v>57.5</v>
      </c>
      <c r="C496" s="297">
        <v>57.5</v>
      </c>
      <c r="D496" s="297">
        <v>57.5</v>
      </c>
      <c r="E496" s="297">
        <v>57.5</v>
      </c>
      <c r="F496" s="275"/>
      <c r="G496" s="275"/>
      <c r="H496" s="275"/>
      <c r="I496" s="297">
        <v>57.5</v>
      </c>
      <c r="J496" s="298">
        <v>57.5</v>
      </c>
      <c r="K496" s="319"/>
      <c r="L496" s="319"/>
      <c r="M496" s="275"/>
      <c r="N496" s="275"/>
      <c r="O496" s="275"/>
      <c r="P496" s="297">
        <v>57.5</v>
      </c>
      <c r="Q496" s="275"/>
      <c r="R496" s="275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  <c r="AD496" s="275"/>
      <c r="AE496" s="302"/>
      <c r="AF496" s="206"/>
      <c r="AG496" s="206"/>
      <c r="AH496" s="206"/>
      <c r="AI496" s="206"/>
      <c r="AJ496" s="206"/>
    </row>
    <row r="497">
      <c r="A497" s="343" t="s">
        <v>948</v>
      </c>
      <c r="B497" s="297">
        <v>57.5</v>
      </c>
      <c r="C497" s="297">
        <v>57.5</v>
      </c>
      <c r="D497" s="297">
        <v>57.5</v>
      </c>
      <c r="E497" s="297">
        <v>57.5</v>
      </c>
      <c r="F497" s="275"/>
      <c r="G497" s="275"/>
      <c r="H497" s="275"/>
      <c r="I497" s="297">
        <v>57.5</v>
      </c>
      <c r="J497" s="298">
        <v>57.5</v>
      </c>
      <c r="K497" s="319"/>
      <c r="L497" s="319"/>
      <c r="M497" s="275"/>
      <c r="N497" s="275"/>
      <c r="O497" s="275"/>
      <c r="P497" s="297">
        <v>57.5</v>
      </c>
      <c r="Q497" s="275"/>
      <c r="R497" s="275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  <c r="AD497" s="275"/>
      <c r="AE497" s="302"/>
      <c r="AF497" s="206"/>
      <c r="AG497" s="206"/>
      <c r="AH497" s="206"/>
      <c r="AI497" s="206"/>
      <c r="AJ497" s="206"/>
    </row>
    <row r="498">
      <c r="A498" s="343" t="s">
        <v>872</v>
      </c>
      <c r="B498" s="297">
        <v>57.5</v>
      </c>
      <c r="C498" s="297">
        <v>57.5</v>
      </c>
      <c r="D498" s="297">
        <v>57.5</v>
      </c>
      <c r="E498" s="297">
        <v>57.5</v>
      </c>
      <c r="F498" s="275"/>
      <c r="G498" s="275"/>
      <c r="H498" s="275"/>
      <c r="I498" s="297">
        <v>57.5</v>
      </c>
      <c r="J498" s="298">
        <v>57.5</v>
      </c>
      <c r="K498" s="319"/>
      <c r="L498" s="319"/>
      <c r="M498" s="275"/>
      <c r="N498" s="275"/>
      <c r="O498" s="275"/>
      <c r="P498" s="275"/>
      <c r="Q498" s="275"/>
      <c r="R498" s="275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  <c r="AD498" s="275"/>
      <c r="AE498" s="302"/>
      <c r="AF498" s="206"/>
      <c r="AG498" s="206"/>
      <c r="AH498" s="206"/>
      <c r="AI498" s="206"/>
      <c r="AJ498" s="206"/>
    </row>
    <row r="499">
      <c r="A499" s="343" t="s">
        <v>747</v>
      </c>
      <c r="B499" s="297">
        <v>57.5</v>
      </c>
      <c r="C499" s="297">
        <v>57.5</v>
      </c>
      <c r="D499" s="297">
        <v>57.5</v>
      </c>
      <c r="E499" s="297">
        <v>57.5</v>
      </c>
      <c r="F499" s="282"/>
      <c r="G499" s="275"/>
      <c r="H499" s="275"/>
      <c r="I499" s="275"/>
      <c r="J499" s="319"/>
      <c r="K499" s="319"/>
      <c r="L499" s="319"/>
      <c r="M499" s="275"/>
      <c r="N499" s="275"/>
      <c r="O499" s="275"/>
      <c r="P499" s="275"/>
      <c r="Q499" s="275"/>
      <c r="R499" s="275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  <c r="AD499" s="275"/>
      <c r="AE499" s="302"/>
      <c r="AF499" s="206"/>
      <c r="AG499" s="206"/>
      <c r="AH499" s="206"/>
      <c r="AI499" s="206"/>
      <c r="AJ499" s="206"/>
    </row>
    <row r="500">
      <c r="A500" s="343" t="s">
        <v>949</v>
      </c>
      <c r="B500" s="297">
        <v>57.5</v>
      </c>
      <c r="C500" s="297">
        <v>57.5</v>
      </c>
      <c r="D500" s="297">
        <v>57.5</v>
      </c>
      <c r="E500" s="297">
        <v>57.5</v>
      </c>
      <c r="F500" s="275"/>
      <c r="G500" s="275"/>
      <c r="H500" s="275"/>
      <c r="I500" s="275"/>
      <c r="J500" s="319"/>
      <c r="K500" s="319"/>
      <c r="L500" s="319"/>
      <c r="M500" s="275"/>
      <c r="N500" s="275"/>
      <c r="O500" s="275"/>
      <c r="P500" s="275"/>
      <c r="Q500" s="275"/>
      <c r="R500" s="275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  <c r="AD500" s="275"/>
      <c r="AE500" s="302"/>
      <c r="AF500" s="206"/>
      <c r="AG500" s="206"/>
      <c r="AH500" s="206"/>
      <c r="AI500" s="206"/>
      <c r="AJ500" s="206"/>
    </row>
    <row r="501">
      <c r="A501" s="343" t="s">
        <v>954</v>
      </c>
      <c r="B501" s="297">
        <v>57.5</v>
      </c>
      <c r="C501" s="297">
        <v>57.5</v>
      </c>
      <c r="D501" s="297">
        <v>57.5</v>
      </c>
      <c r="E501" s="297">
        <v>57.5</v>
      </c>
      <c r="F501" s="275"/>
      <c r="G501" s="275"/>
      <c r="H501" s="275"/>
      <c r="I501" s="275"/>
      <c r="J501" s="319"/>
      <c r="K501" s="319"/>
      <c r="L501" s="319"/>
      <c r="M501" s="275"/>
      <c r="N501" s="275"/>
      <c r="O501" s="275"/>
      <c r="P501" s="275"/>
      <c r="Q501" s="275"/>
      <c r="R501" s="275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  <c r="AD501" s="275"/>
      <c r="AE501" s="302"/>
      <c r="AF501" s="206"/>
      <c r="AG501" s="206"/>
      <c r="AH501" s="206"/>
      <c r="AI501" s="206"/>
      <c r="AJ501" s="206"/>
    </row>
    <row r="502">
      <c r="A502" s="343" t="s">
        <v>12</v>
      </c>
      <c r="B502" s="275"/>
      <c r="C502" s="275"/>
      <c r="D502" s="275"/>
      <c r="E502" s="275"/>
      <c r="F502" s="275"/>
      <c r="G502" s="275"/>
      <c r="H502" s="275"/>
      <c r="I502" s="275"/>
      <c r="J502" s="319"/>
      <c r="K502" s="319"/>
      <c r="L502" s="319"/>
      <c r="M502" s="275"/>
      <c r="N502" s="275"/>
      <c r="O502" s="275"/>
      <c r="P502" s="275"/>
      <c r="Q502" s="275"/>
      <c r="R502" s="275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  <c r="AD502" s="275"/>
      <c r="AE502" s="302"/>
      <c r="AF502" s="206"/>
      <c r="AG502" s="206"/>
      <c r="AH502" s="206"/>
      <c r="AI502" s="206"/>
      <c r="AJ502" s="206"/>
    </row>
    <row r="503">
      <c r="A503" s="343" t="s">
        <v>838</v>
      </c>
      <c r="B503" s="275"/>
      <c r="C503" s="275"/>
      <c r="D503" s="275"/>
      <c r="E503" s="275"/>
      <c r="F503" s="275"/>
      <c r="G503" s="275"/>
      <c r="H503" s="275"/>
      <c r="I503" s="275"/>
      <c r="J503" s="319"/>
      <c r="K503" s="319"/>
      <c r="L503" s="319"/>
      <c r="M503" s="275"/>
      <c r="N503" s="275"/>
      <c r="O503" s="275"/>
      <c r="P503" s="275"/>
      <c r="Q503" s="275"/>
      <c r="R503" s="275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  <c r="AD503" s="275"/>
      <c r="AE503" s="302"/>
      <c r="AF503" s="206"/>
      <c r="AG503" s="206"/>
      <c r="AH503" s="206"/>
      <c r="AI503" s="206"/>
      <c r="AJ503" s="206"/>
    </row>
    <row r="504">
      <c r="A504" s="343" t="s">
        <v>822</v>
      </c>
      <c r="B504" s="300">
        <v>57.5</v>
      </c>
      <c r="C504" s="300">
        <v>57.5</v>
      </c>
      <c r="D504" s="300">
        <v>57.5</v>
      </c>
      <c r="E504" s="300">
        <v>57.5</v>
      </c>
      <c r="F504" s="281"/>
      <c r="G504" s="275"/>
      <c r="H504" s="275"/>
      <c r="I504" s="281"/>
      <c r="J504" s="281"/>
      <c r="K504" s="281"/>
      <c r="L504" s="281"/>
      <c r="M504" s="275"/>
      <c r="N504" s="275"/>
      <c r="O504" s="275"/>
      <c r="P504" s="281"/>
      <c r="Q504" s="281"/>
      <c r="R504" s="281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  <c r="AD504" s="275"/>
      <c r="AE504" s="302"/>
      <c r="AF504" s="206"/>
      <c r="AG504" s="206"/>
      <c r="AH504" s="206"/>
      <c r="AI504" s="206"/>
      <c r="AJ504" s="206"/>
    </row>
    <row r="505">
      <c r="A505" s="343" t="s">
        <v>677</v>
      </c>
      <c r="B505" s="275"/>
      <c r="C505" s="275"/>
      <c r="D505" s="275"/>
      <c r="E505" s="275"/>
      <c r="F505" s="275"/>
      <c r="G505" s="275"/>
      <c r="H505" s="275"/>
      <c r="I505" s="275"/>
      <c r="J505" s="345" t="s">
        <v>1008</v>
      </c>
      <c r="K505" s="345" t="s">
        <v>1008</v>
      </c>
      <c r="L505" s="345" t="s">
        <v>1008</v>
      </c>
      <c r="M505" s="275"/>
      <c r="N505" s="275"/>
      <c r="O505" s="275"/>
      <c r="P505" s="275"/>
      <c r="Q505" s="275"/>
      <c r="R505" s="275"/>
      <c r="S505" s="289">
        <v>57.5</v>
      </c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  <c r="AD505" s="275"/>
      <c r="AE505" s="302"/>
      <c r="AF505" s="206"/>
      <c r="AG505" s="206"/>
      <c r="AH505" s="206"/>
      <c r="AI505" s="206"/>
      <c r="AJ505" s="206"/>
    </row>
    <row r="506">
      <c r="A506" s="343" t="s">
        <v>263</v>
      </c>
      <c r="B506" s="275"/>
      <c r="C506" s="275"/>
      <c r="D506" s="275"/>
      <c r="E506" s="275"/>
      <c r="F506" s="275"/>
      <c r="G506" s="275"/>
      <c r="H506" s="275"/>
      <c r="I506" s="275"/>
      <c r="J506" s="345" t="s">
        <v>1008</v>
      </c>
      <c r="K506" s="345" t="s">
        <v>1008</v>
      </c>
      <c r="L506" s="345" t="s">
        <v>1008</v>
      </c>
      <c r="M506" s="275"/>
      <c r="N506" s="275"/>
      <c r="O506" s="275"/>
      <c r="P506" s="275"/>
      <c r="Q506" s="275"/>
      <c r="R506" s="275"/>
      <c r="S506" s="302"/>
      <c r="T506" s="302"/>
      <c r="U506" s="302"/>
      <c r="V506" s="302"/>
      <c r="W506" s="297">
        <v>57.5</v>
      </c>
      <c r="X506" s="297">
        <v>57.5</v>
      </c>
      <c r="Y506" s="297">
        <v>57.5</v>
      </c>
      <c r="Z506" s="297">
        <v>57.5</v>
      </c>
      <c r="AA506" s="297">
        <v>57.5</v>
      </c>
      <c r="AB506" s="302"/>
      <c r="AC506" s="302"/>
      <c r="AD506" s="275"/>
      <c r="AE506" s="302"/>
      <c r="AF506" s="206"/>
      <c r="AG506" s="206"/>
      <c r="AH506" s="206"/>
      <c r="AI506" s="206"/>
      <c r="AJ506" s="206"/>
    </row>
    <row r="507">
      <c r="A507" s="343" t="s">
        <v>944</v>
      </c>
      <c r="B507" s="275"/>
      <c r="C507" s="275"/>
      <c r="D507" s="275"/>
      <c r="E507" s="275"/>
      <c r="F507" s="275"/>
      <c r="G507" s="275"/>
      <c r="H507" s="275"/>
      <c r="I507" s="297">
        <v>57.5</v>
      </c>
      <c r="J507" s="297">
        <v>57.5</v>
      </c>
      <c r="K507" s="297">
        <v>57.5</v>
      </c>
      <c r="L507" s="297">
        <v>57.5</v>
      </c>
      <c r="M507" s="275"/>
      <c r="N507" s="275"/>
      <c r="O507" s="275"/>
      <c r="P507" s="275"/>
      <c r="Q507" s="275"/>
      <c r="R507" s="275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  <c r="AD507" s="275"/>
      <c r="AE507" s="302"/>
      <c r="AF507" s="206"/>
      <c r="AG507" s="206"/>
      <c r="AH507" s="206"/>
      <c r="AI507" s="206"/>
      <c r="AJ507" s="206"/>
    </row>
    <row r="508">
      <c r="A508" s="343" t="s">
        <v>945</v>
      </c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  <c r="AD508" s="275"/>
      <c r="AE508" s="302"/>
      <c r="AF508" s="206"/>
      <c r="AG508" s="206"/>
      <c r="AH508" s="206"/>
      <c r="AI508" s="206"/>
      <c r="AJ508" s="206"/>
    </row>
    <row r="509">
      <c r="A509" s="343" t="s">
        <v>955</v>
      </c>
      <c r="B509" s="300">
        <v>57.5</v>
      </c>
      <c r="C509" s="300">
        <v>57.5</v>
      </c>
      <c r="D509" s="300">
        <v>57.5</v>
      </c>
      <c r="E509" s="300">
        <v>57.5</v>
      </c>
      <c r="F509" s="281"/>
      <c r="G509" s="275"/>
      <c r="H509" s="275"/>
      <c r="I509" s="281"/>
      <c r="J509" s="281"/>
      <c r="K509" s="281"/>
      <c r="L509" s="281"/>
      <c r="M509" s="275"/>
      <c r="N509" s="275"/>
      <c r="O509" s="275"/>
      <c r="P509" s="281"/>
      <c r="Q509" s="281"/>
      <c r="R509" s="288"/>
      <c r="S509" s="288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  <c r="AD509" s="282">
        <v>57.5</v>
      </c>
      <c r="AE509" s="302"/>
      <c r="AF509" s="206"/>
      <c r="AG509" s="206"/>
      <c r="AH509" s="206"/>
      <c r="AI509" s="206"/>
      <c r="AJ509" s="206"/>
    </row>
    <row r="510">
      <c r="A510" s="343" t="s">
        <v>956</v>
      </c>
      <c r="B510" s="281"/>
      <c r="C510" s="281"/>
      <c r="D510" s="281"/>
      <c r="E510" s="281"/>
      <c r="F510" s="281"/>
      <c r="G510" s="275"/>
      <c r="H510" s="275"/>
      <c r="I510" s="281"/>
      <c r="J510" s="281"/>
      <c r="K510" s="281"/>
      <c r="L510" s="281"/>
      <c r="M510" s="275"/>
      <c r="N510" s="275"/>
      <c r="O510" s="275"/>
      <c r="P510" s="281"/>
      <c r="Q510" s="281"/>
      <c r="R510" s="288"/>
      <c r="S510" s="288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  <c r="AD510" s="282">
        <v>57.5</v>
      </c>
      <c r="AE510" s="302"/>
      <c r="AF510" s="206"/>
      <c r="AG510" s="206"/>
      <c r="AH510" s="206"/>
      <c r="AI510" s="206"/>
      <c r="AJ510" s="206"/>
    </row>
    <row r="511">
      <c r="A511" s="343" t="s">
        <v>717</v>
      </c>
      <c r="B511" s="297">
        <v>57.5</v>
      </c>
      <c r="C511" s="297">
        <v>57.5</v>
      </c>
      <c r="D511" s="281"/>
      <c r="E511" s="275"/>
      <c r="F511" s="275"/>
      <c r="G511" s="275"/>
      <c r="H511" s="275"/>
      <c r="I511" s="297">
        <v>57.5</v>
      </c>
      <c r="J511" s="297">
        <v>57.5</v>
      </c>
      <c r="K511" s="297">
        <v>57.5</v>
      </c>
      <c r="L511" s="275"/>
      <c r="M511" s="275"/>
      <c r="N511" s="275"/>
      <c r="O511" s="275"/>
      <c r="P511" s="275"/>
      <c r="Q511" s="275"/>
      <c r="R511" s="275"/>
      <c r="S511" s="264"/>
      <c r="T511" s="264"/>
      <c r="U511" s="264"/>
      <c r="V511" s="264"/>
      <c r="W511" s="264"/>
      <c r="X511" s="348"/>
      <c r="Y511" s="264"/>
      <c r="Z511" s="264"/>
      <c r="AA511" s="264"/>
      <c r="AB511" s="264"/>
      <c r="AC511" s="264"/>
      <c r="AD511" s="275"/>
      <c r="AE511" s="318">
        <v>57.5</v>
      </c>
      <c r="AF511" s="206"/>
      <c r="AG511" s="206"/>
      <c r="AH511" s="206"/>
      <c r="AI511" s="206"/>
      <c r="AJ511" s="206"/>
    </row>
    <row r="512">
      <c r="A512" s="343" t="s">
        <v>1006</v>
      </c>
      <c r="B512" s="275"/>
      <c r="C512" s="275"/>
      <c r="D512" s="28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81"/>
      <c r="R512" s="281"/>
      <c r="S512" s="264"/>
      <c r="T512" s="297">
        <v>57.5</v>
      </c>
      <c r="U512" s="297">
        <v>57.5</v>
      </c>
      <c r="V512" s="264"/>
      <c r="W512" s="264"/>
      <c r="X512" s="264"/>
      <c r="Y512" s="297">
        <v>57.5</v>
      </c>
      <c r="Z512" s="264"/>
      <c r="AA512" s="264"/>
      <c r="AB512" s="264"/>
      <c r="AC512" s="264"/>
      <c r="AD512" s="275"/>
      <c r="AE512" s="264"/>
      <c r="AF512" s="206"/>
      <c r="AG512" s="206"/>
      <c r="AH512" s="206"/>
      <c r="AI512" s="206"/>
      <c r="AJ512" s="206"/>
    </row>
    <row r="513">
      <c r="A513" s="343" t="s">
        <v>1007</v>
      </c>
      <c r="B513" s="275"/>
      <c r="C513" s="297">
        <v>57.5</v>
      </c>
      <c r="D513" s="297">
        <v>57.5</v>
      </c>
      <c r="E513" s="275"/>
      <c r="F513" s="275"/>
      <c r="G513" s="275"/>
      <c r="H513" s="275"/>
      <c r="I513" s="77"/>
      <c r="J513" s="77"/>
      <c r="K513" s="284"/>
      <c r="L513" s="275"/>
      <c r="M513" s="275"/>
      <c r="N513" s="275"/>
      <c r="O513" s="275"/>
      <c r="P513" s="275"/>
      <c r="Q513" s="275"/>
      <c r="R513" s="275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06"/>
      <c r="AG513" s="206"/>
      <c r="AH513" s="206"/>
      <c r="AI513" s="206"/>
      <c r="AJ513" s="206"/>
    </row>
    <row r="514">
      <c r="A514" s="349" t="s">
        <v>1009</v>
      </c>
      <c r="B514" s="275"/>
      <c r="C514" s="297">
        <v>57.5</v>
      </c>
      <c r="D514" s="297">
        <v>57.5</v>
      </c>
      <c r="E514" s="275"/>
      <c r="F514" s="275"/>
      <c r="G514" s="275"/>
      <c r="H514" s="275"/>
      <c r="I514" s="77"/>
      <c r="J514" s="77"/>
      <c r="K514" s="284"/>
      <c r="L514" s="275"/>
      <c r="M514" s="275"/>
      <c r="N514" s="275"/>
      <c r="O514" s="275"/>
      <c r="P514" s="275"/>
      <c r="Q514" s="275"/>
      <c r="R514" s="275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</row>
    <row r="517">
      <c r="A517" s="251" t="s">
        <v>788</v>
      </c>
      <c r="B517" s="331"/>
      <c r="C517" s="332"/>
      <c r="D517" s="332" t="s">
        <v>27</v>
      </c>
      <c r="E517" s="332" t="s">
        <v>2</v>
      </c>
      <c r="F517" s="332" t="s">
        <v>3</v>
      </c>
      <c r="G517" s="333" t="s">
        <v>790</v>
      </c>
      <c r="H517" s="334"/>
      <c r="I517" s="332" t="s">
        <v>25</v>
      </c>
      <c r="J517" s="332" t="s">
        <v>789</v>
      </c>
      <c r="K517" s="332" t="s">
        <v>27</v>
      </c>
      <c r="L517" s="332" t="s">
        <v>2</v>
      </c>
      <c r="M517" s="332" t="s">
        <v>3</v>
      </c>
      <c r="N517" s="335" t="s">
        <v>790</v>
      </c>
      <c r="O517" s="334"/>
      <c r="P517" s="332" t="s">
        <v>25</v>
      </c>
      <c r="Q517" s="331" t="s">
        <v>789</v>
      </c>
      <c r="R517" s="332" t="s">
        <v>27</v>
      </c>
      <c r="S517" s="332" t="s">
        <v>2</v>
      </c>
      <c r="T517" s="332" t="s">
        <v>3</v>
      </c>
      <c r="U517" s="333" t="s">
        <v>790</v>
      </c>
      <c r="V517" s="334"/>
      <c r="W517" s="332" t="s">
        <v>25</v>
      </c>
      <c r="X517" s="331" t="s">
        <v>789</v>
      </c>
      <c r="Y517" s="332" t="s">
        <v>27</v>
      </c>
      <c r="Z517" s="332" t="s">
        <v>2</v>
      </c>
      <c r="AA517" s="332" t="s">
        <v>3</v>
      </c>
      <c r="AB517" s="336" t="s">
        <v>790</v>
      </c>
      <c r="AC517" s="336"/>
      <c r="AD517" s="337" t="s">
        <v>25</v>
      </c>
      <c r="AE517" s="337" t="s">
        <v>26</v>
      </c>
      <c r="AF517" s="206"/>
      <c r="AG517" s="206"/>
      <c r="AH517" s="206"/>
      <c r="AI517" s="206"/>
      <c r="AJ517" s="206"/>
    </row>
    <row r="518">
      <c r="A518" s="206"/>
      <c r="B518" s="338"/>
      <c r="C518" s="338"/>
      <c r="D518" s="338">
        <v>1.04</v>
      </c>
      <c r="E518" s="338">
        <v>2.04</v>
      </c>
      <c r="F518" s="338">
        <v>3.04</v>
      </c>
      <c r="G518" s="338">
        <v>4.04</v>
      </c>
      <c r="H518" s="339"/>
      <c r="I518" s="338">
        <v>6.04</v>
      </c>
      <c r="J518" s="338">
        <v>7.04</v>
      </c>
      <c r="K518" s="338">
        <v>8.04</v>
      </c>
      <c r="L518" s="338">
        <v>9.04</v>
      </c>
      <c r="M518" s="338">
        <v>10.04</v>
      </c>
      <c r="N518" s="338">
        <v>11.04</v>
      </c>
      <c r="O518" s="339"/>
      <c r="P518" s="338">
        <v>13.04</v>
      </c>
      <c r="Q518" s="338">
        <v>14.04</v>
      </c>
      <c r="R518" s="338">
        <v>15.04</v>
      </c>
      <c r="S518" s="338">
        <v>16.04</v>
      </c>
      <c r="T518" s="338">
        <v>17.04</v>
      </c>
      <c r="U518" s="350">
        <v>18.04</v>
      </c>
      <c r="V518" s="339"/>
      <c r="W518" s="338">
        <v>20.04</v>
      </c>
      <c r="X518" s="338">
        <v>21.04</v>
      </c>
      <c r="Y518" s="338">
        <v>22.04</v>
      </c>
      <c r="Z518" s="338">
        <v>23.04</v>
      </c>
      <c r="AA518" s="338">
        <v>24.04</v>
      </c>
      <c r="AB518" s="338">
        <v>25.04</v>
      </c>
      <c r="AC518" s="339"/>
      <c r="AD518" s="338">
        <v>27.04</v>
      </c>
      <c r="AE518" s="338">
        <v>28.04</v>
      </c>
      <c r="AF518" s="206"/>
      <c r="AG518" s="206"/>
      <c r="AH518" s="206"/>
      <c r="AI518" s="206"/>
      <c r="AJ518" s="206"/>
    </row>
    <row r="519">
      <c r="A519" s="341" t="s">
        <v>816</v>
      </c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2"/>
      <c r="S519" s="352"/>
      <c r="T519" s="351"/>
      <c r="U519" s="351"/>
      <c r="V519" s="351"/>
      <c r="W519" s="353"/>
      <c r="X519" s="353"/>
      <c r="Y519" s="353"/>
      <c r="Z519" s="351"/>
      <c r="AA519" s="351"/>
      <c r="AB519" s="351"/>
      <c r="AC519" s="351"/>
      <c r="AD519" s="351"/>
      <c r="AE519" s="351"/>
      <c r="AF519" s="206"/>
      <c r="AG519" s="206"/>
      <c r="AH519" s="206"/>
      <c r="AI519" s="206"/>
      <c r="AJ519" s="206"/>
    </row>
    <row r="520">
      <c r="A520" s="342" t="s">
        <v>817</v>
      </c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2"/>
      <c r="S520" s="352"/>
      <c r="T520" s="351"/>
      <c r="U520" s="351"/>
      <c r="V520" s="351"/>
      <c r="W520" s="353"/>
      <c r="X520" s="353"/>
      <c r="Y520" s="353"/>
      <c r="Z520" s="351"/>
      <c r="AA520" s="351"/>
      <c r="AB520" s="351"/>
      <c r="AC520" s="351"/>
      <c r="AD520" s="351"/>
      <c r="AE520" s="351"/>
      <c r="AF520" s="206"/>
      <c r="AG520" s="206"/>
      <c r="AH520" s="206"/>
      <c r="AI520" s="206"/>
      <c r="AJ520" s="206"/>
    </row>
    <row r="521">
      <c r="A521" s="342" t="s">
        <v>44</v>
      </c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51"/>
      <c r="AF521" s="206"/>
      <c r="AG521" s="206"/>
      <c r="AH521" s="206"/>
      <c r="AI521" s="206"/>
      <c r="AJ521" s="206"/>
    </row>
    <row r="522">
      <c r="A522" s="342" t="s">
        <v>310</v>
      </c>
      <c r="B522" s="354"/>
      <c r="C522" s="354"/>
      <c r="D522" s="354"/>
      <c r="E522" s="354"/>
      <c r="F522" s="351"/>
      <c r="G522" s="351"/>
      <c r="H522" s="351"/>
      <c r="I522" s="351"/>
      <c r="J522" s="351"/>
      <c r="K522" s="318">
        <v>57.5</v>
      </c>
      <c r="L522" s="318">
        <v>57.5</v>
      </c>
      <c r="M522" s="352"/>
      <c r="N522" s="351"/>
      <c r="O522" s="351"/>
      <c r="P522" s="351"/>
      <c r="Q522" s="351"/>
      <c r="R522" s="351"/>
      <c r="S522" s="351"/>
      <c r="T522" s="351"/>
      <c r="U522" s="351"/>
      <c r="V522" s="351"/>
      <c r="W522" s="352"/>
      <c r="X522" s="352"/>
      <c r="Y522" s="352"/>
      <c r="Z522" s="351"/>
      <c r="AA522" s="351"/>
      <c r="AB522" s="351"/>
      <c r="AC522" s="351"/>
      <c r="AD522" s="351"/>
      <c r="AE522" s="351"/>
      <c r="AF522" s="206"/>
      <c r="AG522" s="206"/>
      <c r="AH522" s="206"/>
      <c r="AI522" s="206"/>
      <c r="AJ522" s="206"/>
    </row>
    <row r="523">
      <c r="A523" s="342" t="s">
        <v>819</v>
      </c>
      <c r="B523" s="354"/>
      <c r="C523" s="354"/>
      <c r="D523" s="354"/>
      <c r="E523" s="354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2"/>
      <c r="X523" s="352"/>
      <c r="Y523" s="352"/>
      <c r="Z523" s="351"/>
      <c r="AA523" s="351"/>
      <c r="AB523" s="351"/>
      <c r="AC523" s="351"/>
      <c r="AD523" s="351"/>
      <c r="AE523" s="351"/>
      <c r="AF523" s="206"/>
      <c r="AG523" s="206"/>
      <c r="AH523" s="206"/>
      <c r="AI523" s="206"/>
      <c r="AJ523" s="206"/>
    </row>
    <row r="524">
      <c r="A524" s="342" t="s">
        <v>735</v>
      </c>
      <c r="B524" s="355"/>
      <c r="C524" s="355"/>
      <c r="D524" s="355"/>
      <c r="E524" s="355"/>
      <c r="F524" s="351"/>
      <c r="G524" s="351"/>
      <c r="H524" s="351"/>
      <c r="I524" s="352"/>
      <c r="J524" s="318">
        <v>57.5</v>
      </c>
      <c r="K524" s="318">
        <v>57.5</v>
      </c>
      <c r="L524" s="318">
        <v>57.5</v>
      </c>
      <c r="M524" s="318">
        <v>57.5</v>
      </c>
      <c r="N524" s="351"/>
      <c r="O524" s="351"/>
      <c r="P524" s="354"/>
      <c r="Q524" s="356">
        <v>57.5</v>
      </c>
      <c r="R524" s="356">
        <v>57.5</v>
      </c>
      <c r="S524" s="356">
        <v>57.5</v>
      </c>
      <c r="T524" s="356">
        <v>57.5</v>
      </c>
      <c r="U524" s="357"/>
      <c r="V524" s="351"/>
      <c r="W524" s="351"/>
      <c r="X524" s="351"/>
      <c r="Y524" s="352"/>
      <c r="Z524" s="351"/>
      <c r="AA524" s="351"/>
      <c r="AB524" s="351"/>
      <c r="AC524" s="351"/>
      <c r="AD524" s="318">
        <v>57.5</v>
      </c>
      <c r="AE524" s="351"/>
      <c r="AF524" s="206"/>
      <c r="AG524" s="206"/>
      <c r="AH524" s="206"/>
      <c r="AI524" s="206"/>
      <c r="AJ524" s="206"/>
    </row>
    <row r="525">
      <c r="A525" s="342" t="s">
        <v>866</v>
      </c>
      <c r="B525" s="355"/>
      <c r="C525" s="355"/>
      <c r="D525" s="355"/>
      <c r="E525" s="355"/>
      <c r="F525" s="351"/>
      <c r="G525" s="351"/>
      <c r="H525" s="351"/>
      <c r="I525" s="352"/>
      <c r="J525" s="318">
        <v>57.5</v>
      </c>
      <c r="K525" s="318">
        <v>57.5</v>
      </c>
      <c r="L525" s="318">
        <v>57.5</v>
      </c>
      <c r="M525" s="318">
        <v>57.5</v>
      </c>
      <c r="N525" s="351"/>
      <c r="O525" s="351"/>
      <c r="P525" s="357"/>
      <c r="Q525" s="356">
        <v>57.5</v>
      </c>
      <c r="R525" s="356">
        <v>57.5</v>
      </c>
      <c r="S525" s="356">
        <v>57.5</v>
      </c>
      <c r="T525" s="356">
        <v>57.5</v>
      </c>
      <c r="U525" s="357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51"/>
      <c r="AF525" s="206"/>
      <c r="AG525" s="206"/>
      <c r="AH525" s="206"/>
      <c r="AI525" s="206"/>
      <c r="AJ525" s="206"/>
    </row>
    <row r="526">
      <c r="A526" s="342" t="s">
        <v>867</v>
      </c>
      <c r="B526" s="355"/>
      <c r="C526" s="355"/>
      <c r="D526" s="355"/>
      <c r="E526" s="355"/>
      <c r="F526" s="351"/>
      <c r="G526" s="351"/>
      <c r="H526" s="351"/>
      <c r="I526" s="352"/>
      <c r="J526" s="318">
        <v>57.5</v>
      </c>
      <c r="K526" s="318">
        <v>57.5</v>
      </c>
      <c r="L526" s="318">
        <v>57.5</v>
      </c>
      <c r="M526" s="352"/>
      <c r="N526" s="351"/>
      <c r="O526" s="351"/>
      <c r="P526" s="354"/>
      <c r="Q526" s="356">
        <v>57.5</v>
      </c>
      <c r="R526" s="356">
        <v>57.5</v>
      </c>
      <c r="S526" s="356">
        <v>57.5</v>
      </c>
      <c r="T526" s="356">
        <v>57.5</v>
      </c>
      <c r="U526" s="357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51"/>
      <c r="AF526" s="206"/>
      <c r="AG526" s="206"/>
      <c r="AH526" s="206"/>
      <c r="AI526" s="206"/>
      <c r="AJ526" s="206"/>
    </row>
    <row r="527">
      <c r="A527" s="342" t="s">
        <v>818</v>
      </c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2"/>
      <c r="R527" s="352"/>
      <c r="S527" s="352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18">
        <v>57.5</v>
      </c>
      <c r="AE527" s="351"/>
      <c r="AF527" s="206"/>
      <c r="AG527" s="206"/>
      <c r="AH527" s="206"/>
      <c r="AI527" s="206"/>
      <c r="AJ527" s="206"/>
    </row>
    <row r="528">
      <c r="A528" s="342" t="s">
        <v>827</v>
      </c>
      <c r="B528" s="351"/>
      <c r="C528" s="351"/>
      <c r="D528" s="351"/>
      <c r="E528" s="351"/>
      <c r="F528" s="351"/>
      <c r="G528" s="351"/>
      <c r="H528" s="351"/>
      <c r="I528" s="351"/>
      <c r="J528" s="352"/>
      <c r="K528" s="318">
        <v>57.5</v>
      </c>
      <c r="L528" s="318">
        <v>57.5</v>
      </c>
      <c r="M528" s="351"/>
      <c r="N528" s="351"/>
      <c r="O528" s="351"/>
      <c r="P528" s="351"/>
      <c r="Q528" s="352"/>
      <c r="R528" s="352"/>
      <c r="S528" s="352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18">
        <v>57.5</v>
      </c>
      <c r="AE528" s="351"/>
      <c r="AF528" s="206"/>
      <c r="AG528" s="206"/>
      <c r="AH528" s="206"/>
      <c r="AI528" s="206"/>
      <c r="AJ528" s="206"/>
    </row>
    <row r="529">
      <c r="A529" s="343" t="s">
        <v>832</v>
      </c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2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51"/>
      <c r="AF529" s="206"/>
      <c r="AG529" s="206"/>
      <c r="AH529" s="206"/>
      <c r="AI529" s="206"/>
      <c r="AJ529" s="206"/>
    </row>
    <row r="530">
      <c r="A530" s="343" t="s">
        <v>835</v>
      </c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51"/>
      <c r="AF530" s="206"/>
      <c r="AG530" s="206"/>
      <c r="AH530" s="206"/>
      <c r="AI530" s="206"/>
      <c r="AJ530" s="206"/>
    </row>
    <row r="531">
      <c r="A531" s="344" t="s">
        <v>824</v>
      </c>
      <c r="B531" s="351"/>
      <c r="C531" s="351"/>
      <c r="D531" s="351"/>
      <c r="E531" s="351"/>
      <c r="F531" s="351"/>
      <c r="G531" s="351"/>
      <c r="H531" s="351"/>
      <c r="I531" s="351"/>
      <c r="J531" s="352"/>
      <c r="K531" s="352"/>
      <c r="L531" s="352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8"/>
      <c r="Y531" s="358"/>
      <c r="Z531" s="351"/>
      <c r="AA531" s="351"/>
      <c r="AB531" s="351"/>
      <c r="AC531" s="351"/>
      <c r="AD531" s="351"/>
      <c r="AE531" s="351"/>
      <c r="AF531" s="206"/>
      <c r="AG531" s="206"/>
      <c r="AH531" s="206"/>
      <c r="AI531" s="206"/>
      <c r="AJ531" s="206"/>
    </row>
    <row r="532">
      <c r="A532" s="344" t="s">
        <v>825</v>
      </c>
      <c r="B532" s="352"/>
      <c r="C532" s="352"/>
      <c r="D532" s="352"/>
      <c r="E532" s="352"/>
      <c r="F532" s="351"/>
      <c r="G532" s="351"/>
      <c r="H532" s="351"/>
      <c r="I532" s="352"/>
      <c r="J532" s="352"/>
      <c r="K532" s="352"/>
      <c r="L532" s="352"/>
      <c r="M532" s="351"/>
      <c r="N532" s="351"/>
      <c r="O532" s="351"/>
      <c r="P532" s="351"/>
      <c r="Q532" s="352"/>
      <c r="R532" s="352"/>
      <c r="S532" s="352"/>
      <c r="T532" s="352"/>
      <c r="U532" s="351"/>
      <c r="V532" s="351"/>
      <c r="W532" s="352"/>
      <c r="X532" s="352"/>
      <c r="Y532" s="352"/>
      <c r="Z532" s="352"/>
      <c r="AA532" s="352"/>
      <c r="AB532" s="351"/>
      <c r="AC532" s="351"/>
      <c r="AD532" s="351"/>
      <c r="AE532" s="351"/>
      <c r="AF532" s="206"/>
      <c r="AG532" s="206"/>
      <c r="AH532" s="206"/>
      <c r="AI532" s="206"/>
      <c r="AJ532" s="206"/>
    </row>
    <row r="533">
      <c r="A533" s="344" t="s">
        <v>826</v>
      </c>
      <c r="B533" s="355"/>
      <c r="C533" s="355"/>
      <c r="D533" s="355"/>
      <c r="E533" s="355"/>
      <c r="F533" s="354"/>
      <c r="G533" s="351"/>
      <c r="H533" s="351"/>
      <c r="I533" s="354"/>
      <c r="J533" s="354"/>
      <c r="K533" s="354"/>
      <c r="L533" s="354"/>
      <c r="M533" s="351"/>
      <c r="N533" s="351"/>
      <c r="O533" s="351"/>
      <c r="P533" s="354"/>
      <c r="Q533" s="355"/>
      <c r="R533" s="355"/>
      <c r="S533" s="355"/>
      <c r="T533" s="355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51"/>
      <c r="AF533" s="206"/>
      <c r="AG533" s="206"/>
      <c r="AH533" s="206"/>
      <c r="AI533" s="206"/>
      <c r="AJ533" s="206"/>
    </row>
    <row r="534">
      <c r="A534" s="347" t="s">
        <v>680</v>
      </c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51"/>
      <c r="AF534" s="206"/>
      <c r="AG534" s="206"/>
      <c r="AH534" s="206"/>
      <c r="AI534" s="206"/>
      <c r="AJ534" s="206"/>
    </row>
    <row r="535">
      <c r="A535" s="347" t="s">
        <v>828</v>
      </c>
      <c r="B535" s="352"/>
      <c r="C535" s="352"/>
      <c r="D535" s="352"/>
      <c r="E535" s="352"/>
      <c r="F535" s="351"/>
      <c r="G535" s="351"/>
      <c r="H535" s="351"/>
      <c r="I535" s="352"/>
      <c r="J535" s="352"/>
      <c r="K535" s="352"/>
      <c r="L535" s="352"/>
      <c r="M535" s="351"/>
      <c r="N535" s="351"/>
      <c r="O535" s="351"/>
      <c r="P535" s="351"/>
      <c r="Q535" s="352"/>
      <c r="R535" s="352"/>
      <c r="S535" s="352"/>
      <c r="T535" s="352"/>
      <c r="U535" s="351"/>
      <c r="V535" s="351"/>
      <c r="W535" s="352"/>
      <c r="X535" s="352"/>
      <c r="Y535" s="352"/>
      <c r="Z535" s="352"/>
      <c r="AA535" s="352"/>
      <c r="AB535" s="351"/>
      <c r="AC535" s="351"/>
      <c r="AD535" s="351"/>
      <c r="AE535" s="351"/>
      <c r="AF535" s="206"/>
      <c r="AG535" s="206"/>
      <c r="AH535" s="206"/>
      <c r="AI535" s="206"/>
      <c r="AJ535" s="206"/>
    </row>
    <row r="536">
      <c r="A536" s="343" t="s">
        <v>829</v>
      </c>
      <c r="B536" s="352"/>
      <c r="C536" s="352"/>
      <c r="D536" s="352"/>
      <c r="E536" s="352"/>
      <c r="F536" s="351"/>
      <c r="G536" s="351"/>
      <c r="H536" s="351"/>
      <c r="I536" s="352"/>
      <c r="J536" s="352"/>
      <c r="K536" s="352"/>
      <c r="L536" s="352"/>
      <c r="M536" s="351"/>
      <c r="N536" s="351"/>
      <c r="O536" s="351"/>
      <c r="P536" s="351"/>
      <c r="Q536" s="352"/>
      <c r="R536" s="352"/>
      <c r="S536" s="352"/>
      <c r="T536" s="352"/>
      <c r="U536" s="351"/>
      <c r="V536" s="351"/>
      <c r="W536" s="352"/>
      <c r="X536" s="352"/>
      <c r="Y536" s="352"/>
      <c r="Z536" s="352"/>
      <c r="AA536" s="352"/>
      <c r="AB536" s="351"/>
      <c r="AC536" s="351"/>
      <c r="AD536" s="351"/>
      <c r="AE536" s="351"/>
      <c r="AF536" s="206"/>
      <c r="AG536" s="206"/>
      <c r="AH536" s="206"/>
      <c r="AI536" s="206"/>
      <c r="AJ536" s="206"/>
    </row>
    <row r="537">
      <c r="A537" s="343" t="s">
        <v>830</v>
      </c>
      <c r="B537" s="352"/>
      <c r="C537" s="352"/>
      <c r="D537" s="352"/>
      <c r="E537" s="352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2"/>
      <c r="R537" s="352"/>
      <c r="S537" s="352"/>
      <c r="T537" s="352"/>
      <c r="U537" s="351"/>
      <c r="V537" s="351"/>
      <c r="W537" s="352"/>
      <c r="X537" s="352"/>
      <c r="Y537" s="352"/>
      <c r="Z537" s="352"/>
      <c r="AA537" s="352"/>
      <c r="AB537" s="351"/>
      <c r="AC537" s="351"/>
      <c r="AD537" s="351"/>
      <c r="AE537" s="351"/>
      <c r="AF537" s="206"/>
      <c r="AG537" s="206"/>
      <c r="AH537" s="206"/>
      <c r="AI537" s="206"/>
      <c r="AJ537" s="206"/>
    </row>
    <row r="538">
      <c r="A538" s="343" t="s">
        <v>871</v>
      </c>
      <c r="B538" s="352"/>
      <c r="C538" s="352"/>
      <c r="D538" s="352"/>
      <c r="E538" s="352"/>
      <c r="F538" s="351"/>
      <c r="G538" s="351"/>
      <c r="H538" s="351"/>
      <c r="I538" s="352"/>
      <c r="J538" s="352"/>
      <c r="K538" s="351"/>
      <c r="L538" s="351"/>
      <c r="M538" s="351"/>
      <c r="N538" s="351"/>
      <c r="O538" s="351"/>
      <c r="P538" s="352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51"/>
      <c r="AF538" s="206"/>
      <c r="AG538" s="206"/>
      <c r="AH538" s="206"/>
      <c r="AI538" s="206"/>
      <c r="AJ538" s="206"/>
    </row>
    <row r="539">
      <c r="A539" s="343" t="s">
        <v>948</v>
      </c>
      <c r="B539" s="352"/>
      <c r="C539" s="352"/>
      <c r="D539" s="352"/>
      <c r="E539" s="352"/>
      <c r="F539" s="351"/>
      <c r="G539" s="351"/>
      <c r="H539" s="351"/>
      <c r="I539" s="352"/>
      <c r="J539" s="352"/>
      <c r="K539" s="351"/>
      <c r="L539" s="351"/>
      <c r="M539" s="351"/>
      <c r="N539" s="351"/>
      <c r="O539" s="351"/>
      <c r="P539" s="352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51"/>
      <c r="AF539" s="206"/>
      <c r="AG539" s="206"/>
      <c r="AH539" s="206"/>
      <c r="AI539" s="206"/>
      <c r="AJ539" s="206"/>
    </row>
    <row r="540">
      <c r="A540" s="343" t="s">
        <v>872</v>
      </c>
      <c r="B540" s="352"/>
      <c r="C540" s="352"/>
      <c r="D540" s="352"/>
      <c r="E540" s="352"/>
      <c r="F540" s="351"/>
      <c r="G540" s="351"/>
      <c r="H540" s="351"/>
      <c r="I540" s="352"/>
      <c r="J540" s="352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51"/>
      <c r="AF540" s="206"/>
      <c r="AG540" s="206"/>
      <c r="AH540" s="206"/>
      <c r="AI540" s="206"/>
      <c r="AJ540" s="206"/>
    </row>
    <row r="541">
      <c r="A541" s="343" t="s">
        <v>747</v>
      </c>
      <c r="B541" s="352"/>
      <c r="C541" s="352"/>
      <c r="D541" s="352"/>
      <c r="E541" s="352"/>
      <c r="F541" s="352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51"/>
      <c r="AF541" s="206"/>
      <c r="AG541" s="206"/>
      <c r="AH541" s="206"/>
      <c r="AI541" s="206"/>
      <c r="AJ541" s="206"/>
    </row>
    <row r="542">
      <c r="A542" s="343" t="s">
        <v>949</v>
      </c>
      <c r="B542" s="352"/>
      <c r="C542" s="352"/>
      <c r="D542" s="352"/>
      <c r="E542" s="352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51"/>
      <c r="AF542" s="206"/>
      <c r="AG542" s="206"/>
      <c r="AH542" s="206"/>
      <c r="AI542" s="206"/>
      <c r="AJ542" s="206"/>
    </row>
    <row r="543">
      <c r="A543" s="343" t="s">
        <v>954</v>
      </c>
      <c r="B543" s="352"/>
      <c r="C543" s="352"/>
      <c r="D543" s="352"/>
      <c r="E543" s="352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51"/>
      <c r="AF543" s="206"/>
      <c r="AG543" s="206"/>
      <c r="AH543" s="206"/>
      <c r="AI543" s="206"/>
      <c r="AJ543" s="206"/>
    </row>
    <row r="544">
      <c r="A544" s="343" t="s">
        <v>12</v>
      </c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51"/>
      <c r="AF544" s="206"/>
      <c r="AG544" s="206"/>
      <c r="AH544" s="206"/>
      <c r="AI544" s="206"/>
      <c r="AJ544" s="206"/>
    </row>
    <row r="545">
      <c r="A545" s="343" t="s">
        <v>838</v>
      </c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51"/>
      <c r="AF545" s="206"/>
      <c r="AG545" s="206"/>
      <c r="AH545" s="206"/>
      <c r="AI545" s="206"/>
      <c r="AJ545" s="206"/>
    </row>
    <row r="546">
      <c r="A546" s="343" t="s">
        <v>822</v>
      </c>
      <c r="B546" s="355"/>
      <c r="C546" s="355"/>
      <c r="D546" s="355"/>
      <c r="E546" s="355"/>
      <c r="F546" s="354"/>
      <c r="G546" s="351"/>
      <c r="H546" s="351"/>
      <c r="I546" s="354"/>
      <c r="J546" s="354"/>
      <c r="K546" s="354"/>
      <c r="L546" s="354"/>
      <c r="M546" s="351"/>
      <c r="N546" s="351"/>
      <c r="O546" s="351"/>
      <c r="P546" s="354"/>
      <c r="Q546" s="354"/>
      <c r="R546" s="354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18">
        <v>57.5</v>
      </c>
      <c r="AE546" s="351"/>
      <c r="AF546" s="206"/>
      <c r="AG546" s="206"/>
      <c r="AH546" s="206"/>
      <c r="AI546" s="206"/>
      <c r="AJ546" s="206"/>
    </row>
    <row r="547">
      <c r="A547" s="343" t="s">
        <v>677</v>
      </c>
      <c r="B547" s="351"/>
      <c r="C547" s="351"/>
      <c r="D547" s="351"/>
      <c r="E547" s="351"/>
      <c r="F547" s="351"/>
      <c r="G547" s="351"/>
      <c r="H547" s="351"/>
      <c r="I547" s="351"/>
      <c r="J547" s="352"/>
      <c r="K547" s="352"/>
      <c r="L547" s="352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18">
        <v>57.5</v>
      </c>
      <c r="Y547" s="318">
        <v>57.5</v>
      </c>
      <c r="Z547" s="318">
        <v>57.5</v>
      </c>
      <c r="AA547" s="351"/>
      <c r="AB547" s="351"/>
      <c r="AC547" s="351"/>
      <c r="AD547" s="318">
        <v>57.5</v>
      </c>
      <c r="AE547" s="351"/>
      <c r="AF547" s="206"/>
      <c r="AG547" s="206"/>
      <c r="AH547" s="206"/>
      <c r="AI547" s="206"/>
      <c r="AJ547" s="206"/>
    </row>
    <row r="548">
      <c r="A548" s="343" t="s">
        <v>263</v>
      </c>
      <c r="B548" s="351"/>
      <c r="C548" s="351"/>
      <c r="D548" s="351"/>
      <c r="E548" s="351"/>
      <c r="F548" s="351"/>
      <c r="G548" s="351"/>
      <c r="H548" s="351"/>
      <c r="I548" s="351"/>
      <c r="J548" s="352"/>
      <c r="K548" s="352"/>
      <c r="L548" s="352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2"/>
      <c r="X548" s="318">
        <v>57.5</v>
      </c>
      <c r="Y548" s="318">
        <v>57.5</v>
      </c>
      <c r="Z548" s="318">
        <v>57.5</v>
      </c>
      <c r="AA548" s="352"/>
      <c r="AB548" s="351"/>
      <c r="AC548" s="351"/>
      <c r="AD548" s="351"/>
      <c r="AE548" s="351"/>
      <c r="AF548" s="206"/>
      <c r="AG548" s="206"/>
      <c r="AH548" s="206"/>
      <c r="AI548" s="206"/>
      <c r="AJ548" s="206"/>
    </row>
    <row r="549">
      <c r="A549" s="343" t="s">
        <v>944</v>
      </c>
      <c r="B549" s="351"/>
      <c r="C549" s="351"/>
      <c r="D549" s="351"/>
      <c r="E549" s="351"/>
      <c r="F549" s="351"/>
      <c r="G549" s="351"/>
      <c r="H549" s="351"/>
      <c r="I549" s="352"/>
      <c r="J549" s="352"/>
      <c r="K549" s="352"/>
      <c r="L549" s="352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18">
        <v>57.5</v>
      </c>
      <c r="Y549" s="318">
        <v>57.5</v>
      </c>
      <c r="Z549" s="318">
        <v>57.5</v>
      </c>
      <c r="AA549" s="351"/>
      <c r="AB549" s="351"/>
      <c r="AC549" s="351"/>
      <c r="AD549" s="351"/>
      <c r="AE549" s="351"/>
      <c r="AF549" s="206"/>
      <c r="AG549" s="206"/>
      <c r="AH549" s="206"/>
      <c r="AI549" s="206"/>
      <c r="AJ549" s="206"/>
    </row>
    <row r="550">
      <c r="A550" s="349" t="s">
        <v>1010</v>
      </c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18">
        <v>57.5</v>
      </c>
      <c r="Y550" s="318">
        <v>57.5</v>
      </c>
      <c r="Z550" s="318">
        <v>57.5</v>
      </c>
      <c r="AA550" s="351"/>
      <c r="AB550" s="351"/>
      <c r="AC550" s="351"/>
      <c r="AD550" s="351"/>
      <c r="AE550" s="351"/>
      <c r="AF550" s="206"/>
      <c r="AG550" s="206"/>
      <c r="AH550" s="206"/>
      <c r="AI550" s="206"/>
      <c r="AJ550" s="206"/>
    </row>
    <row r="551">
      <c r="A551" s="343" t="s">
        <v>945</v>
      </c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51"/>
      <c r="AF551" s="206"/>
      <c r="AG551" s="206"/>
      <c r="AH551" s="206"/>
      <c r="AI551" s="206"/>
      <c r="AJ551" s="206"/>
    </row>
    <row r="552">
      <c r="A552" s="343" t="s">
        <v>955</v>
      </c>
      <c r="B552" s="355"/>
      <c r="C552" s="355"/>
      <c r="D552" s="355"/>
      <c r="E552" s="355"/>
      <c r="F552" s="354"/>
      <c r="G552" s="351"/>
      <c r="H552" s="351"/>
      <c r="I552" s="354"/>
      <c r="J552" s="354"/>
      <c r="K552" s="354"/>
      <c r="L552" s="354"/>
      <c r="M552" s="351"/>
      <c r="N552" s="351"/>
      <c r="O552" s="351"/>
      <c r="P552" s="354"/>
      <c r="Q552" s="354"/>
      <c r="R552" s="357"/>
      <c r="S552" s="357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18">
        <v>57.5</v>
      </c>
      <c r="AE552" s="351"/>
      <c r="AF552" s="206"/>
      <c r="AG552" s="206"/>
      <c r="AH552" s="206"/>
      <c r="AI552" s="206"/>
      <c r="AJ552" s="206"/>
    </row>
    <row r="553">
      <c r="A553" s="343" t="s">
        <v>956</v>
      </c>
      <c r="B553" s="354"/>
      <c r="C553" s="354"/>
      <c r="D553" s="354"/>
      <c r="E553" s="354"/>
      <c r="F553" s="354"/>
      <c r="G553" s="351"/>
      <c r="H553" s="351"/>
      <c r="I553" s="354"/>
      <c r="J553" s="354"/>
      <c r="K553" s="354"/>
      <c r="L553" s="354"/>
      <c r="M553" s="351"/>
      <c r="N553" s="351"/>
      <c r="O553" s="351"/>
      <c r="P553" s="354"/>
      <c r="Q553" s="354"/>
      <c r="R553" s="357"/>
      <c r="S553" s="357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18">
        <v>57.5</v>
      </c>
      <c r="AE553" s="351"/>
      <c r="AF553" s="206"/>
      <c r="AG553" s="206"/>
      <c r="AH553" s="206"/>
      <c r="AI553" s="206"/>
      <c r="AJ553" s="206"/>
    </row>
    <row r="554">
      <c r="A554" s="343" t="s">
        <v>717</v>
      </c>
      <c r="B554" s="352"/>
      <c r="C554" s="352"/>
      <c r="D554" s="354"/>
      <c r="E554" s="351"/>
      <c r="F554" s="351"/>
      <c r="G554" s="351"/>
      <c r="H554" s="351"/>
      <c r="I554" s="352"/>
      <c r="J554" s="352"/>
      <c r="K554" s="352"/>
      <c r="L554" s="351"/>
      <c r="M554" s="351"/>
      <c r="N554" s="351"/>
      <c r="O554" s="351"/>
      <c r="P554" s="351"/>
      <c r="Q554" s="351"/>
      <c r="R554" s="318">
        <v>57.5</v>
      </c>
      <c r="S554" s="318">
        <v>57.5</v>
      </c>
      <c r="T554" s="351"/>
      <c r="U554" s="351"/>
      <c r="V554" s="351"/>
      <c r="W554" s="351"/>
      <c r="X554" s="356">
        <v>57.5</v>
      </c>
      <c r="Y554" s="318">
        <v>57.5</v>
      </c>
      <c r="Z554" s="351"/>
      <c r="AA554" s="351"/>
      <c r="AB554" s="351"/>
      <c r="AC554" s="351"/>
      <c r="AD554" s="351"/>
      <c r="AE554" s="351"/>
      <c r="AF554" s="206"/>
      <c r="AG554" s="206"/>
      <c r="AH554" s="206"/>
      <c r="AI554" s="206"/>
      <c r="AJ554" s="206"/>
    </row>
    <row r="555">
      <c r="A555" s="343" t="s">
        <v>1006</v>
      </c>
      <c r="B555" s="351"/>
      <c r="C555" s="351"/>
      <c r="D555" s="355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4"/>
      <c r="R555" s="354"/>
      <c r="S555" s="351"/>
      <c r="T555" s="352"/>
      <c r="U555" s="352"/>
      <c r="V555" s="351"/>
      <c r="W555" s="351"/>
      <c r="X555" s="351"/>
      <c r="Y555" s="352"/>
      <c r="Z555" s="351"/>
      <c r="AA555" s="351"/>
      <c r="AB555" s="351"/>
      <c r="AC555" s="351"/>
      <c r="AD555" s="351"/>
      <c r="AE555" s="351"/>
      <c r="AF555" s="206"/>
      <c r="AG555" s="206"/>
      <c r="AH555" s="206"/>
      <c r="AI555" s="206"/>
      <c r="AJ555" s="206"/>
    </row>
    <row r="556">
      <c r="A556" s="343" t="s">
        <v>1007</v>
      </c>
      <c r="B556" s="351"/>
      <c r="C556" s="352"/>
      <c r="D556" s="352"/>
      <c r="E556" s="351"/>
      <c r="F556" s="351"/>
      <c r="G556" s="351"/>
      <c r="H556" s="351"/>
      <c r="I556" s="353"/>
      <c r="J556" s="353"/>
      <c r="K556" s="359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AA556" s="351"/>
      <c r="AB556" s="351"/>
      <c r="AC556" s="351"/>
      <c r="AD556" s="351"/>
      <c r="AE556" s="351"/>
      <c r="AF556" s="206"/>
      <c r="AG556" s="206"/>
      <c r="AH556" s="206"/>
      <c r="AI556" s="206"/>
      <c r="AJ556" s="206"/>
    </row>
    <row r="557">
      <c r="A557" s="349" t="s">
        <v>1009</v>
      </c>
      <c r="B557" s="351"/>
      <c r="C557" s="352"/>
      <c r="D557" s="352"/>
      <c r="E557" s="351"/>
      <c r="F557" s="351"/>
      <c r="G557" s="351"/>
      <c r="H557" s="351"/>
      <c r="I557" s="353"/>
      <c r="J557" s="353"/>
      <c r="K557" s="359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51"/>
    </row>
    <row r="560">
      <c r="A560" s="251" t="s">
        <v>788</v>
      </c>
      <c r="B560" s="331"/>
      <c r="C560" s="332"/>
      <c r="D560" s="332" t="s">
        <v>27</v>
      </c>
      <c r="E560" s="332" t="s">
        <v>2</v>
      </c>
      <c r="F560" s="332" t="s">
        <v>3</v>
      </c>
      <c r="G560" s="333" t="s">
        <v>790</v>
      </c>
      <c r="H560" s="334"/>
      <c r="I560" s="332" t="s">
        <v>25</v>
      </c>
      <c r="J560" s="332" t="s">
        <v>789</v>
      </c>
      <c r="K560" s="332" t="s">
        <v>27</v>
      </c>
      <c r="L560" s="332" t="s">
        <v>2</v>
      </c>
      <c r="M560" s="332" t="s">
        <v>3</v>
      </c>
      <c r="N560" s="335" t="s">
        <v>790</v>
      </c>
      <c r="O560" s="334"/>
      <c r="P560" s="332" t="s">
        <v>25</v>
      </c>
      <c r="Q560" s="331" t="s">
        <v>789</v>
      </c>
      <c r="R560" s="332" t="s">
        <v>27</v>
      </c>
      <c r="S560" s="332" t="s">
        <v>2</v>
      </c>
      <c r="T560" s="332" t="s">
        <v>3</v>
      </c>
      <c r="U560" s="333" t="s">
        <v>790</v>
      </c>
      <c r="V560" s="334"/>
      <c r="W560" s="332" t="s">
        <v>25</v>
      </c>
      <c r="X560" s="331" t="s">
        <v>789</v>
      </c>
      <c r="Y560" s="332" t="s">
        <v>27</v>
      </c>
      <c r="Z560" s="332" t="s">
        <v>2</v>
      </c>
      <c r="AA560" s="332" t="s">
        <v>3</v>
      </c>
      <c r="AB560" s="336" t="s">
        <v>790</v>
      </c>
      <c r="AC560" s="336"/>
      <c r="AD560" s="337" t="s">
        <v>25</v>
      </c>
      <c r="AE560" s="337" t="s">
        <v>26</v>
      </c>
      <c r="AF560" s="337" t="s">
        <v>27</v>
      </c>
      <c r="AG560" s="337" t="s">
        <v>2</v>
      </c>
    </row>
    <row r="561">
      <c r="A561" s="206"/>
      <c r="B561" s="338"/>
      <c r="C561" s="338"/>
      <c r="D561" s="338">
        <v>29.04</v>
      </c>
      <c r="E561" s="338">
        <v>30.04</v>
      </c>
      <c r="F561" s="338">
        <v>1.05</v>
      </c>
      <c r="G561" s="338">
        <v>2.05</v>
      </c>
      <c r="H561" s="339"/>
      <c r="I561" s="338">
        <v>4.05</v>
      </c>
      <c r="J561" s="338">
        <v>5.05</v>
      </c>
      <c r="K561" s="338">
        <v>6.05</v>
      </c>
      <c r="L561" s="338">
        <v>7.05</v>
      </c>
      <c r="M561" s="338">
        <v>8.05</v>
      </c>
      <c r="N561" s="338">
        <v>9.05</v>
      </c>
      <c r="O561" s="339"/>
      <c r="P561" s="338">
        <v>11.05</v>
      </c>
      <c r="Q561" s="338">
        <v>12.05</v>
      </c>
      <c r="R561" s="338">
        <v>13.05</v>
      </c>
      <c r="S561" s="338">
        <v>14.05</v>
      </c>
      <c r="T561" s="338">
        <v>15.05</v>
      </c>
      <c r="U561" s="338">
        <v>16.05</v>
      </c>
      <c r="V561" s="339"/>
      <c r="W561" s="338">
        <v>18.05</v>
      </c>
      <c r="X561" s="338">
        <v>19.05</v>
      </c>
      <c r="Y561" s="338">
        <v>20.05</v>
      </c>
      <c r="Z561" s="338">
        <v>21.05</v>
      </c>
      <c r="AA561" s="338">
        <v>22.05</v>
      </c>
      <c r="AB561" s="338">
        <v>23.05</v>
      </c>
      <c r="AC561" s="339"/>
      <c r="AD561" s="338">
        <v>25.05</v>
      </c>
      <c r="AE561" s="338">
        <v>26.05</v>
      </c>
      <c r="AF561" s="338">
        <v>27.05</v>
      </c>
      <c r="AG561" s="338">
        <v>28.05</v>
      </c>
    </row>
    <row r="562">
      <c r="A562" s="341" t="s">
        <v>816</v>
      </c>
      <c r="B562" s="351"/>
      <c r="C562" s="351"/>
      <c r="D562" s="351"/>
      <c r="E562" s="351"/>
      <c r="F562" s="351"/>
      <c r="G562" s="351"/>
      <c r="H562" s="351"/>
      <c r="I562" s="351"/>
      <c r="J562" s="351"/>
      <c r="K562" s="318">
        <v>57.5</v>
      </c>
      <c r="L562" s="318">
        <v>57.5</v>
      </c>
      <c r="M562" s="351"/>
      <c r="N562" s="351"/>
      <c r="O562" s="351"/>
      <c r="P562" s="351"/>
      <c r="Q562" s="351"/>
      <c r="R562" s="352"/>
      <c r="S562" s="352"/>
      <c r="T562" s="351"/>
      <c r="U562" s="351"/>
      <c r="V562" s="351"/>
      <c r="W562" s="353"/>
      <c r="X562" s="353"/>
      <c r="Y562" s="353"/>
      <c r="Z562" s="351"/>
      <c r="AA562" s="351"/>
      <c r="AB562" s="351"/>
      <c r="AC562" s="351"/>
      <c r="AD562" s="351"/>
      <c r="AE562" s="351"/>
      <c r="AF562" s="351"/>
      <c r="AG562" s="351"/>
    </row>
    <row r="563">
      <c r="A563" s="342" t="s">
        <v>817</v>
      </c>
      <c r="B563" s="351"/>
      <c r="C563" s="351"/>
      <c r="D563" s="351"/>
      <c r="E563" s="351"/>
      <c r="F563" s="351"/>
      <c r="G563" s="351"/>
      <c r="H563" s="351"/>
      <c r="I563" s="351"/>
      <c r="J563" s="351"/>
      <c r="K563" s="318">
        <v>57.5</v>
      </c>
      <c r="L563" s="318">
        <v>57.5</v>
      </c>
      <c r="M563" s="351"/>
      <c r="N563" s="351"/>
      <c r="O563" s="351"/>
      <c r="P563" s="351"/>
      <c r="Q563" s="351"/>
      <c r="R563" s="352"/>
      <c r="S563" s="352"/>
      <c r="T563" s="351"/>
      <c r="U563" s="351"/>
      <c r="V563" s="351"/>
      <c r="W563" s="353"/>
      <c r="X563" s="353"/>
      <c r="Y563" s="353"/>
      <c r="Z563" s="351"/>
      <c r="AA563" s="351"/>
      <c r="AB563" s="351"/>
      <c r="AC563" s="351"/>
      <c r="AD563" s="351"/>
      <c r="AE563" s="351"/>
      <c r="AF563" s="351"/>
      <c r="AG563" s="351"/>
    </row>
    <row r="564">
      <c r="A564" s="342" t="s">
        <v>44</v>
      </c>
      <c r="B564" s="351"/>
      <c r="C564" s="351"/>
      <c r="D564" s="351"/>
      <c r="E564" s="351"/>
      <c r="F564" s="351"/>
      <c r="G564" s="351"/>
      <c r="H564" s="351"/>
      <c r="I564" s="351"/>
      <c r="J564" s="302"/>
      <c r="K564" s="302"/>
      <c r="L564" s="302"/>
      <c r="M564" s="302"/>
      <c r="N564" s="302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51"/>
      <c r="AF564" s="351"/>
      <c r="AG564" s="351"/>
    </row>
    <row r="565">
      <c r="A565" s="342" t="s">
        <v>310</v>
      </c>
      <c r="B565" s="354"/>
      <c r="C565" s="354"/>
      <c r="D565" s="354"/>
      <c r="E565" s="354"/>
      <c r="F565" s="351"/>
      <c r="G565" s="351"/>
      <c r="H565" s="351"/>
      <c r="I565" s="318">
        <v>57.5</v>
      </c>
      <c r="J565" s="318">
        <v>57.5</v>
      </c>
      <c r="K565" s="352"/>
      <c r="L565" s="303"/>
      <c r="M565" s="303"/>
      <c r="N565" s="302"/>
      <c r="O565" s="351"/>
      <c r="P565" s="351"/>
      <c r="Q565" s="351"/>
      <c r="R565" s="351"/>
      <c r="S565" s="351"/>
      <c r="T565" s="351"/>
      <c r="U565" s="351"/>
      <c r="V565" s="351"/>
      <c r="W565" s="352"/>
      <c r="X565" s="318">
        <v>57.5</v>
      </c>
      <c r="Y565" s="318">
        <v>57.5</v>
      </c>
      <c r="Z565" s="318">
        <v>57.5</v>
      </c>
      <c r="AA565" s="351"/>
      <c r="AB565" s="351"/>
      <c r="AC565" s="351"/>
      <c r="AD565" s="351"/>
      <c r="AE565" s="318">
        <v>57.5</v>
      </c>
      <c r="AF565" s="318">
        <v>57.5</v>
      </c>
      <c r="AG565" s="351"/>
    </row>
    <row r="566">
      <c r="A566" s="342" t="s">
        <v>819</v>
      </c>
      <c r="B566" s="354"/>
      <c r="C566" s="354"/>
      <c r="D566" s="354"/>
      <c r="E566" s="354"/>
      <c r="F566" s="351"/>
      <c r="G566" s="351"/>
      <c r="H566" s="351"/>
      <c r="I566" s="351"/>
      <c r="J566" s="302"/>
      <c r="K566" s="302"/>
      <c r="L566" s="302"/>
      <c r="M566" s="302"/>
      <c r="N566" s="302"/>
      <c r="O566" s="351"/>
      <c r="P566" s="351"/>
      <c r="Q566" s="351"/>
      <c r="R566" s="351"/>
      <c r="S566" s="351"/>
      <c r="T566" s="351"/>
      <c r="U566" s="351"/>
      <c r="V566" s="351"/>
      <c r="W566" s="352"/>
      <c r="X566" s="352"/>
      <c r="Y566" s="352"/>
      <c r="Z566" s="351"/>
      <c r="AA566" s="351"/>
      <c r="AB566" s="351"/>
      <c r="AC566" s="351"/>
      <c r="AD566" s="351"/>
      <c r="AE566" s="318">
        <v>57.5</v>
      </c>
      <c r="AF566" s="318">
        <v>57.5</v>
      </c>
      <c r="AG566" s="351"/>
    </row>
    <row r="567">
      <c r="A567" s="342" t="s">
        <v>735</v>
      </c>
      <c r="B567" s="355"/>
      <c r="C567" s="355"/>
      <c r="D567" s="355"/>
      <c r="E567" s="355"/>
      <c r="F567" s="351"/>
      <c r="G567" s="351"/>
      <c r="H567" s="351"/>
      <c r="I567" s="352"/>
      <c r="J567" s="303"/>
      <c r="K567" s="303"/>
      <c r="L567" s="303"/>
      <c r="M567" s="303"/>
      <c r="N567" s="302"/>
      <c r="O567" s="351"/>
      <c r="P567" s="354"/>
      <c r="Q567" s="356">
        <v>57.5</v>
      </c>
      <c r="R567" s="356">
        <v>57.5</v>
      </c>
      <c r="S567" s="360"/>
      <c r="T567" s="288"/>
      <c r="U567" s="356">
        <v>500.0</v>
      </c>
      <c r="V567" s="351"/>
      <c r="W567" s="351"/>
      <c r="X567" s="351"/>
      <c r="Y567" s="352"/>
      <c r="Z567" s="351"/>
      <c r="AA567" s="318">
        <v>500.0</v>
      </c>
      <c r="AB567" s="352"/>
      <c r="AC567" s="351"/>
      <c r="AD567" s="318">
        <v>57.5</v>
      </c>
      <c r="AE567" s="351"/>
      <c r="AF567" s="361">
        <v>57.5</v>
      </c>
      <c r="AG567" s="361">
        <v>57.5</v>
      </c>
    </row>
    <row r="568">
      <c r="A568" s="342" t="s">
        <v>866</v>
      </c>
      <c r="B568" s="355"/>
      <c r="C568" s="355"/>
      <c r="D568" s="355"/>
      <c r="E568" s="355"/>
      <c r="F568" s="351"/>
      <c r="G568" s="351"/>
      <c r="H568" s="351"/>
      <c r="I568" s="352"/>
      <c r="J568" s="303"/>
      <c r="K568" s="303"/>
      <c r="L568" s="303"/>
      <c r="M568" s="303"/>
      <c r="N568" s="302"/>
      <c r="O568" s="351"/>
      <c r="P568" s="357"/>
      <c r="Q568" s="288"/>
      <c r="R568" s="288"/>
      <c r="S568" s="288"/>
      <c r="T568" s="288"/>
      <c r="U568" s="356">
        <v>500.0</v>
      </c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51"/>
      <c r="AF568" s="275"/>
      <c r="AG568" s="275"/>
    </row>
    <row r="569">
      <c r="A569" s="342" t="s">
        <v>867</v>
      </c>
      <c r="B569" s="355"/>
      <c r="C569" s="355"/>
      <c r="D569" s="355"/>
      <c r="E569" s="355"/>
      <c r="F569" s="351"/>
      <c r="G569" s="351"/>
      <c r="H569" s="351"/>
      <c r="I569" s="352"/>
      <c r="J569" s="303"/>
      <c r="K569" s="303"/>
      <c r="L569" s="303"/>
      <c r="M569" s="303"/>
      <c r="N569" s="302"/>
      <c r="O569" s="351"/>
      <c r="P569" s="354"/>
      <c r="Q569" s="356">
        <v>57.5</v>
      </c>
      <c r="R569" s="356">
        <v>57.5</v>
      </c>
      <c r="S569" s="288"/>
      <c r="T569" s="288"/>
      <c r="U569" s="356">
        <v>500.0</v>
      </c>
      <c r="V569" s="351"/>
      <c r="W569" s="351"/>
      <c r="X569" s="351"/>
      <c r="Y569" s="351"/>
      <c r="Z569" s="351"/>
      <c r="AA569" s="351"/>
      <c r="AB569" s="351"/>
      <c r="AC569" s="351"/>
      <c r="AD569" s="318">
        <v>57.5</v>
      </c>
      <c r="AE569" s="351"/>
      <c r="AF569" s="361">
        <v>57.5</v>
      </c>
      <c r="AG569" s="361">
        <v>57.5</v>
      </c>
    </row>
    <row r="570">
      <c r="A570" s="342" t="s">
        <v>818</v>
      </c>
      <c r="B570" s="351"/>
      <c r="C570" s="351"/>
      <c r="D570" s="351"/>
      <c r="E570" s="351"/>
      <c r="F570" s="351"/>
      <c r="G570" s="351"/>
      <c r="H570" s="351"/>
      <c r="I570" s="351"/>
      <c r="J570" s="302"/>
      <c r="K570" s="302"/>
      <c r="L570" s="302"/>
      <c r="M570" s="302"/>
      <c r="N570" s="302"/>
      <c r="O570" s="351"/>
      <c r="P570" s="351"/>
      <c r="Q570" s="282"/>
      <c r="R570" s="282"/>
      <c r="S570" s="282"/>
      <c r="T570" s="275"/>
      <c r="U570" s="275"/>
      <c r="V570" s="351"/>
      <c r="W570" s="351"/>
      <c r="X570" s="351"/>
      <c r="Y570" s="351"/>
      <c r="Z570" s="351"/>
      <c r="AA570" s="351"/>
      <c r="AB570" s="351"/>
      <c r="AC570" s="351"/>
      <c r="AD570" s="303"/>
      <c r="AE570" s="351"/>
      <c r="AF570" s="303"/>
      <c r="AG570" s="351"/>
    </row>
    <row r="571">
      <c r="A571" s="342" t="s">
        <v>827</v>
      </c>
      <c r="B571" s="351"/>
      <c r="C571" s="351"/>
      <c r="D571" s="351"/>
      <c r="E571" s="351"/>
      <c r="F571" s="351"/>
      <c r="G571" s="351"/>
      <c r="H571" s="351"/>
      <c r="I571" s="318">
        <v>57.5</v>
      </c>
      <c r="J571" s="318">
        <v>57.5</v>
      </c>
      <c r="K571" s="303"/>
      <c r="L571" s="303"/>
      <c r="M571" s="302"/>
      <c r="N571" s="302"/>
      <c r="O571" s="351"/>
      <c r="P571" s="351"/>
      <c r="Q571" s="352"/>
      <c r="R571" s="352"/>
      <c r="S571" s="352"/>
      <c r="T571" s="351"/>
      <c r="U571" s="351"/>
      <c r="V571" s="351"/>
      <c r="W571" s="351"/>
      <c r="X571" s="318">
        <v>57.5</v>
      </c>
      <c r="Y571" s="318">
        <v>57.5</v>
      </c>
      <c r="Z571" s="318">
        <v>57.5</v>
      </c>
      <c r="AA571" s="351"/>
      <c r="AB571" s="351"/>
      <c r="AC571" s="351"/>
      <c r="AD571" s="303"/>
      <c r="AE571" s="351"/>
      <c r="AF571" s="303"/>
      <c r="AG571" s="351"/>
    </row>
    <row r="572">
      <c r="A572" s="343" t="s">
        <v>832</v>
      </c>
      <c r="B572" s="351"/>
      <c r="C572" s="351"/>
      <c r="D572" s="351"/>
      <c r="E572" s="351"/>
      <c r="F572" s="351"/>
      <c r="G572" s="351"/>
      <c r="H572" s="351"/>
      <c r="I572" s="351"/>
      <c r="J572" s="302"/>
      <c r="K572" s="302"/>
      <c r="L572" s="302"/>
      <c r="M572" s="302"/>
      <c r="N572" s="302"/>
      <c r="O572" s="351"/>
      <c r="P572" s="351"/>
      <c r="Q572" s="352"/>
      <c r="R572" s="351"/>
      <c r="S572" s="351"/>
      <c r="T572" s="351"/>
      <c r="U572" s="351"/>
      <c r="V572" s="351"/>
      <c r="W572" s="351"/>
      <c r="X572" s="351"/>
      <c r="Y572" s="318">
        <v>57.5</v>
      </c>
      <c r="Z572" s="318">
        <v>57.5</v>
      </c>
      <c r="AA572" s="351"/>
      <c r="AB572" s="351"/>
      <c r="AC572" s="351"/>
      <c r="AD572" s="302"/>
      <c r="AE572" s="351"/>
      <c r="AF572" s="302"/>
      <c r="AG572" s="351"/>
    </row>
    <row r="573">
      <c r="A573" s="343" t="s">
        <v>835</v>
      </c>
      <c r="B573" s="351"/>
      <c r="C573" s="351"/>
      <c r="D573" s="351"/>
      <c r="E573" s="351"/>
      <c r="F573" s="351"/>
      <c r="G573" s="351"/>
      <c r="H573" s="351"/>
      <c r="I573" s="351"/>
      <c r="J573" s="302"/>
      <c r="K573" s="302"/>
      <c r="L573" s="302"/>
      <c r="M573" s="302"/>
      <c r="N573" s="302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18">
        <v>57.5</v>
      </c>
      <c r="Z573" s="318">
        <v>57.5</v>
      </c>
      <c r="AA573" s="351"/>
      <c r="AB573" s="351"/>
      <c r="AC573" s="351"/>
      <c r="AD573" s="302"/>
      <c r="AE573" s="351"/>
      <c r="AF573" s="302"/>
      <c r="AG573" s="351"/>
    </row>
    <row r="574">
      <c r="A574" s="344" t="s">
        <v>824</v>
      </c>
      <c r="B574" s="351"/>
      <c r="C574" s="351"/>
      <c r="D574" s="351"/>
      <c r="E574" s="351"/>
      <c r="F574" s="351"/>
      <c r="G574" s="351"/>
      <c r="H574" s="351"/>
      <c r="I574" s="351"/>
      <c r="J574" s="303"/>
      <c r="K574" s="303"/>
      <c r="L574" s="303"/>
      <c r="M574" s="302"/>
      <c r="N574" s="302"/>
      <c r="O574" s="351"/>
      <c r="P574" s="351"/>
      <c r="Q574" s="351"/>
      <c r="R574" s="351"/>
      <c r="S574" s="351"/>
      <c r="T574" s="351"/>
      <c r="U574" s="351"/>
      <c r="V574" s="351"/>
      <c r="W574" s="351"/>
      <c r="X574" s="358"/>
      <c r="Y574" s="358"/>
      <c r="Z574" s="351"/>
      <c r="AA574" s="351"/>
      <c r="AB574" s="351"/>
      <c r="AC574" s="351"/>
      <c r="AD574" s="351"/>
      <c r="AE574" s="351"/>
      <c r="AF574" s="351"/>
      <c r="AG574" s="351"/>
    </row>
    <row r="575">
      <c r="A575" s="344" t="s">
        <v>825</v>
      </c>
      <c r="B575" s="352"/>
      <c r="C575" s="352"/>
      <c r="D575" s="352"/>
      <c r="E575" s="352"/>
      <c r="F575" s="351"/>
      <c r="G575" s="351"/>
      <c r="H575" s="351"/>
      <c r="I575" s="352"/>
      <c r="J575" s="352"/>
      <c r="K575" s="352"/>
      <c r="L575" s="352"/>
      <c r="M575" s="351"/>
      <c r="N575" s="351"/>
      <c r="O575" s="351"/>
      <c r="P575" s="351"/>
      <c r="Q575" s="352"/>
      <c r="R575" s="352"/>
      <c r="S575" s="352"/>
      <c r="T575" s="352"/>
      <c r="U575" s="351"/>
      <c r="V575" s="351"/>
      <c r="W575" s="352"/>
      <c r="X575" s="352"/>
      <c r="Y575" s="352"/>
      <c r="Z575" s="352"/>
      <c r="AA575" s="352"/>
      <c r="AB575" s="351"/>
      <c r="AC575" s="351"/>
      <c r="AD575" s="351"/>
      <c r="AE575" s="351"/>
      <c r="AF575" s="351"/>
      <c r="AG575" s="351"/>
    </row>
    <row r="576">
      <c r="A576" s="344" t="s">
        <v>826</v>
      </c>
      <c r="B576" s="355"/>
      <c r="C576" s="355"/>
      <c r="D576" s="355"/>
      <c r="E576" s="355"/>
      <c r="F576" s="354"/>
      <c r="G576" s="351"/>
      <c r="H576" s="351"/>
      <c r="I576" s="354"/>
      <c r="J576" s="354"/>
      <c r="K576" s="354"/>
      <c r="L576" s="354"/>
      <c r="M576" s="351"/>
      <c r="N576" s="351"/>
      <c r="O576" s="351"/>
      <c r="P576" s="354"/>
      <c r="Q576" s="355"/>
      <c r="R576" s="355"/>
      <c r="S576" s="355"/>
      <c r="T576" s="355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51"/>
      <c r="AF576" s="351"/>
      <c r="AG576" s="351"/>
    </row>
    <row r="577">
      <c r="A577" s="347" t="s">
        <v>680</v>
      </c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18">
        <v>57.5</v>
      </c>
      <c r="M577" s="318">
        <v>57.5</v>
      </c>
      <c r="N577" s="351"/>
      <c r="O577" s="351"/>
      <c r="P577" s="318">
        <v>57.5</v>
      </c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51"/>
      <c r="AF577" s="351"/>
      <c r="AG577" s="351"/>
    </row>
    <row r="578">
      <c r="A578" s="347" t="s">
        <v>828</v>
      </c>
      <c r="B578" s="352"/>
      <c r="C578" s="352"/>
      <c r="D578" s="352"/>
      <c r="E578" s="352"/>
      <c r="F578" s="351"/>
      <c r="G578" s="351"/>
      <c r="H578" s="351"/>
      <c r="I578" s="352"/>
      <c r="J578" s="352"/>
      <c r="K578" s="352"/>
      <c r="L578" s="318">
        <v>57.5</v>
      </c>
      <c r="M578" s="318">
        <v>57.5</v>
      </c>
      <c r="N578" s="351"/>
      <c r="O578" s="351"/>
      <c r="P578" s="318">
        <v>57.5</v>
      </c>
      <c r="Q578" s="352"/>
      <c r="R578" s="352"/>
      <c r="S578" s="352"/>
      <c r="T578" s="352"/>
      <c r="U578" s="351"/>
      <c r="V578" s="351"/>
      <c r="W578" s="352"/>
      <c r="X578" s="352"/>
      <c r="Y578" s="352"/>
      <c r="Z578" s="352"/>
      <c r="AA578" s="352"/>
      <c r="AB578" s="351"/>
      <c r="AC578" s="351"/>
      <c r="AD578" s="351"/>
      <c r="AE578" s="351"/>
      <c r="AF578" s="351"/>
      <c r="AG578" s="351"/>
    </row>
    <row r="579">
      <c r="A579" s="343" t="s">
        <v>829</v>
      </c>
      <c r="B579" s="352"/>
      <c r="C579" s="352"/>
      <c r="D579" s="352"/>
      <c r="E579" s="352"/>
      <c r="F579" s="351"/>
      <c r="G579" s="351"/>
      <c r="H579" s="351"/>
      <c r="I579" s="352"/>
      <c r="J579" s="352"/>
      <c r="K579" s="352"/>
      <c r="L579" s="318">
        <v>57.5</v>
      </c>
      <c r="M579" s="318">
        <v>57.5</v>
      </c>
      <c r="N579" s="351"/>
      <c r="O579" s="351"/>
      <c r="P579" s="318">
        <v>57.5</v>
      </c>
      <c r="Q579" s="352"/>
      <c r="R579" s="352"/>
      <c r="S579" s="352"/>
      <c r="T579" s="352"/>
      <c r="U579" s="351"/>
      <c r="V579" s="351"/>
      <c r="W579" s="352"/>
      <c r="X579" s="352"/>
      <c r="Y579" s="352"/>
      <c r="Z579" s="352"/>
      <c r="AA579" s="352"/>
      <c r="AB579" s="351"/>
      <c r="AC579" s="351"/>
      <c r="AD579" s="351"/>
      <c r="AE579" s="351"/>
      <c r="AF579" s="351"/>
      <c r="AG579" s="351"/>
    </row>
    <row r="580">
      <c r="A580" s="343" t="s">
        <v>830</v>
      </c>
      <c r="B580" s="352"/>
      <c r="C580" s="352"/>
      <c r="D580" s="352"/>
      <c r="E580" s="352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2"/>
      <c r="R580" s="352"/>
      <c r="S580" s="352"/>
      <c r="T580" s="352"/>
      <c r="U580" s="351"/>
      <c r="V580" s="351"/>
      <c r="W580" s="352"/>
      <c r="X580" s="352"/>
      <c r="Y580" s="352"/>
      <c r="Z580" s="352"/>
      <c r="AA580" s="352"/>
      <c r="AB580" s="351"/>
      <c r="AC580" s="351"/>
      <c r="AD580" s="351"/>
      <c r="AE580" s="351"/>
      <c r="AF580" s="351"/>
      <c r="AG580" s="351"/>
    </row>
    <row r="581">
      <c r="A581" s="343" t="s">
        <v>871</v>
      </c>
      <c r="B581" s="352"/>
      <c r="C581" s="352"/>
      <c r="D581" s="352"/>
      <c r="E581" s="352"/>
      <c r="F581" s="351"/>
      <c r="G581" s="351"/>
      <c r="H581" s="351"/>
      <c r="I581" s="352"/>
      <c r="J581" s="352"/>
      <c r="K581" s="351"/>
      <c r="L581" s="351"/>
      <c r="M581" s="351"/>
      <c r="N581" s="351"/>
      <c r="O581" s="351"/>
      <c r="P581" s="352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51"/>
      <c r="AF581" s="351"/>
      <c r="AG581" s="351"/>
    </row>
    <row r="582">
      <c r="A582" s="343" t="s">
        <v>948</v>
      </c>
      <c r="B582" s="352"/>
      <c r="C582" s="352"/>
      <c r="D582" s="352"/>
      <c r="E582" s="352"/>
      <c r="F582" s="351"/>
      <c r="G582" s="351"/>
      <c r="H582" s="351"/>
      <c r="I582" s="352"/>
      <c r="J582" s="352"/>
      <c r="K582" s="351"/>
      <c r="L582" s="351"/>
      <c r="M582" s="351"/>
      <c r="N582" s="351"/>
      <c r="O582" s="351"/>
      <c r="P582" s="352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51"/>
      <c r="AF582" s="351"/>
      <c r="AG582" s="351"/>
    </row>
    <row r="583">
      <c r="A583" s="343" t="s">
        <v>872</v>
      </c>
      <c r="B583" s="352"/>
      <c r="C583" s="352"/>
      <c r="D583" s="352"/>
      <c r="E583" s="352"/>
      <c r="F583" s="351"/>
      <c r="G583" s="351"/>
      <c r="H583" s="351"/>
      <c r="I583" s="352"/>
      <c r="J583" s="352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51"/>
      <c r="AF583" s="351"/>
      <c r="AG583" s="351"/>
    </row>
    <row r="584">
      <c r="A584" s="343" t="s">
        <v>747</v>
      </c>
      <c r="B584" s="352"/>
      <c r="C584" s="352"/>
      <c r="D584" s="352"/>
      <c r="E584" s="352"/>
      <c r="F584" s="352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51"/>
      <c r="AF584" s="351"/>
      <c r="AG584" s="351"/>
    </row>
    <row r="585">
      <c r="A585" s="343" t="s">
        <v>949</v>
      </c>
      <c r="B585" s="352"/>
      <c r="C585" s="352"/>
      <c r="D585" s="352"/>
      <c r="E585" s="352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51"/>
      <c r="AF585" s="351"/>
      <c r="AG585" s="351"/>
    </row>
    <row r="586">
      <c r="A586" s="343" t="s">
        <v>954</v>
      </c>
      <c r="B586" s="352"/>
      <c r="C586" s="352"/>
      <c r="D586" s="352"/>
      <c r="E586" s="352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51"/>
      <c r="AF586" s="351"/>
      <c r="AG586" s="351"/>
    </row>
    <row r="587">
      <c r="A587" s="343" t="s">
        <v>12</v>
      </c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6">
        <v>57.5</v>
      </c>
      <c r="R587" s="356">
        <v>57.5</v>
      </c>
      <c r="S587" s="351"/>
      <c r="T587" s="351"/>
      <c r="U587" s="351"/>
      <c r="V587" s="351"/>
      <c r="W587" s="351"/>
      <c r="X587" s="351"/>
      <c r="Y587" s="351"/>
      <c r="Z587" s="351"/>
      <c r="AA587" s="318">
        <v>500.0</v>
      </c>
      <c r="AB587" s="351"/>
      <c r="AC587" s="351"/>
      <c r="AD587" s="351"/>
      <c r="AE587" s="351"/>
      <c r="AF587" s="351"/>
      <c r="AG587" s="351"/>
    </row>
    <row r="588">
      <c r="A588" s="343" t="s">
        <v>838</v>
      </c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51"/>
      <c r="AF588" s="351"/>
      <c r="AG588" s="351"/>
    </row>
    <row r="589">
      <c r="A589" s="343" t="s">
        <v>822</v>
      </c>
      <c r="B589" s="355"/>
      <c r="C589" s="355"/>
      <c r="D589" s="355"/>
      <c r="E589" s="355"/>
      <c r="F589" s="354"/>
      <c r="G589" s="351"/>
      <c r="H589" s="351"/>
      <c r="I589" s="354"/>
      <c r="J589" s="354"/>
      <c r="K589" s="354"/>
      <c r="L589" s="354"/>
      <c r="M589" s="351"/>
      <c r="N589" s="351"/>
      <c r="O589" s="351"/>
      <c r="P589" s="354"/>
      <c r="Q589" s="354"/>
      <c r="R589" s="354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2"/>
      <c r="AE589" s="351"/>
      <c r="AF589" s="352"/>
      <c r="AG589" s="351"/>
    </row>
    <row r="590">
      <c r="A590" s="343" t="s">
        <v>677</v>
      </c>
      <c r="B590" s="351"/>
      <c r="C590" s="351"/>
      <c r="D590" s="351"/>
      <c r="E590" s="351"/>
      <c r="F590" s="351"/>
      <c r="G590" s="351"/>
      <c r="H590" s="351"/>
      <c r="I590" s="351"/>
      <c r="J590" s="352"/>
      <c r="K590" s="352"/>
      <c r="L590" s="352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2"/>
      <c r="Y590" s="352"/>
      <c r="Z590" s="352"/>
      <c r="AA590" s="351"/>
      <c r="AB590" s="351"/>
      <c r="AC590" s="351"/>
      <c r="AD590" s="352"/>
      <c r="AE590" s="351"/>
      <c r="AF590" s="352"/>
      <c r="AG590" s="351"/>
    </row>
    <row r="591">
      <c r="A591" s="343" t="s">
        <v>263</v>
      </c>
      <c r="B591" s="351"/>
      <c r="C591" s="351"/>
      <c r="D591" s="351"/>
      <c r="E591" s="351"/>
      <c r="F591" s="351"/>
      <c r="G591" s="351"/>
      <c r="H591" s="351"/>
      <c r="I591" s="351"/>
      <c r="J591" s="352"/>
      <c r="K591" s="352"/>
      <c r="L591" s="352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2"/>
      <c r="X591" s="352"/>
      <c r="Y591" s="352"/>
      <c r="Z591" s="352"/>
      <c r="AA591" s="352"/>
      <c r="AB591" s="351"/>
      <c r="AC591" s="351"/>
      <c r="AD591" s="351"/>
      <c r="AE591" s="351"/>
      <c r="AF591" s="351"/>
      <c r="AG591" s="351"/>
    </row>
    <row r="592">
      <c r="A592" s="343" t="s">
        <v>944</v>
      </c>
      <c r="B592" s="351"/>
      <c r="C592" s="351"/>
      <c r="D592" s="351"/>
      <c r="E592" s="351"/>
      <c r="F592" s="351"/>
      <c r="G592" s="351"/>
      <c r="H592" s="351"/>
      <c r="I592" s="352"/>
      <c r="J592" s="352"/>
      <c r="K592" s="352"/>
      <c r="L592" s="352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2"/>
      <c r="Y592" s="352"/>
      <c r="Z592" s="352"/>
      <c r="AA592" s="351"/>
      <c r="AB592" s="351"/>
      <c r="AC592" s="351"/>
      <c r="AD592" s="351"/>
      <c r="AE592" s="351"/>
      <c r="AF592" s="351"/>
      <c r="AG592" s="351"/>
    </row>
    <row r="593">
      <c r="A593" s="349" t="s">
        <v>1010</v>
      </c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2"/>
      <c r="Y593" s="352"/>
      <c r="Z593" s="352"/>
      <c r="AA593" s="351"/>
      <c r="AB593" s="351"/>
      <c r="AC593" s="351"/>
      <c r="AD593" s="351"/>
      <c r="AE593" s="351"/>
      <c r="AF593" s="351"/>
      <c r="AG593" s="351"/>
    </row>
    <row r="594">
      <c r="A594" s="343" t="s">
        <v>945</v>
      </c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51"/>
      <c r="AF594" s="351"/>
      <c r="AG594" s="351"/>
    </row>
    <row r="595">
      <c r="A595" s="343" t="s">
        <v>955</v>
      </c>
      <c r="B595" s="355"/>
      <c r="C595" s="355"/>
      <c r="D595" s="355"/>
      <c r="E595" s="355"/>
      <c r="F595" s="354"/>
      <c r="G595" s="351"/>
      <c r="H595" s="351"/>
      <c r="I595" s="354"/>
      <c r="J595" s="354"/>
      <c r="K595" s="318">
        <v>57.5</v>
      </c>
      <c r="L595" s="318">
        <v>57.5</v>
      </c>
      <c r="M595" s="351"/>
      <c r="N595" s="351"/>
      <c r="O595" s="351"/>
      <c r="P595" s="354"/>
      <c r="Q595" s="354"/>
      <c r="R595" s="357"/>
      <c r="S595" s="357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2"/>
      <c r="AE595" s="351"/>
      <c r="AF595" s="352"/>
      <c r="AG595" s="351"/>
    </row>
    <row r="596">
      <c r="A596" s="343" t="s">
        <v>956</v>
      </c>
      <c r="B596" s="354"/>
      <c r="C596" s="354"/>
      <c r="D596" s="354"/>
      <c r="E596" s="354"/>
      <c r="F596" s="354"/>
      <c r="G596" s="351"/>
      <c r="H596" s="351"/>
      <c r="I596" s="354"/>
      <c r="J596" s="354"/>
      <c r="K596" s="318">
        <v>57.5</v>
      </c>
      <c r="L596" s="318">
        <v>57.5</v>
      </c>
      <c r="M596" s="351"/>
      <c r="N596" s="351"/>
      <c r="O596" s="351"/>
      <c r="P596" s="354"/>
      <c r="Q596" s="354"/>
      <c r="R596" s="357"/>
      <c r="S596" s="357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2"/>
      <c r="AE596" s="351"/>
      <c r="AF596" s="352"/>
      <c r="AG596" s="351"/>
    </row>
    <row r="597">
      <c r="A597" s="343" t="s">
        <v>717</v>
      </c>
      <c r="B597" s="352"/>
      <c r="C597" s="352"/>
      <c r="D597" s="354"/>
      <c r="E597" s="351"/>
      <c r="F597" s="351"/>
      <c r="G597" s="351"/>
      <c r="H597" s="351"/>
      <c r="I597" s="352"/>
      <c r="J597" s="352"/>
      <c r="K597" s="352"/>
      <c r="L597" s="351"/>
      <c r="M597" s="351"/>
      <c r="N597" s="351"/>
      <c r="O597" s="351"/>
      <c r="P597" s="351"/>
      <c r="Q597" s="356">
        <v>57.5</v>
      </c>
      <c r="R597" s="356">
        <v>57.5</v>
      </c>
      <c r="S597" s="352"/>
      <c r="T597" s="351"/>
      <c r="U597" s="351"/>
      <c r="V597" s="351"/>
      <c r="W597" s="351"/>
      <c r="X597" s="357"/>
      <c r="Y597" s="352"/>
      <c r="Z597" s="351"/>
      <c r="AA597" s="318">
        <v>500.0</v>
      </c>
      <c r="AB597" s="351"/>
      <c r="AC597" s="351"/>
      <c r="AD597" s="351"/>
      <c r="AE597" s="351"/>
      <c r="AF597" s="351"/>
      <c r="AG597" s="361">
        <v>57.5</v>
      </c>
    </row>
    <row r="598">
      <c r="A598" s="343" t="s">
        <v>1006</v>
      </c>
      <c r="B598" s="351"/>
      <c r="C598" s="351"/>
      <c r="D598" s="355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4"/>
      <c r="R598" s="354"/>
      <c r="S598" s="351"/>
      <c r="T598" s="352"/>
      <c r="U598" s="352"/>
      <c r="V598" s="351"/>
      <c r="W598" s="351"/>
      <c r="X598" s="351"/>
      <c r="Y598" s="352"/>
      <c r="Z598" s="351"/>
      <c r="AA598" s="351"/>
      <c r="AB598" s="351"/>
      <c r="AC598" s="351"/>
      <c r="AD598" s="351"/>
      <c r="AE598" s="351"/>
      <c r="AF598" s="351"/>
      <c r="AG598" s="351"/>
    </row>
    <row r="599">
      <c r="A599" s="343" t="s">
        <v>1007</v>
      </c>
      <c r="B599" s="351"/>
      <c r="C599" s="352"/>
      <c r="D599" s="352"/>
      <c r="E599" s="351"/>
      <c r="F599" s="351"/>
      <c r="G599" s="351"/>
      <c r="H599" s="351"/>
      <c r="I599" s="353"/>
      <c r="J599" s="353"/>
      <c r="K599" s="359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62"/>
      <c r="Y599" s="362"/>
      <c r="Z599" s="362"/>
      <c r="AA599" s="351"/>
      <c r="AB599" s="351"/>
      <c r="AC599" s="351"/>
      <c r="AD599" s="351"/>
      <c r="AE599" s="351"/>
      <c r="AF599" s="351"/>
      <c r="AG599" s="351"/>
    </row>
    <row r="600">
      <c r="A600" s="349" t="s">
        <v>1009</v>
      </c>
      <c r="B600" s="351"/>
      <c r="C600" s="352"/>
      <c r="D600" s="352"/>
      <c r="E600" s="351"/>
      <c r="F600" s="351"/>
      <c r="G600" s="351"/>
      <c r="H600" s="351"/>
      <c r="I600" s="353"/>
      <c r="J600" s="353"/>
      <c r="K600" s="359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51"/>
      <c r="AF600" s="351"/>
      <c r="AG600" s="351"/>
    </row>
    <row r="603">
      <c r="A603" s="251" t="s">
        <v>788</v>
      </c>
      <c r="B603" s="331"/>
      <c r="C603" s="337" t="s">
        <v>26</v>
      </c>
      <c r="D603" s="332" t="s">
        <v>27</v>
      </c>
      <c r="E603" s="332" t="s">
        <v>2</v>
      </c>
      <c r="F603" s="332" t="s">
        <v>3</v>
      </c>
      <c r="G603" s="333" t="s">
        <v>790</v>
      </c>
      <c r="H603" s="334"/>
      <c r="I603" s="332" t="s">
        <v>25</v>
      </c>
      <c r="J603" s="332" t="s">
        <v>789</v>
      </c>
      <c r="K603" s="332" t="s">
        <v>27</v>
      </c>
      <c r="L603" s="332" t="s">
        <v>2</v>
      </c>
      <c r="M603" s="332" t="s">
        <v>3</v>
      </c>
      <c r="N603" s="335" t="s">
        <v>790</v>
      </c>
      <c r="O603" s="334"/>
      <c r="P603" s="332" t="s">
        <v>25</v>
      </c>
      <c r="Q603" s="331" t="s">
        <v>789</v>
      </c>
      <c r="R603" s="332" t="s">
        <v>27</v>
      </c>
      <c r="S603" s="332" t="s">
        <v>2</v>
      </c>
      <c r="T603" s="332" t="s">
        <v>3</v>
      </c>
      <c r="U603" s="333" t="s">
        <v>790</v>
      </c>
      <c r="V603" s="334"/>
      <c r="W603" s="332" t="s">
        <v>25</v>
      </c>
      <c r="X603" s="331" t="s">
        <v>789</v>
      </c>
      <c r="Y603" s="332" t="s">
        <v>27</v>
      </c>
      <c r="Z603" s="332" t="s">
        <v>2</v>
      </c>
      <c r="AA603" s="332" t="s">
        <v>3</v>
      </c>
      <c r="AB603" s="336" t="s">
        <v>790</v>
      </c>
      <c r="AC603" s="336"/>
      <c r="AD603" s="337" t="s">
        <v>25</v>
      </c>
      <c r="AE603" s="337" t="s">
        <v>26</v>
      </c>
      <c r="AF603" s="337" t="s">
        <v>27</v>
      </c>
      <c r="AG603" s="337" t="s">
        <v>2</v>
      </c>
    </row>
    <row r="604">
      <c r="A604" s="206"/>
      <c r="B604" s="338"/>
      <c r="C604" s="338">
        <v>2.06</v>
      </c>
      <c r="D604" s="338">
        <v>3.06</v>
      </c>
      <c r="E604" s="338">
        <v>4.06</v>
      </c>
      <c r="F604" s="338">
        <v>5.06</v>
      </c>
      <c r="G604" s="338">
        <v>6.06</v>
      </c>
      <c r="H604" s="338"/>
      <c r="I604" s="338">
        <v>8.06</v>
      </c>
      <c r="J604" s="338">
        <v>9.06</v>
      </c>
      <c r="K604" s="338">
        <v>10.06</v>
      </c>
      <c r="L604" s="338">
        <v>11.06</v>
      </c>
      <c r="M604" s="338">
        <v>12.06</v>
      </c>
      <c r="N604" s="338">
        <v>13.06</v>
      </c>
      <c r="O604" s="338"/>
      <c r="P604" s="338">
        <v>15.06</v>
      </c>
      <c r="Q604" s="338">
        <v>16.06</v>
      </c>
      <c r="R604" s="338">
        <v>17.06</v>
      </c>
      <c r="S604" s="338">
        <v>18.06</v>
      </c>
      <c r="T604" s="338">
        <v>19.06</v>
      </c>
      <c r="U604" s="338">
        <v>20.06</v>
      </c>
      <c r="V604" s="338"/>
      <c r="W604" s="338">
        <v>22.06</v>
      </c>
      <c r="X604" s="338">
        <v>23.06</v>
      </c>
      <c r="Y604" s="338">
        <v>24.06</v>
      </c>
      <c r="Z604" s="338">
        <v>25.06</v>
      </c>
      <c r="AA604" s="338">
        <v>26.06</v>
      </c>
      <c r="AB604" s="338">
        <v>27.06</v>
      </c>
      <c r="AC604" s="338"/>
      <c r="AD604" s="338">
        <v>29.06</v>
      </c>
      <c r="AE604" s="338">
        <v>30.06</v>
      </c>
      <c r="AF604" s="338">
        <v>1.07</v>
      </c>
      <c r="AG604" s="338">
        <v>2.07</v>
      </c>
    </row>
    <row r="605">
      <c r="A605" s="341" t="s">
        <v>816</v>
      </c>
      <c r="B605" s="275"/>
      <c r="C605" s="318">
        <v>57.5</v>
      </c>
      <c r="D605" s="275"/>
      <c r="E605" s="275"/>
      <c r="F605" s="275"/>
      <c r="G605" s="275"/>
      <c r="H605" s="275"/>
      <c r="I605" s="275"/>
      <c r="J605" s="275"/>
      <c r="K605" s="282"/>
      <c r="L605" s="282"/>
      <c r="M605" s="275"/>
      <c r="N605" s="275"/>
      <c r="O605" s="275"/>
      <c r="P605" s="275"/>
      <c r="Q605" s="275"/>
      <c r="R605" s="282"/>
      <c r="S605" s="282"/>
      <c r="T605" s="275"/>
      <c r="U605" s="275"/>
      <c r="V605" s="275"/>
      <c r="W605" s="112"/>
      <c r="X605" s="112"/>
      <c r="Y605" s="112"/>
      <c r="Z605" s="275"/>
      <c r="AA605" s="275"/>
      <c r="AB605" s="275"/>
      <c r="AC605" s="275"/>
      <c r="AD605" s="275"/>
      <c r="AE605" s="275"/>
      <c r="AF605" s="275"/>
      <c r="AG605" s="275"/>
    </row>
    <row r="606">
      <c r="A606" s="342" t="s">
        <v>817</v>
      </c>
      <c r="B606" s="275"/>
      <c r="C606" s="318">
        <v>57.5</v>
      </c>
      <c r="D606" s="275"/>
      <c r="E606" s="275"/>
      <c r="F606" s="275"/>
      <c r="G606" s="275"/>
      <c r="H606" s="275"/>
      <c r="I606" s="275"/>
      <c r="J606" s="275"/>
      <c r="K606" s="282"/>
      <c r="L606" s="282"/>
      <c r="M606" s="275"/>
      <c r="N606" s="275"/>
      <c r="O606" s="275"/>
      <c r="P606" s="275"/>
      <c r="Q606" s="275"/>
      <c r="R606" s="282"/>
      <c r="S606" s="282"/>
      <c r="T606" s="275"/>
      <c r="U606" s="275"/>
      <c r="V606" s="275"/>
      <c r="W606" s="112"/>
      <c r="X606" s="112"/>
      <c r="Y606" s="112"/>
      <c r="Z606" s="275"/>
      <c r="AA606" s="275"/>
      <c r="AB606" s="275"/>
      <c r="AC606" s="275"/>
      <c r="AD606" s="275"/>
      <c r="AE606" s="275"/>
      <c r="AF606" s="275"/>
      <c r="AG606" s="275"/>
    </row>
    <row r="607">
      <c r="A607" s="342" t="s">
        <v>44</v>
      </c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  <c r="AB607" s="275"/>
      <c r="AC607" s="275"/>
      <c r="AD607" s="275"/>
      <c r="AE607" s="275"/>
      <c r="AF607" s="275"/>
      <c r="AG607" s="275"/>
    </row>
    <row r="608">
      <c r="A608" s="342" t="s">
        <v>310</v>
      </c>
      <c r="B608" s="281"/>
      <c r="C608" s="281"/>
      <c r="D608" s="281"/>
      <c r="E608" s="281"/>
      <c r="F608" s="275"/>
      <c r="G608" s="275"/>
      <c r="H608" s="275"/>
      <c r="I608" s="282"/>
      <c r="J608" s="282"/>
      <c r="K608" s="282"/>
      <c r="L608" s="282"/>
      <c r="M608" s="282"/>
      <c r="N608" s="275"/>
      <c r="O608" s="275"/>
      <c r="P608" s="275"/>
      <c r="Q608" s="275"/>
      <c r="R608" s="275"/>
      <c r="S608" s="275"/>
      <c r="T608" s="275"/>
      <c r="U608" s="275"/>
      <c r="V608" s="275"/>
      <c r="W608" s="282"/>
      <c r="X608" s="282"/>
      <c r="Y608" s="282"/>
      <c r="Z608" s="282"/>
      <c r="AA608" s="275"/>
      <c r="AB608" s="275"/>
      <c r="AC608" s="275"/>
      <c r="AD608" s="275"/>
      <c r="AE608" s="282"/>
      <c r="AF608" s="282"/>
      <c r="AG608" s="275"/>
    </row>
    <row r="609">
      <c r="A609" s="342" t="s">
        <v>819</v>
      </c>
      <c r="B609" s="281"/>
      <c r="C609" s="281"/>
      <c r="D609" s="281"/>
      <c r="E609" s="281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82"/>
      <c r="X609" s="282"/>
      <c r="Y609" s="282"/>
      <c r="Z609" s="275"/>
      <c r="AA609" s="275"/>
      <c r="AB609" s="275"/>
      <c r="AC609" s="275"/>
      <c r="AD609" s="275"/>
      <c r="AE609" s="282"/>
      <c r="AF609" s="282" t="s">
        <v>1011</v>
      </c>
      <c r="AG609" s="282" t="s">
        <v>1011</v>
      </c>
    </row>
    <row r="610">
      <c r="A610" s="342" t="s">
        <v>735</v>
      </c>
      <c r="B610" s="285"/>
      <c r="C610" s="330">
        <v>57.5</v>
      </c>
      <c r="D610" s="330">
        <v>57.5</v>
      </c>
      <c r="E610" s="330">
        <v>57.5</v>
      </c>
      <c r="F610" s="330">
        <v>57.5</v>
      </c>
      <c r="G610" s="275"/>
      <c r="H610" s="275"/>
      <c r="I610" s="282"/>
      <c r="J610" s="330">
        <v>57.5</v>
      </c>
      <c r="K610" s="330">
        <v>57.5</v>
      </c>
      <c r="L610" s="285"/>
      <c r="M610" s="282"/>
      <c r="N610" s="275"/>
      <c r="O610" s="275"/>
      <c r="P610" s="356">
        <v>57.5</v>
      </c>
      <c r="Q610" s="356">
        <v>57.5</v>
      </c>
      <c r="R610" s="356">
        <v>57.5</v>
      </c>
      <c r="S610" s="288"/>
      <c r="T610" s="288"/>
      <c r="U610" s="288"/>
      <c r="V610" s="275"/>
      <c r="W610" s="318">
        <v>57.5</v>
      </c>
      <c r="X610" s="318">
        <v>57.5</v>
      </c>
      <c r="Y610" s="318">
        <v>57.5</v>
      </c>
      <c r="Z610" s="318">
        <v>57.5</v>
      </c>
      <c r="AA610" s="282"/>
      <c r="AB610" s="282"/>
      <c r="AC610" s="275"/>
      <c r="AD610" s="282"/>
      <c r="AE610" s="303">
        <v>57.5</v>
      </c>
      <c r="AF610" s="303">
        <v>57.5</v>
      </c>
      <c r="AG610" s="303">
        <v>57.5</v>
      </c>
    </row>
    <row r="611">
      <c r="A611" s="342" t="s">
        <v>866</v>
      </c>
      <c r="B611" s="285"/>
      <c r="C611" s="330">
        <v>57.5</v>
      </c>
      <c r="D611" s="330">
        <v>57.5</v>
      </c>
      <c r="E611" s="330">
        <v>57.5</v>
      </c>
      <c r="F611" s="330">
        <v>57.5</v>
      </c>
      <c r="G611" s="275"/>
      <c r="H611" s="275"/>
      <c r="I611" s="282"/>
      <c r="J611" s="330">
        <v>57.5</v>
      </c>
      <c r="K611" s="330">
        <v>57.5</v>
      </c>
      <c r="L611" s="285"/>
      <c r="M611" s="282"/>
      <c r="N611" s="275"/>
      <c r="O611" s="275"/>
      <c r="P611" s="356">
        <v>57.5</v>
      </c>
      <c r="Q611" s="356">
        <v>57.5</v>
      </c>
      <c r="R611" s="356">
        <v>57.5</v>
      </c>
      <c r="S611" s="288"/>
      <c r="T611" s="288"/>
      <c r="U611" s="288"/>
      <c r="V611" s="275"/>
      <c r="W611" s="275"/>
      <c r="X611" s="275"/>
      <c r="Y611" s="275"/>
      <c r="Z611" s="275"/>
      <c r="AA611" s="275"/>
      <c r="AB611" s="275"/>
      <c r="AC611" s="275"/>
      <c r="AD611" s="275"/>
      <c r="AE611" s="303">
        <v>57.5</v>
      </c>
      <c r="AF611" s="303">
        <v>57.5</v>
      </c>
      <c r="AG611" s="303">
        <v>57.5</v>
      </c>
    </row>
    <row r="612">
      <c r="A612" s="342" t="s">
        <v>867</v>
      </c>
      <c r="B612" s="285"/>
      <c r="C612" s="330">
        <v>57.5</v>
      </c>
      <c r="D612" s="330">
        <v>57.5</v>
      </c>
      <c r="E612" s="330">
        <v>57.5</v>
      </c>
      <c r="F612" s="330">
        <v>57.5</v>
      </c>
      <c r="G612" s="275"/>
      <c r="H612" s="275"/>
      <c r="I612" s="282"/>
      <c r="J612" s="330">
        <v>57.5</v>
      </c>
      <c r="K612" s="330">
        <v>57.5</v>
      </c>
      <c r="L612" s="282"/>
      <c r="M612" s="282"/>
      <c r="N612" s="275"/>
      <c r="O612" s="275"/>
      <c r="P612" s="356">
        <v>57.5</v>
      </c>
      <c r="Q612" s="356">
        <v>57.5</v>
      </c>
      <c r="R612" s="356">
        <v>57.5</v>
      </c>
      <c r="S612" s="288"/>
      <c r="T612" s="288"/>
      <c r="U612" s="288"/>
      <c r="V612" s="275"/>
      <c r="W612" s="318">
        <v>57.5</v>
      </c>
      <c r="X612" s="318">
        <v>57.5</v>
      </c>
      <c r="Y612" s="318">
        <v>57.5</v>
      </c>
      <c r="Z612" s="318">
        <v>57.5</v>
      </c>
      <c r="AA612" s="275"/>
      <c r="AB612" s="275"/>
      <c r="AC612" s="275"/>
      <c r="AD612" s="282"/>
      <c r="AE612" s="303">
        <v>57.5</v>
      </c>
      <c r="AF612" s="303">
        <v>57.5</v>
      </c>
      <c r="AG612" s="303">
        <v>57.5</v>
      </c>
    </row>
    <row r="613">
      <c r="A613" s="342" t="s">
        <v>818</v>
      </c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82"/>
      <c r="R613" s="282"/>
      <c r="S613" s="282"/>
      <c r="T613" s="275"/>
      <c r="U613" s="275"/>
      <c r="V613" s="275"/>
      <c r="W613" s="275"/>
      <c r="X613" s="275"/>
      <c r="Y613" s="275"/>
      <c r="Z613" s="275"/>
      <c r="AA613" s="275"/>
      <c r="AB613" s="275"/>
      <c r="AC613" s="275"/>
      <c r="AD613" s="282"/>
      <c r="AE613" s="275"/>
      <c r="AF613" s="282"/>
      <c r="AG613" s="275"/>
    </row>
    <row r="614">
      <c r="A614" s="342" t="s">
        <v>827</v>
      </c>
      <c r="B614" s="275"/>
      <c r="C614" s="275"/>
      <c r="D614" s="275"/>
      <c r="E614" s="275"/>
      <c r="F614" s="275"/>
      <c r="G614" s="275"/>
      <c r="H614" s="275"/>
      <c r="I614" s="282"/>
      <c r="J614" s="282"/>
      <c r="K614" s="282"/>
      <c r="L614" s="282"/>
      <c r="M614" s="275"/>
      <c r="N614" s="275"/>
      <c r="O614" s="275"/>
      <c r="P614" s="275"/>
      <c r="Q614" s="282"/>
      <c r="R614" s="282"/>
      <c r="S614" s="282"/>
      <c r="T614" s="275"/>
      <c r="U614" s="275"/>
      <c r="V614" s="275"/>
      <c r="W614" s="318">
        <v>57.5</v>
      </c>
      <c r="X614" s="318">
        <v>57.5</v>
      </c>
      <c r="Y614" s="318">
        <v>57.5</v>
      </c>
      <c r="Z614" s="318">
        <v>57.5</v>
      </c>
      <c r="AA614" s="275"/>
      <c r="AB614" s="275"/>
      <c r="AC614" s="275"/>
      <c r="AD614" s="282"/>
      <c r="AE614" s="275"/>
      <c r="AF614" s="282"/>
      <c r="AG614" s="275"/>
    </row>
    <row r="615">
      <c r="A615" s="343" t="s">
        <v>832</v>
      </c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82"/>
      <c r="R615" s="275"/>
      <c r="S615" s="275"/>
      <c r="T615" s="275"/>
      <c r="U615" s="275"/>
      <c r="V615" s="275"/>
      <c r="W615" s="275"/>
      <c r="X615" s="275"/>
      <c r="Y615" s="282"/>
      <c r="Z615" s="282"/>
      <c r="AA615" s="275"/>
      <c r="AB615" s="275"/>
      <c r="AC615" s="275"/>
      <c r="AD615" s="275"/>
      <c r="AE615" s="275"/>
      <c r="AF615" s="275"/>
      <c r="AG615" s="275"/>
    </row>
    <row r="616">
      <c r="A616" s="343" t="s">
        <v>835</v>
      </c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82"/>
      <c r="Z616" s="282"/>
      <c r="AA616" s="275"/>
      <c r="AB616" s="275"/>
      <c r="AC616" s="275"/>
      <c r="AD616" s="275"/>
      <c r="AE616" s="275"/>
      <c r="AF616" s="275"/>
      <c r="AG616" s="275"/>
    </row>
    <row r="617">
      <c r="A617" s="344" t="s">
        <v>824</v>
      </c>
      <c r="B617" s="275"/>
      <c r="C617" s="275"/>
      <c r="D617" s="275"/>
      <c r="E617" s="275"/>
      <c r="F617" s="275"/>
      <c r="G617" s="275"/>
      <c r="H617" s="275"/>
      <c r="I617" s="275"/>
      <c r="J617" s="282"/>
      <c r="K617" s="282"/>
      <c r="L617" s="282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363"/>
      <c r="Y617" s="363"/>
      <c r="Z617" s="275"/>
      <c r="AA617" s="275"/>
      <c r="AB617" s="275"/>
      <c r="AC617" s="275"/>
      <c r="AD617" s="275"/>
      <c r="AE617" s="275"/>
      <c r="AF617" s="275"/>
      <c r="AG617" s="275"/>
    </row>
    <row r="618">
      <c r="A618" s="344" t="s">
        <v>825</v>
      </c>
      <c r="B618" s="282"/>
      <c r="C618" s="282"/>
      <c r="D618" s="282"/>
      <c r="E618" s="282"/>
      <c r="F618" s="275"/>
      <c r="G618" s="275"/>
      <c r="H618" s="275"/>
      <c r="I618" s="282"/>
      <c r="J618" s="282"/>
      <c r="K618" s="282"/>
      <c r="L618" s="282"/>
      <c r="M618" s="275"/>
      <c r="N618" s="275"/>
      <c r="O618" s="275"/>
      <c r="P618" s="275"/>
      <c r="Q618" s="282"/>
      <c r="R618" s="282"/>
      <c r="S618" s="282"/>
      <c r="T618" s="282"/>
      <c r="U618" s="275"/>
      <c r="V618" s="275"/>
      <c r="W618" s="282"/>
      <c r="X618" s="282"/>
      <c r="Y618" s="282"/>
      <c r="Z618" s="282"/>
      <c r="AA618" s="282"/>
      <c r="AB618" s="275"/>
      <c r="AC618" s="275"/>
      <c r="AD618" s="275"/>
      <c r="AE618" s="275"/>
      <c r="AF618" s="275"/>
      <c r="AG618" s="275"/>
    </row>
    <row r="619">
      <c r="A619" s="344" t="s">
        <v>826</v>
      </c>
      <c r="B619" s="285"/>
      <c r="C619" s="285"/>
      <c r="D619" s="285"/>
      <c r="E619" s="285"/>
      <c r="F619" s="281"/>
      <c r="G619" s="275"/>
      <c r="H619" s="275"/>
      <c r="I619" s="281"/>
      <c r="J619" s="281"/>
      <c r="K619" s="281"/>
      <c r="L619" s="281"/>
      <c r="M619" s="275"/>
      <c r="N619" s="275"/>
      <c r="O619" s="275"/>
      <c r="P619" s="281"/>
      <c r="Q619" s="285"/>
      <c r="R619" s="285"/>
      <c r="S619" s="285"/>
      <c r="T619" s="285"/>
      <c r="U619" s="275"/>
      <c r="V619" s="275"/>
      <c r="W619" s="275"/>
      <c r="X619" s="275"/>
      <c r="Y619" s="275"/>
      <c r="Z619" s="275"/>
      <c r="AA619" s="275"/>
      <c r="AB619" s="275"/>
      <c r="AC619" s="275"/>
      <c r="AD619" s="275"/>
      <c r="AE619" s="275"/>
      <c r="AF619" s="275"/>
      <c r="AG619" s="275"/>
    </row>
    <row r="620">
      <c r="A620" s="347" t="s">
        <v>680</v>
      </c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82"/>
      <c r="M620" s="282"/>
      <c r="N620" s="275"/>
      <c r="O620" s="275"/>
      <c r="P620" s="282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  <c r="AB620" s="275"/>
      <c r="AC620" s="275"/>
      <c r="AD620" s="275"/>
      <c r="AE620" s="275"/>
      <c r="AF620" s="275"/>
      <c r="AG620" s="275"/>
    </row>
    <row r="621">
      <c r="A621" s="347" t="s">
        <v>828</v>
      </c>
      <c r="B621" s="282"/>
      <c r="C621" s="282"/>
      <c r="D621" s="282"/>
      <c r="E621" s="282"/>
      <c r="F621" s="275"/>
      <c r="G621" s="275"/>
      <c r="H621" s="275"/>
      <c r="I621" s="282"/>
      <c r="J621" s="282"/>
      <c r="K621" s="282"/>
      <c r="L621" s="282"/>
      <c r="M621" s="282"/>
      <c r="N621" s="275"/>
      <c r="O621" s="275"/>
      <c r="P621" s="282"/>
      <c r="Q621" s="282"/>
      <c r="R621" s="282"/>
      <c r="S621" s="282"/>
      <c r="T621" s="282"/>
      <c r="U621" s="275"/>
      <c r="V621" s="275"/>
      <c r="W621" s="282"/>
      <c r="X621" s="282"/>
      <c r="Y621" s="282"/>
      <c r="Z621" s="282"/>
      <c r="AA621" s="282"/>
      <c r="AB621" s="275"/>
      <c r="AC621" s="275"/>
      <c r="AD621" s="275"/>
      <c r="AE621" s="275"/>
      <c r="AF621" s="275"/>
      <c r="AG621" s="275"/>
    </row>
    <row r="622">
      <c r="A622" s="343" t="s">
        <v>829</v>
      </c>
      <c r="B622" s="282"/>
      <c r="C622" s="282"/>
      <c r="D622" s="282"/>
      <c r="E622" s="282"/>
      <c r="F622" s="275"/>
      <c r="G622" s="275"/>
      <c r="H622" s="275"/>
      <c r="I622" s="282"/>
      <c r="J622" s="282"/>
      <c r="K622" s="282"/>
      <c r="L622" s="282"/>
      <c r="M622" s="282"/>
      <c r="N622" s="275"/>
      <c r="O622" s="275"/>
      <c r="P622" s="282"/>
      <c r="Q622" s="282"/>
      <c r="R622" s="282"/>
      <c r="S622" s="282"/>
      <c r="T622" s="282"/>
      <c r="U622" s="275"/>
      <c r="V622" s="275"/>
      <c r="W622" s="282"/>
      <c r="X622" s="282"/>
      <c r="Y622" s="282"/>
      <c r="Z622" s="282"/>
      <c r="AA622" s="282"/>
      <c r="AB622" s="275"/>
      <c r="AC622" s="275"/>
      <c r="AD622" s="275"/>
      <c r="AE622" s="275"/>
      <c r="AF622" s="275"/>
      <c r="AG622" s="275"/>
    </row>
    <row r="623">
      <c r="A623" s="343" t="s">
        <v>830</v>
      </c>
      <c r="B623" s="282"/>
      <c r="C623" s="282"/>
      <c r="D623" s="282"/>
      <c r="E623" s="282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82"/>
      <c r="R623" s="282"/>
      <c r="S623" s="282"/>
      <c r="T623" s="282"/>
      <c r="U623" s="275"/>
      <c r="V623" s="275"/>
      <c r="W623" s="282"/>
      <c r="X623" s="282"/>
      <c r="Y623" s="282"/>
      <c r="Z623" s="282"/>
      <c r="AA623" s="282"/>
      <c r="AB623" s="275"/>
      <c r="AC623" s="275"/>
      <c r="AD623" s="275"/>
      <c r="AE623" s="275"/>
      <c r="AF623" s="275"/>
      <c r="AG623" s="275"/>
    </row>
    <row r="624">
      <c r="A624" s="343" t="s">
        <v>871</v>
      </c>
      <c r="B624" s="282"/>
      <c r="C624" s="282"/>
      <c r="D624" s="282"/>
      <c r="E624" s="282"/>
      <c r="F624" s="275"/>
      <c r="G624" s="275"/>
      <c r="H624" s="275"/>
      <c r="I624" s="282"/>
      <c r="J624" s="282"/>
      <c r="K624" s="275"/>
      <c r="L624" s="275"/>
      <c r="M624" s="275"/>
      <c r="N624" s="275"/>
      <c r="O624" s="275"/>
      <c r="P624" s="282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  <c r="AB624" s="275"/>
      <c r="AC624" s="275"/>
      <c r="AD624" s="275"/>
      <c r="AE624" s="275"/>
      <c r="AF624" s="275"/>
      <c r="AG624" s="275"/>
    </row>
    <row r="625">
      <c r="A625" s="343" t="s">
        <v>948</v>
      </c>
      <c r="B625" s="282"/>
      <c r="C625" s="282"/>
      <c r="D625" s="282"/>
      <c r="E625" s="282"/>
      <c r="F625" s="275"/>
      <c r="G625" s="275"/>
      <c r="H625" s="275"/>
      <c r="I625" s="282"/>
      <c r="J625" s="282"/>
      <c r="K625" s="275"/>
      <c r="L625" s="275"/>
      <c r="M625" s="275"/>
      <c r="N625" s="275"/>
      <c r="O625" s="275"/>
      <c r="P625" s="282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  <c r="AA625" s="275"/>
      <c r="AB625" s="275"/>
      <c r="AC625" s="275"/>
      <c r="AD625" s="275"/>
      <c r="AE625" s="275"/>
      <c r="AF625" s="275"/>
      <c r="AG625" s="275"/>
    </row>
    <row r="626">
      <c r="A626" s="343" t="s">
        <v>872</v>
      </c>
      <c r="B626" s="282"/>
      <c r="C626" s="282"/>
      <c r="D626" s="282"/>
      <c r="E626" s="282"/>
      <c r="F626" s="275"/>
      <c r="G626" s="275"/>
      <c r="H626" s="275"/>
      <c r="I626" s="282"/>
      <c r="J626" s="282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  <c r="AB626" s="275"/>
      <c r="AC626" s="275"/>
      <c r="AD626" s="275"/>
      <c r="AE626" s="275"/>
      <c r="AF626" s="275"/>
      <c r="AG626" s="275"/>
    </row>
    <row r="627">
      <c r="A627" s="343" t="s">
        <v>747</v>
      </c>
      <c r="B627" s="282"/>
      <c r="C627" s="282"/>
      <c r="D627" s="282"/>
      <c r="E627" s="282"/>
      <c r="F627" s="282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  <c r="AA627" s="275"/>
      <c r="AB627" s="275"/>
      <c r="AC627" s="275"/>
      <c r="AD627" s="275"/>
      <c r="AE627" s="275"/>
      <c r="AF627" s="275"/>
      <c r="AG627" s="275"/>
    </row>
    <row r="628">
      <c r="A628" s="343" t="s">
        <v>949</v>
      </c>
      <c r="B628" s="282"/>
      <c r="C628" s="282"/>
      <c r="D628" s="282"/>
      <c r="E628" s="282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  <c r="AB628" s="275"/>
      <c r="AC628" s="275"/>
      <c r="AD628" s="275"/>
      <c r="AE628" s="275"/>
      <c r="AF628" s="275"/>
      <c r="AG628" s="275"/>
    </row>
    <row r="629">
      <c r="A629" s="343" t="s">
        <v>954</v>
      </c>
      <c r="B629" s="282"/>
      <c r="C629" s="282"/>
      <c r="D629" s="282"/>
      <c r="E629" s="282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  <c r="AB629" s="275"/>
      <c r="AC629" s="275"/>
      <c r="AD629" s="275"/>
      <c r="AE629" s="275"/>
      <c r="AF629" s="275"/>
      <c r="AG629" s="275"/>
    </row>
    <row r="630">
      <c r="A630" s="343" t="s">
        <v>12</v>
      </c>
      <c r="B630" s="275"/>
      <c r="C630" s="275"/>
      <c r="D630" s="275"/>
      <c r="E630" s="275"/>
      <c r="F630" s="275"/>
      <c r="G630" s="275"/>
      <c r="H630" s="275"/>
      <c r="I630" s="318">
        <v>57.5</v>
      </c>
      <c r="J630" s="275"/>
      <c r="K630" s="275"/>
      <c r="L630" s="275"/>
      <c r="M630" s="275"/>
      <c r="N630" s="275"/>
      <c r="O630" s="275"/>
      <c r="P630" s="275"/>
      <c r="Q630" s="288"/>
      <c r="R630" s="288"/>
      <c r="S630" s="275"/>
      <c r="T630" s="275"/>
      <c r="U630" s="275"/>
      <c r="V630" s="275"/>
      <c r="W630" s="275"/>
      <c r="X630" s="275"/>
      <c r="Y630" s="275"/>
      <c r="Z630" s="275"/>
      <c r="AA630" s="282"/>
      <c r="AB630" s="275"/>
      <c r="AC630" s="275"/>
      <c r="AD630" s="275"/>
      <c r="AE630" s="275"/>
      <c r="AF630" s="275"/>
      <c r="AG630" s="275"/>
    </row>
    <row r="631">
      <c r="A631" s="343" t="s">
        <v>838</v>
      </c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  <c r="AA631" s="275"/>
      <c r="AB631" s="275"/>
      <c r="AC631" s="275"/>
      <c r="AD631" s="275"/>
      <c r="AE631" s="275"/>
      <c r="AF631" s="275"/>
      <c r="AG631" s="275"/>
    </row>
    <row r="632">
      <c r="A632" s="343" t="s">
        <v>822</v>
      </c>
      <c r="B632" s="285"/>
      <c r="C632" s="285"/>
      <c r="D632" s="285"/>
      <c r="E632" s="285"/>
      <c r="F632" s="281"/>
      <c r="G632" s="275"/>
      <c r="H632" s="275"/>
      <c r="I632" s="281"/>
      <c r="J632" s="281"/>
      <c r="K632" s="281"/>
      <c r="L632" s="281"/>
      <c r="M632" s="275"/>
      <c r="N632" s="275"/>
      <c r="O632" s="275"/>
      <c r="P632" s="281"/>
      <c r="Q632" s="281"/>
      <c r="R632" s="281"/>
      <c r="S632" s="275"/>
      <c r="T632" s="275"/>
      <c r="U632" s="275"/>
      <c r="V632" s="275"/>
      <c r="W632" s="275"/>
      <c r="X632" s="275"/>
      <c r="Y632" s="275"/>
      <c r="Z632" s="275"/>
      <c r="AA632" s="275"/>
      <c r="AB632" s="275"/>
      <c r="AC632" s="275"/>
      <c r="AD632" s="282"/>
      <c r="AE632" s="275"/>
      <c r="AF632" s="282"/>
      <c r="AG632" s="275"/>
    </row>
    <row r="633">
      <c r="A633" s="343" t="s">
        <v>677</v>
      </c>
      <c r="B633" s="275"/>
      <c r="C633" s="275"/>
      <c r="D633" s="275"/>
      <c r="E633" s="275"/>
      <c r="F633" s="275"/>
      <c r="G633" s="275"/>
      <c r="H633" s="275"/>
      <c r="I633" s="275"/>
      <c r="J633" s="282"/>
      <c r="K633" s="282"/>
      <c r="L633" s="282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82"/>
      <c r="Y633" s="282"/>
      <c r="Z633" s="282"/>
      <c r="AA633" s="275"/>
      <c r="AB633" s="275"/>
      <c r="AC633" s="275"/>
      <c r="AD633" s="282"/>
      <c r="AE633" s="275"/>
      <c r="AF633" s="282"/>
      <c r="AG633" s="275"/>
    </row>
    <row r="634">
      <c r="A634" s="343" t="s">
        <v>263</v>
      </c>
      <c r="B634" s="275"/>
      <c r="C634" s="275"/>
      <c r="D634" s="275"/>
      <c r="E634" s="275"/>
      <c r="F634" s="275"/>
      <c r="G634" s="275"/>
      <c r="H634" s="275"/>
      <c r="I634" s="275"/>
      <c r="J634" s="282"/>
      <c r="K634" s="282"/>
      <c r="L634" s="282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82"/>
      <c r="X634" s="282"/>
      <c r="Y634" s="282"/>
      <c r="Z634" s="282"/>
      <c r="AA634" s="282"/>
      <c r="AB634" s="275"/>
      <c r="AC634" s="275"/>
      <c r="AD634" s="275"/>
      <c r="AE634" s="275"/>
      <c r="AF634" s="275"/>
      <c r="AG634" s="275"/>
    </row>
    <row r="635">
      <c r="A635" s="343" t="s">
        <v>944</v>
      </c>
      <c r="B635" s="275"/>
      <c r="C635" s="275"/>
      <c r="D635" s="275"/>
      <c r="E635" s="275"/>
      <c r="F635" s="275"/>
      <c r="G635" s="275"/>
      <c r="H635" s="275"/>
      <c r="I635" s="282"/>
      <c r="J635" s="282"/>
      <c r="K635" s="282"/>
      <c r="L635" s="282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82"/>
      <c r="Y635" s="282"/>
      <c r="Z635" s="282"/>
      <c r="AA635" s="275"/>
      <c r="AB635" s="275"/>
      <c r="AC635" s="275"/>
      <c r="AD635" s="275"/>
      <c r="AE635" s="275"/>
      <c r="AF635" s="275"/>
      <c r="AG635" s="275"/>
    </row>
    <row r="636">
      <c r="A636" s="349" t="s">
        <v>1010</v>
      </c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82"/>
      <c r="Y636" s="282"/>
      <c r="Z636" s="282"/>
      <c r="AA636" s="275"/>
      <c r="AB636" s="275"/>
      <c r="AC636" s="275"/>
      <c r="AD636" s="275"/>
      <c r="AE636" s="275"/>
      <c r="AF636" s="275"/>
      <c r="AG636" s="275"/>
    </row>
    <row r="637">
      <c r="A637" s="343" t="s">
        <v>945</v>
      </c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  <c r="AA637" s="275"/>
      <c r="AB637" s="275"/>
      <c r="AC637" s="275"/>
      <c r="AD637" s="275"/>
      <c r="AE637" s="275"/>
      <c r="AF637" s="275"/>
      <c r="AG637" s="275"/>
    </row>
    <row r="638">
      <c r="A638" s="343" t="s">
        <v>955</v>
      </c>
      <c r="B638" s="285"/>
      <c r="C638" s="285"/>
      <c r="D638" s="285"/>
      <c r="E638" s="285"/>
      <c r="F638" s="281"/>
      <c r="G638" s="275"/>
      <c r="H638" s="275"/>
      <c r="I638" s="281"/>
      <c r="J638" s="281"/>
      <c r="K638" s="282"/>
      <c r="L638" s="282"/>
      <c r="M638" s="275"/>
      <c r="N638" s="275"/>
      <c r="O638" s="275"/>
      <c r="P638" s="281"/>
      <c r="Q638" s="281"/>
      <c r="R638" s="288"/>
      <c r="S638" s="288"/>
      <c r="T638" s="275"/>
      <c r="U638" s="275"/>
      <c r="V638" s="275"/>
      <c r="W638" s="275"/>
      <c r="X638" s="275"/>
      <c r="Y638" s="275"/>
      <c r="Z638" s="275"/>
      <c r="AA638" s="275"/>
      <c r="AB638" s="275"/>
      <c r="AC638" s="275"/>
      <c r="AD638" s="282"/>
      <c r="AE638" s="303">
        <v>57.5</v>
      </c>
      <c r="AF638" s="303">
        <v>57.5</v>
      </c>
      <c r="AG638" s="303">
        <v>57.5</v>
      </c>
    </row>
    <row r="639">
      <c r="A639" s="343" t="s">
        <v>956</v>
      </c>
      <c r="B639" s="281"/>
      <c r="C639" s="281"/>
      <c r="D639" s="281"/>
      <c r="E639" s="281"/>
      <c r="F639" s="281"/>
      <c r="G639" s="275"/>
      <c r="H639" s="275"/>
      <c r="I639" s="281"/>
      <c r="J639" s="281"/>
      <c r="K639" s="282"/>
      <c r="L639" s="282"/>
      <c r="M639" s="275"/>
      <c r="N639" s="275"/>
      <c r="O639" s="275"/>
      <c r="P639" s="281"/>
      <c r="Q639" s="281"/>
      <c r="R639" s="288"/>
      <c r="S639" s="288"/>
      <c r="T639" s="275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82"/>
      <c r="AE639" s="303">
        <v>57.5</v>
      </c>
      <c r="AF639" s="303">
        <v>57.5</v>
      </c>
      <c r="AG639" s="303">
        <v>57.5</v>
      </c>
    </row>
    <row r="640">
      <c r="A640" s="343" t="s">
        <v>717</v>
      </c>
      <c r="B640" s="282"/>
      <c r="C640" s="282"/>
      <c r="D640" s="281"/>
      <c r="E640" s="275"/>
      <c r="F640" s="275"/>
      <c r="G640" s="275"/>
      <c r="H640" s="275"/>
      <c r="I640" s="282"/>
      <c r="J640" s="282"/>
      <c r="K640" s="282"/>
      <c r="L640" s="275"/>
      <c r="M640" s="275"/>
      <c r="N640" s="275"/>
      <c r="O640" s="275"/>
      <c r="P640" s="356">
        <v>57.5</v>
      </c>
      <c r="Q640" s="356">
        <v>57.5</v>
      </c>
      <c r="R640" s="356">
        <v>57.5</v>
      </c>
      <c r="S640" s="282"/>
      <c r="T640" s="275"/>
      <c r="U640" s="275"/>
      <c r="V640" s="275"/>
      <c r="W640" s="275"/>
      <c r="X640" s="364">
        <v>57.5</v>
      </c>
      <c r="Y640" s="318">
        <v>57.5</v>
      </c>
      <c r="Z640" s="275"/>
      <c r="AA640" s="282"/>
      <c r="AB640" s="275"/>
      <c r="AC640" s="275"/>
      <c r="AD640" s="275"/>
      <c r="AE640" s="275"/>
      <c r="AF640" s="275"/>
      <c r="AG640" s="282"/>
    </row>
    <row r="641">
      <c r="A641" s="343" t="s">
        <v>1006</v>
      </c>
      <c r="B641" s="275"/>
      <c r="C641" s="275"/>
      <c r="D641" s="28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81"/>
      <c r="R641" s="281"/>
      <c r="S641" s="275"/>
      <c r="T641" s="282"/>
      <c r="U641" s="282"/>
      <c r="V641" s="275"/>
      <c r="W641" s="275"/>
      <c r="X641" s="275"/>
      <c r="Y641" s="282"/>
      <c r="Z641" s="275"/>
      <c r="AA641" s="275"/>
      <c r="AB641" s="275"/>
      <c r="AC641" s="275"/>
      <c r="AD641" s="275"/>
      <c r="AE641" s="275"/>
      <c r="AF641" s="275"/>
      <c r="AG641" s="275"/>
    </row>
    <row r="642">
      <c r="A642" s="343" t="s">
        <v>1007</v>
      </c>
      <c r="B642" s="275"/>
      <c r="C642" s="282"/>
      <c r="D642" s="282"/>
      <c r="E642" s="275"/>
      <c r="F642" s="275"/>
      <c r="G642" s="275"/>
      <c r="H642" s="275"/>
      <c r="I642" s="112"/>
      <c r="J642" s="112"/>
      <c r="K642" s="284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365"/>
      <c r="Y642" s="365"/>
      <c r="Z642" s="365"/>
      <c r="AA642" s="275"/>
      <c r="AB642" s="275"/>
      <c r="AC642" s="275"/>
      <c r="AD642" s="275"/>
      <c r="AE642" s="275"/>
      <c r="AF642" s="275"/>
      <c r="AG642" s="275"/>
    </row>
    <row r="643">
      <c r="A643" s="349" t="s">
        <v>1009</v>
      </c>
      <c r="B643" s="275"/>
      <c r="C643" s="282"/>
      <c r="D643" s="282"/>
      <c r="E643" s="275"/>
      <c r="F643" s="275"/>
      <c r="G643" s="275"/>
      <c r="H643" s="275"/>
      <c r="I643" s="112"/>
      <c r="J643" s="112"/>
      <c r="K643" s="284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  <c r="AA643" s="275"/>
      <c r="AB643" s="275"/>
      <c r="AC643" s="275"/>
      <c r="AD643" s="275"/>
      <c r="AE643" s="275"/>
      <c r="AF643" s="275"/>
      <c r="AG643" s="275"/>
    </row>
    <row r="644">
      <c r="A644" s="349" t="s">
        <v>740</v>
      </c>
      <c r="B644" s="275"/>
      <c r="C644" s="282"/>
      <c r="D644" s="282"/>
      <c r="E644" s="275"/>
      <c r="F644" s="275"/>
      <c r="G644" s="275"/>
      <c r="H644" s="275"/>
      <c r="I644" s="112"/>
      <c r="J644" s="112"/>
      <c r="K644" s="284"/>
      <c r="L644" s="275"/>
      <c r="M644" s="275"/>
      <c r="N644" s="275"/>
      <c r="O644" s="275"/>
      <c r="P644" s="275"/>
      <c r="Q644" s="275"/>
      <c r="R644" s="275"/>
      <c r="S644" s="318">
        <v>57.5</v>
      </c>
      <c r="T644" s="275"/>
      <c r="U644" s="275"/>
      <c r="V644" s="275"/>
      <c r="W644" s="275"/>
      <c r="X644" s="275"/>
      <c r="Y644" s="275"/>
      <c r="Z644" s="275"/>
      <c r="AA644" s="275"/>
      <c r="AB644" s="275"/>
      <c r="AC644" s="275"/>
      <c r="AD644" s="275"/>
      <c r="AE644" s="275"/>
      <c r="AF644" s="275"/>
      <c r="AG644" s="275"/>
    </row>
    <row r="647">
      <c r="A647" s="251" t="s">
        <v>788</v>
      </c>
      <c r="B647" s="331"/>
      <c r="C647" s="337"/>
      <c r="D647" s="332"/>
      <c r="E647" s="332"/>
      <c r="F647" s="337" t="s">
        <v>3</v>
      </c>
      <c r="G647" s="333" t="s">
        <v>790</v>
      </c>
      <c r="H647" s="334"/>
      <c r="I647" s="332" t="s">
        <v>25</v>
      </c>
      <c r="J647" s="332" t="s">
        <v>789</v>
      </c>
      <c r="K647" s="332" t="s">
        <v>27</v>
      </c>
      <c r="L647" s="332" t="s">
        <v>2</v>
      </c>
      <c r="M647" s="332" t="s">
        <v>3</v>
      </c>
      <c r="N647" s="335" t="s">
        <v>790</v>
      </c>
      <c r="O647" s="334"/>
      <c r="P647" s="332" t="s">
        <v>25</v>
      </c>
      <c r="Q647" s="331" t="s">
        <v>789</v>
      </c>
      <c r="R647" s="332" t="s">
        <v>27</v>
      </c>
      <c r="S647" s="332" t="s">
        <v>2</v>
      </c>
      <c r="T647" s="332" t="s">
        <v>3</v>
      </c>
      <c r="U647" s="333" t="s">
        <v>790</v>
      </c>
      <c r="V647" s="334"/>
      <c r="W647" s="332" t="s">
        <v>25</v>
      </c>
      <c r="X647" s="331" t="s">
        <v>789</v>
      </c>
      <c r="Y647" s="332" t="s">
        <v>27</v>
      </c>
      <c r="Z647" s="332" t="s">
        <v>2</v>
      </c>
      <c r="AA647" s="332" t="s">
        <v>3</v>
      </c>
      <c r="AB647" s="336" t="s">
        <v>790</v>
      </c>
      <c r="AC647" s="336"/>
      <c r="AD647" s="337" t="s">
        <v>25</v>
      </c>
      <c r="AE647" s="337" t="s">
        <v>26</v>
      </c>
      <c r="AF647" s="337" t="s">
        <v>27</v>
      </c>
      <c r="AG647" s="337" t="s">
        <v>2</v>
      </c>
    </row>
    <row r="648">
      <c r="A648" s="206"/>
      <c r="B648" s="338"/>
      <c r="C648" s="338"/>
      <c r="D648" s="338"/>
      <c r="E648" s="338"/>
      <c r="F648" s="338">
        <v>3.07</v>
      </c>
      <c r="G648" s="338">
        <v>4.07</v>
      </c>
      <c r="H648" s="338"/>
      <c r="I648" s="338">
        <v>6.07</v>
      </c>
      <c r="J648" s="338">
        <v>7.07</v>
      </c>
      <c r="K648" s="338">
        <v>8.07</v>
      </c>
      <c r="L648" s="338">
        <v>9.07</v>
      </c>
      <c r="M648" s="338">
        <v>10.07</v>
      </c>
      <c r="N648" s="338">
        <v>11.07</v>
      </c>
      <c r="O648" s="338"/>
      <c r="P648" s="338">
        <v>13.07</v>
      </c>
      <c r="Q648" s="338">
        <v>14.07</v>
      </c>
      <c r="R648" s="338">
        <v>15.07</v>
      </c>
      <c r="S648" s="338">
        <v>16.07</v>
      </c>
      <c r="T648" s="338">
        <v>17.07</v>
      </c>
      <c r="U648" s="338">
        <v>18.07</v>
      </c>
      <c r="V648" s="338"/>
      <c r="W648" s="338">
        <v>20.07</v>
      </c>
      <c r="X648" s="338">
        <v>21.07</v>
      </c>
      <c r="Y648" s="338">
        <v>22.07</v>
      </c>
      <c r="Z648" s="338">
        <v>23.07</v>
      </c>
      <c r="AA648" s="338">
        <v>24.07</v>
      </c>
      <c r="AB648" s="338">
        <v>25.07</v>
      </c>
      <c r="AC648" s="338"/>
      <c r="AD648" s="338">
        <v>27.07</v>
      </c>
      <c r="AE648" s="338">
        <v>28.07</v>
      </c>
      <c r="AF648" s="338">
        <v>29.07</v>
      </c>
      <c r="AG648" s="338">
        <v>30.07</v>
      </c>
    </row>
    <row r="649">
      <c r="A649" s="341" t="s">
        <v>816</v>
      </c>
      <c r="B649" s="275"/>
      <c r="C649" s="303"/>
      <c r="D649" s="302"/>
      <c r="E649" s="302"/>
      <c r="F649" s="302"/>
      <c r="G649" s="302"/>
      <c r="H649" s="302"/>
      <c r="I649" s="302"/>
      <c r="J649" s="302"/>
      <c r="K649" s="303"/>
      <c r="L649" s="303"/>
      <c r="M649" s="302"/>
      <c r="N649" s="302"/>
      <c r="O649" s="302"/>
      <c r="P649" s="302"/>
      <c r="Q649" s="302"/>
      <c r="R649" s="303"/>
      <c r="S649" s="303"/>
      <c r="T649" s="302"/>
      <c r="U649" s="302"/>
      <c r="V649" s="302"/>
      <c r="W649" s="216"/>
      <c r="X649" s="216"/>
      <c r="Y649" s="216"/>
      <c r="Z649" s="302"/>
      <c r="AA649" s="302"/>
      <c r="AB649" s="302"/>
      <c r="AC649" s="302"/>
      <c r="AD649" s="302"/>
      <c r="AE649" s="302"/>
      <c r="AF649" s="302"/>
      <c r="AG649" s="302"/>
    </row>
    <row r="650">
      <c r="A650" s="342" t="s">
        <v>817</v>
      </c>
      <c r="B650" s="275"/>
      <c r="C650" s="303"/>
      <c r="D650" s="302"/>
      <c r="E650" s="302"/>
      <c r="F650" s="302"/>
      <c r="G650" s="302"/>
      <c r="H650" s="302"/>
      <c r="I650" s="302"/>
      <c r="J650" s="302"/>
      <c r="K650" s="303"/>
      <c r="L650" s="303"/>
      <c r="M650" s="302"/>
      <c r="N650" s="302"/>
      <c r="O650" s="302"/>
      <c r="P650" s="302"/>
      <c r="Q650" s="302"/>
      <c r="R650" s="303"/>
      <c r="S650" s="303"/>
      <c r="T650" s="302"/>
      <c r="U650" s="302"/>
      <c r="V650" s="302"/>
      <c r="W650" s="216"/>
      <c r="X650" s="216"/>
      <c r="Y650" s="216"/>
      <c r="Z650" s="302"/>
      <c r="AA650" s="302"/>
      <c r="AB650" s="302"/>
      <c r="AC650" s="302"/>
      <c r="AD650" s="302"/>
      <c r="AE650" s="302"/>
      <c r="AF650" s="302"/>
      <c r="AG650" s="302"/>
    </row>
    <row r="651">
      <c r="A651" s="342" t="s">
        <v>44</v>
      </c>
      <c r="B651" s="275"/>
      <c r="C651" s="302"/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  <c r="AD651" s="302"/>
      <c r="AE651" s="302"/>
      <c r="AF651" s="302"/>
      <c r="AG651" s="302"/>
    </row>
    <row r="652">
      <c r="A652" s="342" t="s">
        <v>310</v>
      </c>
      <c r="B652" s="281"/>
      <c r="C652" s="305"/>
      <c r="D652" s="305"/>
      <c r="E652" s="305"/>
      <c r="F652" s="282" t="s">
        <v>1011</v>
      </c>
      <c r="G652" s="302"/>
      <c r="H652" s="302"/>
      <c r="I652" s="303"/>
      <c r="J652" s="303">
        <v>57.5</v>
      </c>
      <c r="K652" s="303"/>
      <c r="L652" s="303"/>
      <c r="M652" s="303"/>
      <c r="N652" s="302"/>
      <c r="O652" s="302"/>
      <c r="P652" s="302"/>
      <c r="Q652" s="302"/>
      <c r="R652" s="302"/>
      <c r="S652" s="302"/>
      <c r="T652" s="302"/>
      <c r="U652" s="302"/>
      <c r="V652" s="302"/>
      <c r="W652" s="303"/>
      <c r="X652" s="303"/>
      <c r="Y652" s="303"/>
      <c r="Z652" s="303"/>
      <c r="AA652" s="302"/>
      <c r="AB652" s="302"/>
      <c r="AC652" s="302"/>
      <c r="AD652" s="302"/>
      <c r="AE652" s="303"/>
      <c r="AF652" s="303"/>
      <c r="AG652" s="302"/>
    </row>
    <row r="653">
      <c r="A653" s="342" t="s">
        <v>819</v>
      </c>
      <c r="B653" s="281"/>
      <c r="C653" s="305"/>
      <c r="D653" s="305"/>
      <c r="E653" s="305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3"/>
      <c r="X653" s="303"/>
      <c r="Y653" s="303"/>
      <c r="Z653" s="302"/>
      <c r="AA653" s="302"/>
      <c r="AB653" s="302"/>
      <c r="AC653" s="302"/>
      <c r="AD653" s="302"/>
      <c r="AE653" s="303"/>
      <c r="AF653" s="303"/>
      <c r="AG653" s="302"/>
    </row>
    <row r="654">
      <c r="A654" s="342" t="s">
        <v>735</v>
      </c>
      <c r="B654" s="285"/>
      <c r="C654" s="214"/>
      <c r="D654" s="214"/>
      <c r="E654" s="214"/>
      <c r="F654" s="214"/>
      <c r="G654" s="302"/>
      <c r="H654" s="302"/>
      <c r="I654" s="303"/>
      <c r="J654" s="214"/>
      <c r="K654" s="214"/>
      <c r="L654" s="214"/>
      <c r="M654" s="303"/>
      <c r="N654" s="302"/>
      <c r="O654" s="302"/>
      <c r="P654" s="304"/>
      <c r="Q654" s="304"/>
      <c r="R654" s="304"/>
      <c r="S654" s="304"/>
      <c r="T654" s="304"/>
      <c r="U654" s="304"/>
      <c r="V654" s="302"/>
      <c r="W654" s="303"/>
      <c r="X654" s="303"/>
      <c r="Y654" s="303"/>
      <c r="Z654" s="303"/>
      <c r="AA654" s="303"/>
      <c r="AB654" s="303"/>
      <c r="AC654" s="302"/>
      <c r="AD654" s="303"/>
      <c r="AE654" s="302"/>
      <c r="AF654" s="303"/>
      <c r="AG654" s="303"/>
    </row>
    <row r="655">
      <c r="A655" s="342" t="s">
        <v>866</v>
      </c>
      <c r="B655" s="285"/>
      <c r="C655" s="214"/>
      <c r="D655" s="214"/>
      <c r="E655" s="214"/>
      <c r="F655" s="214"/>
      <c r="G655" s="302"/>
      <c r="H655" s="302"/>
      <c r="I655" s="303"/>
      <c r="J655" s="214"/>
      <c r="K655" s="214"/>
      <c r="L655" s="214"/>
      <c r="M655" s="303"/>
      <c r="N655" s="302"/>
      <c r="O655" s="302"/>
      <c r="P655" s="304"/>
      <c r="Q655" s="304"/>
      <c r="R655" s="304"/>
      <c r="S655" s="304"/>
      <c r="T655" s="304"/>
      <c r="U655" s="304"/>
      <c r="V655" s="302"/>
      <c r="W655" s="302"/>
      <c r="X655" s="302"/>
      <c r="Y655" s="302"/>
      <c r="Z655" s="302"/>
      <c r="AA655" s="302"/>
      <c r="AB655" s="302"/>
      <c r="AC655" s="302"/>
      <c r="AD655" s="302"/>
      <c r="AE655" s="302"/>
      <c r="AF655" s="302"/>
      <c r="AG655" s="302"/>
    </row>
    <row r="656">
      <c r="A656" s="342" t="s">
        <v>867</v>
      </c>
      <c r="B656" s="285"/>
      <c r="C656" s="214"/>
      <c r="D656" s="214"/>
      <c r="E656" s="214"/>
      <c r="F656" s="214"/>
      <c r="G656" s="302"/>
      <c r="H656" s="302"/>
      <c r="I656" s="303"/>
      <c r="J656" s="214"/>
      <c r="K656" s="214"/>
      <c r="L656" s="303"/>
      <c r="M656" s="303"/>
      <c r="N656" s="302"/>
      <c r="O656" s="302"/>
      <c r="P656" s="304"/>
      <c r="Q656" s="304"/>
      <c r="R656" s="304"/>
      <c r="S656" s="304"/>
      <c r="T656" s="304"/>
      <c r="U656" s="304"/>
      <c r="V656" s="302"/>
      <c r="W656" s="303"/>
      <c r="X656" s="303"/>
      <c r="Y656" s="303"/>
      <c r="Z656" s="303"/>
      <c r="AA656" s="302"/>
      <c r="AB656" s="302"/>
      <c r="AC656" s="302"/>
      <c r="AD656" s="303"/>
      <c r="AE656" s="302"/>
      <c r="AF656" s="303"/>
      <c r="AG656" s="303"/>
    </row>
    <row r="657">
      <c r="A657" s="342" t="s">
        <v>818</v>
      </c>
      <c r="B657" s="275"/>
      <c r="C657" s="302"/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  <c r="P657" s="302"/>
      <c r="Q657" s="303"/>
      <c r="R657" s="303"/>
      <c r="S657" s="303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  <c r="AD657" s="303"/>
      <c r="AE657" s="302"/>
      <c r="AF657" s="303"/>
      <c r="AG657" s="302"/>
    </row>
    <row r="658">
      <c r="A658" s="342" t="s">
        <v>827</v>
      </c>
      <c r="B658" s="275"/>
      <c r="C658" s="302"/>
      <c r="D658" s="302"/>
      <c r="E658" s="302"/>
      <c r="F658" s="302"/>
      <c r="G658" s="302"/>
      <c r="H658" s="302"/>
      <c r="I658" s="303"/>
      <c r="J658" s="303">
        <v>57.5</v>
      </c>
      <c r="K658" s="303"/>
      <c r="L658" s="303"/>
      <c r="M658" s="302"/>
      <c r="N658" s="302"/>
      <c r="O658" s="302"/>
      <c r="P658" s="302"/>
      <c r="Q658" s="303"/>
      <c r="R658" s="303"/>
      <c r="S658" s="303"/>
      <c r="T658" s="302"/>
      <c r="U658" s="302"/>
      <c r="V658" s="302"/>
      <c r="W658" s="303"/>
      <c r="X658" s="303"/>
      <c r="Y658" s="303"/>
      <c r="Z658" s="303"/>
      <c r="AA658" s="302"/>
      <c r="AB658" s="302"/>
      <c r="AC658" s="302"/>
      <c r="AD658" s="303"/>
      <c r="AE658" s="302"/>
      <c r="AF658" s="303"/>
      <c r="AG658" s="302"/>
    </row>
    <row r="659">
      <c r="A659" s="343" t="s">
        <v>832</v>
      </c>
      <c r="B659" s="275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  <c r="P659" s="302"/>
      <c r="Q659" s="303"/>
      <c r="R659" s="302"/>
      <c r="S659" s="302"/>
      <c r="T659" s="302"/>
      <c r="U659" s="302"/>
      <c r="V659" s="302"/>
      <c r="W659" s="302"/>
      <c r="X659" s="302"/>
      <c r="Y659" s="303"/>
      <c r="Z659" s="303"/>
      <c r="AA659" s="302"/>
      <c r="AB659" s="302"/>
      <c r="AC659" s="302"/>
      <c r="AD659" s="302"/>
      <c r="AE659" s="302"/>
      <c r="AF659" s="302"/>
      <c r="AG659" s="302"/>
    </row>
    <row r="660">
      <c r="A660" s="343" t="s">
        <v>835</v>
      </c>
      <c r="B660" s="275"/>
      <c r="C660" s="302"/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3"/>
      <c r="Z660" s="303"/>
      <c r="AA660" s="302"/>
      <c r="AB660" s="302"/>
      <c r="AC660" s="302"/>
      <c r="AD660" s="302"/>
      <c r="AE660" s="302"/>
      <c r="AF660" s="302"/>
      <c r="AG660" s="302"/>
    </row>
    <row r="661">
      <c r="A661" s="344" t="s">
        <v>824</v>
      </c>
      <c r="B661" s="275"/>
      <c r="C661" s="275"/>
      <c r="D661" s="275"/>
      <c r="E661" s="275"/>
      <c r="F661" s="275"/>
      <c r="G661" s="275"/>
      <c r="H661" s="275"/>
      <c r="I661" s="275"/>
      <c r="J661" s="282"/>
      <c r="K661" s="282"/>
      <c r="L661" s="282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363"/>
      <c r="Y661" s="363"/>
      <c r="Z661" s="275"/>
      <c r="AA661" s="275"/>
      <c r="AB661" s="275"/>
      <c r="AC661" s="275"/>
      <c r="AD661" s="275"/>
      <c r="AE661" s="275"/>
      <c r="AF661" s="275"/>
      <c r="AG661" s="275"/>
    </row>
    <row r="662">
      <c r="A662" s="344" t="s">
        <v>825</v>
      </c>
      <c r="B662" s="282"/>
      <c r="C662" s="282"/>
      <c r="D662" s="282"/>
      <c r="E662" s="282"/>
      <c r="F662" s="275"/>
      <c r="G662" s="275"/>
      <c r="H662" s="275"/>
      <c r="I662" s="282"/>
      <c r="J662" s="282"/>
      <c r="K662" s="282"/>
      <c r="L662" s="282"/>
      <c r="M662" s="275"/>
      <c r="N662" s="275"/>
      <c r="O662" s="275"/>
      <c r="P662" s="275"/>
      <c r="Q662" s="282"/>
      <c r="R662" s="282"/>
      <c r="S662" s="282"/>
      <c r="T662" s="282"/>
      <c r="U662" s="275"/>
      <c r="V662" s="275"/>
      <c r="W662" s="282"/>
      <c r="X662" s="282"/>
      <c r="Y662" s="282"/>
      <c r="Z662" s="282"/>
      <c r="AA662" s="282"/>
      <c r="AB662" s="275"/>
      <c r="AC662" s="275"/>
      <c r="AD662" s="275"/>
      <c r="AE662" s="275"/>
      <c r="AF662" s="275"/>
      <c r="AG662" s="275"/>
    </row>
    <row r="663">
      <c r="A663" s="344" t="s">
        <v>826</v>
      </c>
      <c r="B663" s="285"/>
      <c r="C663" s="285"/>
      <c r="D663" s="285"/>
      <c r="E663" s="285"/>
      <c r="F663" s="281"/>
      <c r="G663" s="275"/>
      <c r="H663" s="275"/>
      <c r="I663" s="281"/>
      <c r="J663" s="281"/>
      <c r="K663" s="281"/>
      <c r="L663" s="281"/>
      <c r="M663" s="275"/>
      <c r="N663" s="275"/>
      <c r="O663" s="275"/>
      <c r="P663" s="281"/>
      <c r="Q663" s="285"/>
      <c r="R663" s="285"/>
      <c r="S663" s="285"/>
      <c r="T663" s="285"/>
      <c r="U663" s="275"/>
      <c r="V663" s="275"/>
      <c r="W663" s="275"/>
      <c r="X663" s="275"/>
      <c r="Y663" s="275"/>
      <c r="Z663" s="275"/>
      <c r="AA663" s="275"/>
      <c r="AB663" s="275"/>
      <c r="AC663" s="275"/>
      <c r="AD663" s="275"/>
      <c r="AE663" s="275"/>
      <c r="AF663" s="275"/>
      <c r="AG663" s="275"/>
    </row>
    <row r="664">
      <c r="A664" s="347" t="s">
        <v>680</v>
      </c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82"/>
      <c r="M664" s="282"/>
      <c r="N664" s="275"/>
      <c r="O664" s="275"/>
      <c r="P664" s="282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  <c r="AA664" s="275"/>
      <c r="AB664" s="275"/>
      <c r="AC664" s="275"/>
      <c r="AD664" s="275"/>
      <c r="AE664" s="275"/>
      <c r="AF664" s="275"/>
      <c r="AG664" s="275"/>
    </row>
    <row r="665">
      <c r="A665" s="347" t="s">
        <v>828</v>
      </c>
      <c r="B665" s="282"/>
      <c r="C665" s="282"/>
      <c r="D665" s="282"/>
      <c r="E665" s="282"/>
      <c r="F665" s="275"/>
      <c r="G665" s="275"/>
      <c r="H665" s="275"/>
      <c r="I665" s="282"/>
      <c r="J665" s="282"/>
      <c r="K665" s="282"/>
      <c r="L665" s="282"/>
      <c r="M665" s="282"/>
      <c r="N665" s="275"/>
      <c r="O665" s="275"/>
      <c r="P665" s="282"/>
      <c r="Q665" s="282"/>
      <c r="R665" s="282"/>
      <c r="S665" s="282"/>
      <c r="T665" s="282"/>
      <c r="U665" s="275"/>
      <c r="V665" s="275"/>
      <c r="W665" s="282"/>
      <c r="X665" s="282"/>
      <c r="Y665" s="282"/>
      <c r="Z665" s="282"/>
      <c r="AA665" s="282"/>
      <c r="AB665" s="275"/>
      <c r="AC665" s="275"/>
      <c r="AD665" s="275"/>
      <c r="AE665" s="275"/>
      <c r="AF665" s="275"/>
      <c r="AG665" s="275"/>
    </row>
    <row r="666">
      <c r="A666" s="343" t="s">
        <v>829</v>
      </c>
      <c r="B666" s="282"/>
      <c r="C666" s="282"/>
      <c r="D666" s="282"/>
      <c r="E666" s="282"/>
      <c r="F666" s="275"/>
      <c r="G666" s="275"/>
      <c r="H666" s="275"/>
      <c r="I666" s="282"/>
      <c r="J666" s="282"/>
      <c r="K666" s="282"/>
      <c r="L666" s="282"/>
      <c r="M666" s="282"/>
      <c r="N666" s="275"/>
      <c r="O666" s="275"/>
      <c r="P666" s="282"/>
      <c r="Q666" s="282"/>
      <c r="R666" s="282"/>
      <c r="S666" s="282"/>
      <c r="T666" s="282"/>
      <c r="U666" s="275"/>
      <c r="V666" s="275"/>
      <c r="W666" s="282"/>
      <c r="X666" s="282"/>
      <c r="Y666" s="282"/>
      <c r="Z666" s="282"/>
      <c r="AA666" s="282"/>
      <c r="AB666" s="275"/>
      <c r="AC666" s="275"/>
      <c r="AD666" s="275"/>
      <c r="AE666" s="275"/>
      <c r="AF666" s="275"/>
      <c r="AG666" s="275"/>
    </row>
    <row r="667">
      <c r="A667" s="343" t="s">
        <v>830</v>
      </c>
      <c r="B667" s="282"/>
      <c r="C667" s="282"/>
      <c r="D667" s="282"/>
      <c r="E667" s="282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82"/>
      <c r="R667" s="282"/>
      <c r="S667" s="282"/>
      <c r="T667" s="282"/>
      <c r="U667" s="275"/>
      <c r="V667" s="275"/>
      <c r="W667" s="282"/>
      <c r="X667" s="282"/>
      <c r="Y667" s="282"/>
      <c r="Z667" s="282"/>
      <c r="AA667" s="282"/>
      <c r="AB667" s="275"/>
      <c r="AC667" s="275"/>
      <c r="AD667" s="275"/>
      <c r="AE667" s="275"/>
      <c r="AF667" s="275"/>
      <c r="AG667" s="275"/>
    </row>
    <row r="668">
      <c r="A668" s="343" t="s">
        <v>871</v>
      </c>
      <c r="B668" s="282"/>
      <c r="C668" s="282"/>
      <c r="D668" s="282"/>
      <c r="E668" s="282"/>
      <c r="F668" s="275"/>
      <c r="G668" s="275"/>
      <c r="H668" s="275"/>
      <c r="I668" s="282"/>
      <c r="J668" s="282"/>
      <c r="K668" s="275"/>
      <c r="L668" s="275"/>
      <c r="M668" s="275"/>
      <c r="N668" s="275"/>
      <c r="O668" s="275"/>
      <c r="P668" s="282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  <c r="AB668" s="275"/>
      <c r="AC668" s="275"/>
      <c r="AD668" s="275"/>
      <c r="AE668" s="275"/>
      <c r="AF668" s="275"/>
      <c r="AG668" s="275"/>
    </row>
    <row r="669">
      <c r="A669" s="343" t="s">
        <v>948</v>
      </c>
      <c r="B669" s="282"/>
      <c r="C669" s="282"/>
      <c r="D669" s="282"/>
      <c r="E669" s="282"/>
      <c r="F669" s="275"/>
      <c r="G669" s="275"/>
      <c r="H669" s="275"/>
      <c r="I669" s="282"/>
      <c r="J669" s="282"/>
      <c r="K669" s="275"/>
      <c r="L669" s="275"/>
      <c r="M669" s="275"/>
      <c r="N669" s="275"/>
      <c r="O669" s="275"/>
      <c r="P669" s="282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  <c r="AA669" s="275"/>
      <c r="AB669" s="275"/>
      <c r="AC669" s="275"/>
      <c r="AD669" s="275"/>
      <c r="AE669" s="275"/>
      <c r="AF669" s="275"/>
      <c r="AG669" s="275"/>
    </row>
    <row r="670">
      <c r="A670" s="343" t="s">
        <v>872</v>
      </c>
      <c r="B670" s="282"/>
      <c r="C670" s="282"/>
      <c r="D670" s="282"/>
      <c r="E670" s="282"/>
      <c r="F670" s="275"/>
      <c r="G670" s="275"/>
      <c r="H670" s="275"/>
      <c r="I670" s="282"/>
      <c r="J670" s="282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  <c r="AA670" s="275"/>
      <c r="AB670" s="275"/>
      <c r="AC670" s="275"/>
      <c r="AD670" s="275"/>
      <c r="AE670" s="275"/>
      <c r="AF670" s="275"/>
      <c r="AG670" s="275"/>
    </row>
    <row r="671">
      <c r="A671" s="343" t="s">
        <v>747</v>
      </c>
      <c r="B671" s="282"/>
      <c r="C671" s="282"/>
      <c r="D671" s="282"/>
      <c r="E671" s="282"/>
      <c r="F671" s="282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  <c r="AB671" s="275"/>
      <c r="AC671" s="275"/>
      <c r="AD671" s="275"/>
      <c r="AE671" s="275"/>
      <c r="AF671" s="275"/>
      <c r="AG671" s="275"/>
    </row>
    <row r="672">
      <c r="A672" s="343" t="s">
        <v>949</v>
      </c>
      <c r="B672" s="282"/>
      <c r="C672" s="282"/>
      <c r="D672" s="282"/>
      <c r="E672" s="282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  <c r="AA672" s="275"/>
      <c r="AB672" s="275"/>
      <c r="AC672" s="275"/>
      <c r="AD672" s="275"/>
      <c r="AE672" s="275"/>
      <c r="AF672" s="275"/>
      <c r="AG672" s="275"/>
    </row>
    <row r="673">
      <c r="A673" s="343" t="s">
        <v>954</v>
      </c>
      <c r="B673" s="282"/>
      <c r="C673" s="282"/>
      <c r="D673" s="282"/>
      <c r="E673" s="282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  <c r="AA673" s="275"/>
      <c r="AB673" s="275"/>
      <c r="AC673" s="275"/>
      <c r="AD673" s="275"/>
      <c r="AE673" s="275"/>
      <c r="AF673" s="275"/>
      <c r="AG673" s="275"/>
    </row>
    <row r="674">
      <c r="A674" s="343" t="s">
        <v>12</v>
      </c>
      <c r="B674" s="275"/>
      <c r="C674" s="275"/>
      <c r="D674" s="275"/>
      <c r="E674" s="318">
        <v>57.5</v>
      </c>
      <c r="F674" s="318">
        <v>57.5</v>
      </c>
      <c r="G674" s="318">
        <v>57.5</v>
      </c>
      <c r="H674" s="275"/>
      <c r="I674" s="303"/>
      <c r="J674" s="275"/>
      <c r="K674" s="275"/>
      <c r="L674" s="275"/>
      <c r="M674" s="275"/>
      <c r="N674" s="275"/>
      <c r="O674" s="275"/>
      <c r="P674" s="275"/>
      <c r="Q674" s="288"/>
      <c r="R674" s="288"/>
      <c r="S674" s="275"/>
      <c r="T674" s="275"/>
      <c r="U674" s="275"/>
      <c r="V674" s="275"/>
      <c r="W674" s="275"/>
      <c r="X674" s="275"/>
      <c r="Y674" s="275"/>
      <c r="Z674" s="275"/>
      <c r="AA674" s="282"/>
      <c r="AB674" s="275"/>
      <c r="AC674" s="275"/>
      <c r="AD674" s="275"/>
      <c r="AE674" s="275"/>
      <c r="AF674" s="275"/>
      <c r="AG674" s="275"/>
    </row>
    <row r="675">
      <c r="A675" s="343" t="s">
        <v>838</v>
      </c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  <c r="AB675" s="275"/>
      <c r="AC675" s="275"/>
      <c r="AD675" s="275"/>
      <c r="AE675" s="275"/>
      <c r="AF675" s="275"/>
      <c r="AG675" s="275"/>
    </row>
    <row r="676">
      <c r="A676" s="343" t="s">
        <v>822</v>
      </c>
      <c r="B676" s="285"/>
      <c r="C676" s="285"/>
      <c r="D676" s="285"/>
      <c r="E676" s="285"/>
      <c r="F676" s="281"/>
      <c r="G676" s="275"/>
      <c r="H676" s="275"/>
      <c r="I676" s="281"/>
      <c r="J676" s="281"/>
      <c r="K676" s="281"/>
      <c r="L676" s="281"/>
      <c r="M676" s="275"/>
      <c r="N676" s="275"/>
      <c r="O676" s="275"/>
      <c r="P676" s="281"/>
      <c r="Q676" s="281"/>
      <c r="R676" s="281"/>
      <c r="S676" s="275"/>
      <c r="T676" s="275"/>
      <c r="U676" s="275"/>
      <c r="V676" s="275"/>
      <c r="W676" s="275"/>
      <c r="X676" s="275"/>
      <c r="Y676" s="275"/>
      <c r="Z676" s="275"/>
      <c r="AA676" s="275"/>
      <c r="AB676" s="275"/>
      <c r="AC676" s="275"/>
      <c r="AD676" s="282"/>
      <c r="AE676" s="275"/>
      <c r="AF676" s="282"/>
      <c r="AG676" s="275"/>
    </row>
    <row r="677">
      <c r="A677" s="343" t="s">
        <v>677</v>
      </c>
      <c r="B677" s="275"/>
      <c r="C677" s="275"/>
      <c r="D677" s="275"/>
      <c r="E677" s="275"/>
      <c r="F677" s="275"/>
      <c r="G677" s="275"/>
      <c r="H677" s="275"/>
      <c r="I677" s="275"/>
      <c r="J677" s="282"/>
      <c r="K677" s="282"/>
      <c r="L677" s="282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82"/>
      <c r="Y677" s="282"/>
      <c r="Z677" s="282"/>
      <c r="AA677" s="275"/>
      <c r="AB677" s="275"/>
      <c r="AC677" s="275"/>
      <c r="AD677" s="282"/>
      <c r="AE677" s="275"/>
      <c r="AF677" s="282"/>
      <c r="AG677" s="275"/>
    </row>
    <row r="678">
      <c r="A678" s="343" t="s">
        <v>263</v>
      </c>
      <c r="B678" s="275"/>
      <c r="C678" s="275"/>
      <c r="D678" s="275"/>
      <c r="E678" s="275"/>
      <c r="F678" s="275"/>
      <c r="G678" s="275"/>
      <c r="H678" s="275"/>
      <c r="I678" s="275"/>
      <c r="J678" s="282"/>
      <c r="K678" s="282"/>
      <c r="L678" s="282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82"/>
      <c r="X678" s="282"/>
      <c r="Y678" s="282"/>
      <c r="Z678" s="282"/>
      <c r="AA678" s="282"/>
      <c r="AB678" s="275"/>
      <c r="AC678" s="275"/>
      <c r="AD678" s="275"/>
      <c r="AE678" s="275"/>
      <c r="AF678" s="275"/>
      <c r="AG678" s="275"/>
    </row>
    <row r="679">
      <c r="A679" s="343" t="s">
        <v>944</v>
      </c>
      <c r="B679" s="275"/>
      <c r="C679" s="275"/>
      <c r="D679" s="275"/>
      <c r="E679" s="275"/>
      <c r="F679" s="275"/>
      <c r="G679" s="275"/>
      <c r="H679" s="275"/>
      <c r="I679" s="282"/>
      <c r="J679" s="282"/>
      <c r="K679" s="282"/>
      <c r="L679" s="282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82"/>
      <c r="Y679" s="282"/>
      <c r="Z679" s="282"/>
      <c r="AA679" s="275"/>
      <c r="AB679" s="275"/>
      <c r="AC679" s="275"/>
      <c r="AD679" s="275"/>
      <c r="AE679" s="275"/>
      <c r="AF679" s="275"/>
      <c r="AG679" s="275"/>
    </row>
    <row r="680">
      <c r="A680" s="349" t="s">
        <v>1010</v>
      </c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82"/>
      <c r="Y680" s="282"/>
      <c r="Z680" s="282"/>
      <c r="AA680" s="275"/>
      <c r="AB680" s="275"/>
      <c r="AC680" s="275"/>
      <c r="AD680" s="275"/>
      <c r="AE680" s="275"/>
      <c r="AF680" s="275"/>
      <c r="AG680" s="275"/>
    </row>
    <row r="681">
      <c r="A681" s="343" t="s">
        <v>945</v>
      </c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  <c r="AA681" s="275"/>
      <c r="AB681" s="275"/>
      <c r="AC681" s="275"/>
      <c r="AD681" s="275"/>
      <c r="AE681" s="275"/>
      <c r="AF681" s="275"/>
      <c r="AG681" s="275"/>
    </row>
    <row r="682">
      <c r="A682" s="343" t="s">
        <v>955</v>
      </c>
      <c r="B682" s="285"/>
      <c r="C682" s="285"/>
      <c r="D682" s="285"/>
      <c r="E682" s="285"/>
      <c r="F682" s="281"/>
      <c r="G682" s="275"/>
      <c r="H682" s="275"/>
      <c r="I682" s="281"/>
      <c r="J682" s="281"/>
      <c r="K682" s="282"/>
      <c r="L682" s="282"/>
      <c r="M682" s="275"/>
      <c r="N682" s="275"/>
      <c r="O682" s="275"/>
      <c r="P682" s="305"/>
      <c r="Q682" s="305"/>
      <c r="R682" s="304"/>
      <c r="S682" s="304"/>
      <c r="T682" s="302"/>
      <c r="U682" s="302"/>
      <c r="V682" s="302"/>
      <c r="W682" s="302"/>
      <c r="X682" s="302"/>
      <c r="Y682" s="302"/>
      <c r="Z682" s="302"/>
      <c r="AA682" s="302"/>
      <c r="AB682" s="275"/>
      <c r="AC682" s="275"/>
      <c r="AD682" s="282"/>
      <c r="AE682" s="275"/>
      <c r="AF682" s="282"/>
      <c r="AG682" s="275"/>
    </row>
    <row r="683">
      <c r="A683" s="343" t="s">
        <v>956</v>
      </c>
      <c r="B683" s="281"/>
      <c r="C683" s="281"/>
      <c r="D683" s="281"/>
      <c r="E683" s="281"/>
      <c r="F683" s="281"/>
      <c r="G683" s="275"/>
      <c r="H683" s="275"/>
      <c r="I683" s="281"/>
      <c r="J683" s="281"/>
      <c r="K683" s="282"/>
      <c r="L683" s="282"/>
      <c r="M683" s="275"/>
      <c r="N683" s="275"/>
      <c r="O683" s="275"/>
      <c r="P683" s="305"/>
      <c r="Q683" s="305"/>
      <c r="R683" s="304"/>
      <c r="S683" s="304"/>
      <c r="T683" s="302"/>
      <c r="U683" s="302"/>
      <c r="V683" s="302"/>
      <c r="W683" s="302"/>
      <c r="X683" s="302"/>
      <c r="Y683" s="302"/>
      <c r="Z683" s="302"/>
      <c r="AA683" s="302"/>
      <c r="AB683" s="275"/>
      <c r="AC683" s="275"/>
      <c r="AD683" s="282"/>
      <c r="AE683" s="275"/>
      <c r="AF683" s="282"/>
      <c r="AG683" s="275"/>
    </row>
    <row r="684">
      <c r="A684" s="343" t="s">
        <v>717</v>
      </c>
      <c r="B684" s="282"/>
      <c r="C684" s="282"/>
      <c r="D684" s="281"/>
      <c r="E684" s="275"/>
      <c r="F684" s="318">
        <v>57.5</v>
      </c>
      <c r="G684" s="318">
        <v>57.5</v>
      </c>
      <c r="H684" s="275"/>
      <c r="I684" s="282"/>
      <c r="J684" s="282"/>
      <c r="K684" s="282"/>
      <c r="L684" s="275"/>
      <c r="M684" s="275"/>
      <c r="N684" s="275"/>
      <c r="O684" s="275"/>
      <c r="P684" s="304"/>
      <c r="Q684" s="304"/>
      <c r="R684" s="304"/>
      <c r="S684" s="303"/>
      <c r="T684" s="302"/>
      <c r="U684" s="302"/>
      <c r="V684" s="302"/>
      <c r="W684" s="302"/>
      <c r="X684" s="286"/>
      <c r="Y684" s="303"/>
      <c r="Z684" s="302"/>
      <c r="AA684" s="303"/>
      <c r="AB684" s="275"/>
      <c r="AC684" s="275"/>
      <c r="AD684" s="275"/>
      <c r="AE684" s="275"/>
      <c r="AF684" s="275"/>
      <c r="AG684" s="282"/>
    </row>
    <row r="685">
      <c r="A685" s="343" t="s">
        <v>1006</v>
      </c>
      <c r="B685" s="275"/>
      <c r="C685" s="275"/>
      <c r="D685" s="28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302"/>
      <c r="Q685" s="305"/>
      <c r="R685" s="305"/>
      <c r="S685" s="302"/>
      <c r="T685" s="303"/>
      <c r="U685" s="303"/>
      <c r="V685" s="302"/>
      <c r="W685" s="302"/>
      <c r="X685" s="302"/>
      <c r="Y685" s="303"/>
      <c r="Z685" s="302"/>
      <c r="AA685" s="302"/>
      <c r="AB685" s="275"/>
      <c r="AC685" s="275"/>
      <c r="AD685" s="275"/>
      <c r="AE685" s="275"/>
      <c r="AF685" s="275"/>
      <c r="AG685" s="275"/>
    </row>
    <row r="686">
      <c r="A686" s="343" t="s">
        <v>1007</v>
      </c>
      <c r="B686" s="275"/>
      <c r="C686" s="282"/>
      <c r="D686" s="282"/>
      <c r="E686" s="275"/>
      <c r="F686" s="275"/>
      <c r="G686" s="275"/>
      <c r="H686" s="275"/>
      <c r="I686" s="112"/>
      <c r="J686" s="112"/>
      <c r="K686" s="284"/>
      <c r="L686" s="275"/>
      <c r="M686" s="275"/>
      <c r="N686" s="275"/>
      <c r="O686" s="275"/>
      <c r="P686" s="302"/>
      <c r="Q686" s="302"/>
      <c r="R686" s="302"/>
      <c r="S686" s="302"/>
      <c r="T686" s="302"/>
      <c r="U686" s="302"/>
      <c r="V686" s="302"/>
      <c r="W686" s="302"/>
      <c r="X686" s="218"/>
      <c r="Y686" s="218"/>
      <c r="Z686" s="218"/>
      <c r="AA686" s="302"/>
      <c r="AB686" s="275"/>
      <c r="AC686" s="275"/>
      <c r="AD686" s="275"/>
      <c r="AE686" s="275"/>
      <c r="AF686" s="275"/>
      <c r="AG686" s="275"/>
    </row>
    <row r="687">
      <c r="A687" s="349" t="s">
        <v>1009</v>
      </c>
      <c r="B687" s="275"/>
      <c r="C687" s="282"/>
      <c r="D687" s="282"/>
      <c r="E687" s="275"/>
      <c r="F687" s="275"/>
      <c r="G687" s="275"/>
      <c r="H687" s="275"/>
      <c r="I687" s="112"/>
      <c r="J687" s="112"/>
      <c r="K687" s="284"/>
      <c r="L687" s="275"/>
      <c r="M687" s="275"/>
      <c r="N687" s="275"/>
      <c r="O687" s="275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  <c r="AA687" s="302"/>
      <c r="AB687" s="275"/>
      <c r="AC687" s="275"/>
      <c r="AD687" s="275"/>
      <c r="AE687" s="275"/>
      <c r="AF687" s="275"/>
      <c r="AG687" s="275"/>
    </row>
    <row r="688">
      <c r="A688" s="349" t="s">
        <v>740</v>
      </c>
      <c r="B688" s="275"/>
      <c r="C688" s="282"/>
      <c r="D688" s="282"/>
      <c r="E688" s="275"/>
      <c r="F688" s="275"/>
      <c r="G688" s="275"/>
      <c r="H688" s="275"/>
      <c r="I688" s="112"/>
      <c r="J688" s="112"/>
      <c r="K688" s="284"/>
      <c r="L688" s="275"/>
      <c r="M688" s="275"/>
      <c r="N688" s="275"/>
      <c r="O688" s="275"/>
      <c r="P688" s="302"/>
      <c r="Q688" s="302"/>
      <c r="R688" s="302"/>
      <c r="S688" s="303"/>
      <c r="T688" s="302"/>
      <c r="U688" s="302"/>
      <c r="V688" s="302"/>
      <c r="W688" s="302"/>
      <c r="X688" s="302"/>
      <c r="Y688" s="302"/>
      <c r="Z688" s="302"/>
      <c r="AA688" s="302"/>
      <c r="AB688" s="275"/>
      <c r="AC688" s="275"/>
      <c r="AD688" s="275"/>
      <c r="AE688" s="275"/>
      <c r="AF688" s="275"/>
      <c r="AG688" s="275"/>
    </row>
    <row r="689">
      <c r="A689" s="349" t="s">
        <v>1012</v>
      </c>
      <c r="B689" s="275"/>
      <c r="C689" s="282"/>
      <c r="D689" s="282"/>
      <c r="E689" s="275"/>
      <c r="F689" s="318">
        <v>57.5</v>
      </c>
      <c r="G689" s="318">
        <v>57.5</v>
      </c>
      <c r="H689" s="275"/>
      <c r="I689" s="112"/>
      <c r="J689" s="112"/>
      <c r="K689" s="284"/>
      <c r="L689" s="275"/>
      <c r="M689" s="275"/>
      <c r="N689" s="275"/>
      <c r="O689" s="275"/>
      <c r="P689" s="302"/>
      <c r="Q689" s="302"/>
      <c r="R689" s="302"/>
      <c r="S689" s="303"/>
      <c r="T689" s="302"/>
      <c r="U689" s="302"/>
      <c r="V689" s="302"/>
      <c r="W689" s="302"/>
      <c r="X689" s="302"/>
      <c r="Y689" s="302"/>
      <c r="Z689" s="302"/>
      <c r="AA689" s="302"/>
      <c r="AB689" s="275"/>
      <c r="AC689" s="275"/>
      <c r="AD689" s="275"/>
      <c r="AE689" s="275"/>
      <c r="AF689" s="275"/>
      <c r="AG689" s="275"/>
    </row>
    <row r="716">
      <c r="K716" s="1" t="s">
        <v>1013</v>
      </c>
      <c r="L716" s="1">
        <v>57.5</v>
      </c>
      <c r="M716" s="1">
        <v>115.0</v>
      </c>
      <c r="N716" s="366">
        <f t="shared" ref="N716:N731" si="1">L716+M716</f>
        <v>172.5</v>
      </c>
      <c r="O716" s="88" t="s">
        <v>1014</v>
      </c>
    </row>
    <row r="717">
      <c r="K717" s="1" t="s">
        <v>1015</v>
      </c>
      <c r="L717" s="1">
        <v>57.5</v>
      </c>
      <c r="M717" s="1">
        <v>460.0</v>
      </c>
      <c r="N717" s="366">
        <f t="shared" si="1"/>
        <v>517.5</v>
      </c>
      <c r="O717" s="1" t="s">
        <v>1014</v>
      </c>
    </row>
    <row r="718">
      <c r="K718" s="1" t="s">
        <v>1016</v>
      </c>
      <c r="L718" s="1">
        <v>57.5</v>
      </c>
      <c r="M718" s="1">
        <v>402.5</v>
      </c>
      <c r="N718" s="366">
        <f t="shared" si="1"/>
        <v>460</v>
      </c>
      <c r="O718" s="1" t="s">
        <v>1014</v>
      </c>
    </row>
    <row r="719">
      <c r="K719" s="1" t="s">
        <v>1017</v>
      </c>
      <c r="L719" s="1">
        <v>0.0</v>
      </c>
      <c r="M719" s="1">
        <v>57.5</v>
      </c>
      <c r="N719" s="366">
        <f t="shared" si="1"/>
        <v>57.5</v>
      </c>
      <c r="O719" s="1" t="s">
        <v>1014</v>
      </c>
    </row>
    <row r="720">
      <c r="K720" s="1" t="s">
        <v>827</v>
      </c>
      <c r="L720" s="1">
        <v>0.0</v>
      </c>
      <c r="M720" s="1">
        <v>172.5</v>
      </c>
      <c r="N720" s="366">
        <f t="shared" si="1"/>
        <v>172.5</v>
      </c>
      <c r="O720" s="1" t="s">
        <v>1014</v>
      </c>
    </row>
    <row r="721">
      <c r="K721" s="1" t="s">
        <v>824</v>
      </c>
      <c r="L721" s="1">
        <v>0.0</v>
      </c>
      <c r="M721" s="1">
        <v>0.0</v>
      </c>
      <c r="N721" s="366">
        <f t="shared" si="1"/>
        <v>0</v>
      </c>
    </row>
    <row r="722">
      <c r="K722" s="1" t="s">
        <v>677</v>
      </c>
      <c r="L722" s="1">
        <v>0.0</v>
      </c>
      <c r="M722" s="1">
        <v>230.0</v>
      </c>
      <c r="N722" s="366">
        <f t="shared" si="1"/>
        <v>230</v>
      </c>
      <c r="O722" s="1" t="s">
        <v>1014</v>
      </c>
    </row>
    <row r="723">
      <c r="K723" s="1" t="s">
        <v>822</v>
      </c>
      <c r="L723" s="1">
        <v>0.0</v>
      </c>
      <c r="M723" s="1">
        <v>57.5</v>
      </c>
      <c r="N723" s="366">
        <f t="shared" si="1"/>
        <v>57.5</v>
      </c>
    </row>
    <row r="724">
      <c r="K724" s="1" t="s">
        <v>263</v>
      </c>
      <c r="L724" s="1">
        <v>0.0</v>
      </c>
      <c r="M724" s="1">
        <v>172.5</v>
      </c>
      <c r="N724" s="366">
        <f t="shared" si="1"/>
        <v>172.5</v>
      </c>
      <c r="O724" s="1" t="s">
        <v>1014</v>
      </c>
    </row>
    <row r="725">
      <c r="K725" s="1" t="s">
        <v>1018</v>
      </c>
      <c r="L725" s="1">
        <v>0.0</v>
      </c>
      <c r="M725" s="1">
        <v>57.5</v>
      </c>
      <c r="N725" s="366">
        <f t="shared" si="1"/>
        <v>57.5</v>
      </c>
      <c r="O725" s="1" t="s">
        <v>1014</v>
      </c>
    </row>
    <row r="726">
      <c r="K726" s="1" t="s">
        <v>1019</v>
      </c>
      <c r="L726" s="1">
        <v>0.0</v>
      </c>
      <c r="M726" s="1">
        <v>57.5</v>
      </c>
      <c r="N726" s="366">
        <f t="shared" si="1"/>
        <v>57.5</v>
      </c>
      <c r="O726" s="1" t="s">
        <v>1014</v>
      </c>
    </row>
    <row r="727">
      <c r="K727" s="1" t="s">
        <v>1020</v>
      </c>
      <c r="L727" s="1">
        <v>57.5</v>
      </c>
      <c r="M727" s="1">
        <v>230.0</v>
      </c>
      <c r="N727" s="366">
        <f t="shared" si="1"/>
        <v>287.5</v>
      </c>
      <c r="O727" s="1" t="s">
        <v>1014</v>
      </c>
    </row>
    <row r="728">
      <c r="K728" s="1" t="s">
        <v>1021</v>
      </c>
      <c r="L728" s="1">
        <v>0.0</v>
      </c>
      <c r="M728" s="1">
        <v>172.5</v>
      </c>
      <c r="N728" s="366">
        <f t="shared" si="1"/>
        <v>172.5</v>
      </c>
      <c r="O728" s="1" t="s">
        <v>1014</v>
      </c>
    </row>
    <row r="729">
      <c r="K729" s="1" t="s">
        <v>1022</v>
      </c>
      <c r="L729" s="1">
        <v>0.0</v>
      </c>
      <c r="M729" s="1">
        <v>172.5</v>
      </c>
      <c r="N729" s="366">
        <f t="shared" si="1"/>
        <v>172.5</v>
      </c>
      <c r="O729" s="1" t="s">
        <v>1014</v>
      </c>
    </row>
    <row r="730">
      <c r="K730" s="1" t="s">
        <v>1023</v>
      </c>
      <c r="L730" s="1">
        <v>0.0</v>
      </c>
      <c r="M730" s="1">
        <v>0.0</v>
      </c>
      <c r="N730" s="366">
        <f t="shared" si="1"/>
        <v>0</v>
      </c>
    </row>
    <row r="731">
      <c r="K731" s="1" t="s">
        <v>1024</v>
      </c>
      <c r="L731" s="1">
        <v>0.0</v>
      </c>
      <c r="M731" s="1">
        <v>460.0</v>
      </c>
      <c r="N731" s="366">
        <f t="shared" si="1"/>
        <v>460</v>
      </c>
      <c r="O731" s="1" t="s">
        <v>1014</v>
      </c>
    </row>
    <row r="732">
      <c r="K732" s="1" t="s">
        <v>1025</v>
      </c>
      <c r="L732" s="367">
        <f t="shared" ref="L732:N732" si="2">SUM(L716:L731)</f>
        <v>230</v>
      </c>
      <c r="M732" s="367">
        <f t="shared" si="2"/>
        <v>2817.5</v>
      </c>
      <c r="N732" s="368">
        <f t="shared" si="2"/>
        <v>3047.5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1.25"/>
    <col customWidth="1" min="3" max="3" width="18.63"/>
    <col customWidth="1" min="4" max="4" width="28.88"/>
    <col customWidth="1" min="5" max="5" width="15.88"/>
    <col customWidth="1" min="6" max="6" width="16.63"/>
    <col customWidth="1" min="7" max="7" width="13.5"/>
    <col customWidth="1" min="8" max="8" width="26.88"/>
    <col customWidth="1" min="9" max="9" width="9.63"/>
    <col customWidth="1" min="10" max="11" width="6.75"/>
    <col customWidth="1" min="12" max="12" width="10.88"/>
    <col customWidth="1" min="13" max="13" width="14.88"/>
    <col customWidth="1" hidden="1" min="14" max="14" width="7.75"/>
    <col customWidth="1" hidden="1" min="15" max="15" width="10.25"/>
    <col customWidth="1" hidden="1" min="16" max="16" width="8.88"/>
    <col customWidth="1" hidden="1" min="17" max="17" width="10.88"/>
    <col customWidth="1" hidden="1" min="18" max="18" width="9.38"/>
    <col customWidth="1" hidden="1" min="19" max="19" width="9.75"/>
    <col customWidth="1" hidden="1" min="20" max="20" width="11.38"/>
    <col customWidth="1" hidden="1" min="21" max="21" width="9.13"/>
    <col customWidth="1" hidden="1" min="22" max="22" width="8.63"/>
    <col customWidth="1" min="23" max="23" width="33.88"/>
    <col customWidth="1" min="24" max="24" width="20.0"/>
  </cols>
  <sheetData>
    <row r="1" ht="40.5" customHeight="1">
      <c r="A1" s="369" t="s">
        <v>1026</v>
      </c>
      <c r="B1" s="370" t="s">
        <v>1027</v>
      </c>
      <c r="C1" s="370" t="s">
        <v>1028</v>
      </c>
      <c r="D1" s="371" t="s">
        <v>1029</v>
      </c>
      <c r="E1" s="371" t="s">
        <v>1030</v>
      </c>
      <c r="F1" s="371" t="s">
        <v>1031</v>
      </c>
      <c r="G1" s="371" t="s">
        <v>1032</v>
      </c>
      <c r="H1" s="371" t="s">
        <v>1033</v>
      </c>
      <c r="I1" s="372" t="s">
        <v>1034</v>
      </c>
      <c r="J1" s="370" t="s">
        <v>1035</v>
      </c>
      <c r="K1" s="370" t="s">
        <v>1036</v>
      </c>
      <c r="L1" s="370" t="s">
        <v>1037</v>
      </c>
      <c r="M1" s="370" t="s">
        <v>1038</v>
      </c>
      <c r="N1" s="373" t="s">
        <v>1039</v>
      </c>
      <c r="O1" s="373" t="s">
        <v>1040</v>
      </c>
      <c r="P1" s="373" t="s">
        <v>1041</v>
      </c>
      <c r="Q1" s="370" t="s">
        <v>1042</v>
      </c>
      <c r="R1" s="370" t="s">
        <v>1043</v>
      </c>
      <c r="S1" s="370" t="s">
        <v>1044</v>
      </c>
      <c r="T1" s="370" t="s">
        <v>1045</v>
      </c>
      <c r="U1" s="370" t="s">
        <v>1046</v>
      </c>
      <c r="V1" s="370" t="s">
        <v>1047</v>
      </c>
      <c r="W1" s="374" t="s">
        <v>1048</v>
      </c>
      <c r="X1" s="375" t="s">
        <v>1049</v>
      </c>
      <c r="Y1" s="376"/>
      <c r="Z1" s="377"/>
      <c r="AA1" s="377"/>
      <c r="AB1" s="377"/>
    </row>
    <row r="2">
      <c r="A2" s="378"/>
      <c r="B2" s="378" t="s">
        <v>1050</v>
      </c>
      <c r="C2" s="378" t="s">
        <v>1051</v>
      </c>
      <c r="D2" s="379" t="s">
        <v>1052</v>
      </c>
      <c r="E2" s="380"/>
      <c r="F2" s="380">
        <v>921855.48</v>
      </c>
      <c r="G2" s="381">
        <v>185484.0</v>
      </c>
      <c r="H2" s="382">
        <v>1000.0</v>
      </c>
      <c r="I2" s="383">
        <v>0.0</v>
      </c>
      <c r="J2" s="382"/>
      <c r="K2" s="380">
        <v>921855.48</v>
      </c>
      <c r="L2" s="384" t="s">
        <v>1053</v>
      </c>
      <c r="M2" s="385" t="s">
        <v>1054</v>
      </c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7">
        <f>SUM(G2:G18)</f>
        <v>2168412.368</v>
      </c>
      <c r="Y2" s="388" t="s">
        <v>1055</v>
      </c>
      <c r="Z2" s="388">
        <v>2025.0</v>
      </c>
      <c r="AA2" s="377"/>
      <c r="AB2" s="377"/>
    </row>
    <row r="3">
      <c r="A3" s="378"/>
      <c r="B3" s="378" t="s">
        <v>1050</v>
      </c>
      <c r="C3" s="378" t="s">
        <v>1056</v>
      </c>
      <c r="D3" s="379" t="s">
        <v>1057</v>
      </c>
      <c r="E3" s="380"/>
      <c r="F3" s="380">
        <v>744754.5</v>
      </c>
      <c r="G3" s="381">
        <v>149850.0</v>
      </c>
      <c r="H3" s="382"/>
      <c r="I3" s="383">
        <v>372819.31</v>
      </c>
      <c r="J3" s="382"/>
      <c r="K3" s="380">
        <v>371935.19</v>
      </c>
      <c r="L3" s="384" t="s">
        <v>1058</v>
      </c>
      <c r="M3" s="378" t="s">
        <v>1054</v>
      </c>
      <c r="N3" s="386"/>
      <c r="O3" s="386"/>
      <c r="P3" s="386"/>
      <c r="Q3" s="386"/>
      <c r="R3" s="386"/>
      <c r="S3" s="389"/>
      <c r="T3" s="389"/>
      <c r="U3" s="389"/>
      <c r="V3" s="389"/>
      <c r="W3" s="390" t="s">
        <v>1059</v>
      </c>
      <c r="X3" s="391">
        <f>SUM(G19:G32)</f>
        <v>282314.5602</v>
      </c>
      <c r="Y3" s="392" t="s">
        <v>1060</v>
      </c>
      <c r="Z3" s="388">
        <v>2025.0</v>
      </c>
      <c r="AA3" s="377"/>
      <c r="AB3" s="377"/>
    </row>
    <row r="4">
      <c r="A4" s="378" t="s">
        <v>835</v>
      </c>
      <c r="B4" s="378" t="s">
        <v>1055</v>
      </c>
      <c r="C4" s="378" t="s">
        <v>1061</v>
      </c>
      <c r="D4" s="379" t="s">
        <v>1062</v>
      </c>
      <c r="E4" s="380"/>
      <c r="F4" s="380">
        <v>687238.0</v>
      </c>
      <c r="G4" s="381">
        <f t="shared" ref="G4:G5" si="1">F4/4.97</f>
        <v>138277.2636</v>
      </c>
      <c r="H4" s="382">
        <v>330.88</v>
      </c>
      <c r="I4" s="383">
        <v>206171.0</v>
      </c>
      <c r="J4" s="393">
        <v>206171.0</v>
      </c>
      <c r="K4" s="393">
        <v>274895.0</v>
      </c>
      <c r="L4" s="384" t="s">
        <v>1063</v>
      </c>
      <c r="M4" s="378" t="s">
        <v>1064</v>
      </c>
      <c r="N4" s="394">
        <v>6.0</v>
      </c>
      <c r="O4" s="395" t="s">
        <v>1065</v>
      </c>
      <c r="P4" s="394">
        <v>3.0</v>
      </c>
      <c r="Q4" s="396" t="s">
        <v>1066</v>
      </c>
      <c r="R4" s="378" t="s">
        <v>1067</v>
      </c>
      <c r="S4" s="389"/>
      <c r="T4" s="389"/>
      <c r="U4" s="389"/>
      <c r="V4" s="389"/>
      <c r="W4" s="397"/>
      <c r="X4" s="391">
        <f>SUM(G33:G57)</f>
        <v>114181.0519</v>
      </c>
      <c r="Y4" s="392" t="s">
        <v>1068</v>
      </c>
      <c r="Z4" s="388">
        <v>2025.0</v>
      </c>
      <c r="AA4" s="377"/>
      <c r="AB4" s="377"/>
    </row>
    <row r="5">
      <c r="A5" s="378" t="s">
        <v>835</v>
      </c>
      <c r="B5" s="378" t="s">
        <v>1055</v>
      </c>
      <c r="C5" s="378" t="s">
        <v>1069</v>
      </c>
      <c r="D5" s="379" t="s">
        <v>1070</v>
      </c>
      <c r="E5" s="380"/>
      <c r="F5" s="380">
        <v>32220.0</v>
      </c>
      <c r="G5" s="381">
        <f t="shared" si="1"/>
        <v>6482.897384</v>
      </c>
      <c r="H5" s="382">
        <v>10.56</v>
      </c>
      <c r="I5" s="383">
        <v>19332.0</v>
      </c>
      <c r="J5" s="378" t="s">
        <v>369</v>
      </c>
      <c r="K5" s="380">
        <v>12888.0</v>
      </c>
      <c r="L5" s="384" t="s">
        <v>1071</v>
      </c>
      <c r="M5" s="378" t="s">
        <v>835</v>
      </c>
      <c r="N5" s="398"/>
      <c r="O5" s="398"/>
      <c r="P5" s="398"/>
      <c r="Q5" s="389"/>
      <c r="R5" s="389"/>
      <c r="S5" s="389"/>
      <c r="T5" s="389"/>
      <c r="U5" s="389"/>
      <c r="V5" s="389"/>
      <c r="W5" s="397"/>
      <c r="X5" s="391">
        <f>SUM(G58:G80)</f>
        <v>851821.4318</v>
      </c>
      <c r="Y5" s="392" t="s">
        <v>1072</v>
      </c>
      <c r="Z5" s="388">
        <v>2025.0</v>
      </c>
      <c r="AA5" s="377"/>
      <c r="AB5" s="377"/>
    </row>
    <row r="6">
      <c r="A6" s="378" t="s">
        <v>826</v>
      </c>
      <c r="B6" s="378" t="s">
        <v>1055</v>
      </c>
      <c r="C6" s="378" t="s">
        <v>1073</v>
      </c>
      <c r="D6" s="379" t="s">
        <v>1074</v>
      </c>
      <c r="E6" s="380"/>
      <c r="F6" s="380">
        <f t="shared" ref="F6:F7" si="2">G6*4.97</f>
        <v>7907022.096</v>
      </c>
      <c r="G6" s="381">
        <v>1590950.12</v>
      </c>
      <c r="H6" s="382">
        <v>4900.0</v>
      </c>
      <c r="I6" s="383">
        <v>395740.86</v>
      </c>
      <c r="J6" s="389"/>
      <c r="K6" s="389"/>
      <c r="L6" s="384" t="s">
        <v>1075</v>
      </c>
      <c r="M6" s="378"/>
      <c r="N6" s="398"/>
      <c r="O6" s="398"/>
      <c r="P6" s="398"/>
      <c r="Q6" s="389"/>
      <c r="R6" s="389"/>
      <c r="S6" s="389"/>
      <c r="T6" s="389"/>
      <c r="U6" s="389"/>
      <c r="V6" s="389"/>
      <c r="W6" s="397"/>
      <c r="X6" s="391">
        <f>SUM(G81:G107)</f>
        <v>814942.338</v>
      </c>
      <c r="Y6" s="392" t="s">
        <v>1076</v>
      </c>
      <c r="Z6" s="388">
        <v>2025.0</v>
      </c>
      <c r="AA6" s="377"/>
      <c r="AB6" s="377"/>
    </row>
    <row r="7">
      <c r="A7" s="378"/>
      <c r="B7" s="378" t="s">
        <v>1055</v>
      </c>
      <c r="C7" s="378" t="s">
        <v>1077</v>
      </c>
      <c r="D7" s="379" t="s">
        <v>1078</v>
      </c>
      <c r="E7" s="380"/>
      <c r="F7" s="380">
        <f t="shared" si="2"/>
        <v>62125</v>
      </c>
      <c r="G7" s="381">
        <v>12500.0</v>
      </c>
      <c r="H7" s="382"/>
      <c r="I7" s="383">
        <v>24850.0</v>
      </c>
      <c r="J7" s="399"/>
      <c r="K7" s="400">
        <f>F7-I7</f>
        <v>37275</v>
      </c>
      <c r="L7" s="384" t="s">
        <v>1063</v>
      </c>
      <c r="M7" s="378" t="s">
        <v>1079</v>
      </c>
      <c r="N7" s="398"/>
      <c r="O7" s="398"/>
      <c r="P7" s="398"/>
      <c r="Q7" s="389"/>
      <c r="R7" s="389"/>
      <c r="S7" s="389"/>
      <c r="T7" s="389"/>
      <c r="U7" s="389"/>
      <c r="V7" s="389"/>
      <c r="W7" s="390" t="s">
        <v>1080</v>
      </c>
      <c r="X7" s="391">
        <f>SUM(G108:G132)</f>
        <v>354389.2534</v>
      </c>
      <c r="Y7" s="392" t="s">
        <v>1081</v>
      </c>
      <c r="Z7" s="388">
        <v>2025.0</v>
      </c>
      <c r="AA7" s="377"/>
      <c r="AB7" s="377"/>
    </row>
    <row r="8">
      <c r="A8" s="378"/>
      <c r="B8" s="378" t="s">
        <v>1055</v>
      </c>
      <c r="C8" s="378" t="s">
        <v>1082</v>
      </c>
      <c r="D8" s="379" t="s">
        <v>1083</v>
      </c>
      <c r="E8" s="380"/>
      <c r="F8" s="380">
        <v>62125.0</v>
      </c>
      <c r="G8" s="381">
        <v>12500.0</v>
      </c>
      <c r="H8" s="382"/>
      <c r="I8" s="383">
        <v>24850.0</v>
      </c>
      <c r="J8" s="399"/>
      <c r="K8" s="400">
        <v>37275.0</v>
      </c>
      <c r="L8" s="384" t="s">
        <v>1084</v>
      </c>
      <c r="M8" s="378" t="s">
        <v>1079</v>
      </c>
      <c r="N8" s="398"/>
      <c r="O8" s="398"/>
      <c r="P8" s="398"/>
      <c r="Q8" s="389"/>
      <c r="R8" s="389"/>
      <c r="S8" s="389"/>
      <c r="T8" s="389"/>
      <c r="U8" s="389"/>
      <c r="V8" s="389"/>
      <c r="W8" s="390" t="s">
        <v>1080</v>
      </c>
      <c r="X8" s="391">
        <f>SUM(G133:G178)</f>
        <v>728760.9005</v>
      </c>
      <c r="Y8" s="392" t="s">
        <v>1085</v>
      </c>
      <c r="Z8" s="388">
        <v>2025.0</v>
      </c>
      <c r="AA8" s="377"/>
      <c r="AB8" s="377"/>
    </row>
    <row r="9">
      <c r="A9" s="378" t="s">
        <v>1086</v>
      </c>
      <c r="B9" s="378" t="s">
        <v>1087</v>
      </c>
      <c r="C9" s="378" t="s">
        <v>1088</v>
      </c>
      <c r="D9" s="379" t="s">
        <v>1089</v>
      </c>
      <c r="E9" s="380"/>
      <c r="F9" s="380">
        <f>29479/1.19</f>
        <v>24772.26891</v>
      </c>
      <c r="G9" s="381">
        <f>F9/4.97</f>
        <v>4984.359941</v>
      </c>
      <c r="H9" s="382">
        <v>5.28</v>
      </c>
      <c r="I9" s="383">
        <f>20635.3/1.19</f>
        <v>17340.58824</v>
      </c>
      <c r="J9" s="389"/>
      <c r="K9" s="400">
        <f>F9-I9</f>
        <v>7431.680672</v>
      </c>
      <c r="L9" s="384" t="s">
        <v>1090</v>
      </c>
      <c r="M9" s="378" t="s">
        <v>1091</v>
      </c>
      <c r="N9" s="398"/>
      <c r="O9" s="398"/>
      <c r="P9" s="398"/>
      <c r="Q9" s="389"/>
      <c r="R9" s="389"/>
      <c r="S9" s="389"/>
      <c r="T9" s="389"/>
      <c r="U9" s="389"/>
      <c r="V9" s="389"/>
      <c r="W9" s="397"/>
      <c r="X9" s="391">
        <f>SUM(G179:G200)</f>
        <v>248115.2116</v>
      </c>
      <c r="Y9" s="392" t="s">
        <v>1092</v>
      </c>
      <c r="Z9" s="388">
        <v>2025.0</v>
      </c>
      <c r="AA9" s="377"/>
      <c r="AB9" s="377"/>
    </row>
    <row r="10" ht="21.0" customHeight="1">
      <c r="A10" s="378" t="s">
        <v>835</v>
      </c>
      <c r="B10" s="378" t="s">
        <v>1055</v>
      </c>
      <c r="C10" s="378" t="s">
        <v>1093</v>
      </c>
      <c r="D10" s="379" t="s">
        <v>1094</v>
      </c>
      <c r="E10" s="380"/>
      <c r="F10" s="380">
        <v>42020.15</v>
      </c>
      <c r="G10" s="381">
        <v>8441.68</v>
      </c>
      <c r="H10" s="382">
        <v>15.0</v>
      </c>
      <c r="I10" s="383">
        <v>10505.03</v>
      </c>
      <c r="J10" s="389"/>
      <c r="K10" s="389"/>
      <c r="L10" s="384" t="s">
        <v>1063</v>
      </c>
      <c r="M10" s="378" t="s">
        <v>1054</v>
      </c>
      <c r="N10" s="398"/>
      <c r="O10" s="398"/>
      <c r="P10" s="398"/>
      <c r="Q10" s="389"/>
      <c r="R10" s="389"/>
      <c r="S10" s="389"/>
      <c r="T10" s="389"/>
      <c r="U10" s="389"/>
      <c r="V10" s="389"/>
      <c r="W10" s="390" t="s">
        <v>1095</v>
      </c>
      <c r="X10" s="391">
        <f>SUM(G201:G227)</f>
        <v>894424.6857</v>
      </c>
      <c r="Y10" s="392" t="s">
        <v>1096</v>
      </c>
      <c r="Z10" s="388">
        <v>2025.0</v>
      </c>
      <c r="AA10" s="377"/>
      <c r="AB10" s="377"/>
    </row>
    <row r="11">
      <c r="A11" s="378"/>
      <c r="B11" s="378" t="s">
        <v>1055</v>
      </c>
      <c r="C11" s="378" t="s">
        <v>1097</v>
      </c>
      <c r="D11" s="379" t="s">
        <v>1098</v>
      </c>
      <c r="E11" s="380"/>
      <c r="F11" s="380">
        <v>25081.27</v>
      </c>
      <c r="G11" s="381">
        <v>5036.4</v>
      </c>
      <c r="H11" s="382">
        <v>8.8</v>
      </c>
      <c r="I11" s="383">
        <v>20065.02</v>
      </c>
      <c r="J11" s="389"/>
      <c r="K11" s="378">
        <v>5016.27</v>
      </c>
      <c r="L11" s="384" t="s">
        <v>1099</v>
      </c>
      <c r="M11" s="378"/>
      <c r="N11" s="398"/>
      <c r="O11" s="398"/>
      <c r="P11" s="398"/>
      <c r="Q11" s="389"/>
      <c r="R11" s="389"/>
      <c r="S11" s="389"/>
      <c r="T11" s="389"/>
      <c r="U11" s="389"/>
      <c r="V11" s="389"/>
      <c r="W11" s="390"/>
      <c r="X11" s="391">
        <f>SUM(G228:AB250)</f>
        <v>3323704.89</v>
      </c>
      <c r="Y11" s="392" t="s">
        <v>1100</v>
      </c>
      <c r="Z11" s="388">
        <v>2025.0</v>
      </c>
      <c r="AA11" s="377"/>
      <c r="AB11" s="377"/>
    </row>
    <row r="12">
      <c r="A12" s="378" t="s">
        <v>826</v>
      </c>
      <c r="B12" s="378" t="s">
        <v>1055</v>
      </c>
      <c r="C12" s="378" t="s">
        <v>1101</v>
      </c>
      <c r="D12" s="379" t="s">
        <v>1102</v>
      </c>
      <c r="E12" s="380"/>
      <c r="F12" s="380">
        <v>34063.76</v>
      </c>
      <c r="G12" s="381">
        <v>6853.88</v>
      </c>
      <c r="H12" s="382">
        <v>10.56</v>
      </c>
      <c r="I12" s="401"/>
      <c r="J12" s="389"/>
      <c r="K12" s="389"/>
      <c r="L12" s="384" t="s">
        <v>1103</v>
      </c>
      <c r="M12" s="378"/>
      <c r="N12" s="398"/>
      <c r="O12" s="398"/>
      <c r="P12" s="398"/>
      <c r="Q12" s="389"/>
      <c r="R12" s="389"/>
      <c r="S12" s="389"/>
      <c r="T12" s="389"/>
      <c r="U12" s="389"/>
      <c r="V12" s="389"/>
      <c r="W12" s="390"/>
      <c r="X12" s="391">
        <f>SUM(G251:G282)</f>
        <v>189817.2824</v>
      </c>
      <c r="Y12" s="392" t="s">
        <v>1050</v>
      </c>
      <c r="Z12" s="388">
        <v>2025.0</v>
      </c>
      <c r="AA12" s="377"/>
      <c r="AB12" s="377"/>
    </row>
    <row r="13">
      <c r="A13" s="378" t="s">
        <v>835</v>
      </c>
      <c r="B13" s="378" t="s">
        <v>1055</v>
      </c>
      <c r="C13" s="378" t="s">
        <v>1104</v>
      </c>
      <c r="D13" s="379" t="s">
        <v>1105</v>
      </c>
      <c r="E13" s="380"/>
      <c r="F13" s="380">
        <f>31872/1.19</f>
        <v>26783.19328</v>
      </c>
      <c r="G13" s="381">
        <f t="shared" ref="G13:G14" si="3">F13/4.97</f>
        <v>5388.97249</v>
      </c>
      <c r="H13" s="382">
        <v>6.16</v>
      </c>
      <c r="I13" s="401"/>
      <c r="J13" s="389"/>
      <c r="K13" s="400">
        <f>F13</f>
        <v>26783.19328</v>
      </c>
      <c r="L13" s="384" t="s">
        <v>1053</v>
      </c>
      <c r="M13" s="378"/>
      <c r="N13" s="398"/>
      <c r="O13" s="398"/>
      <c r="P13" s="398"/>
      <c r="Q13" s="389"/>
      <c r="R13" s="389"/>
      <c r="S13" s="389"/>
      <c r="T13" s="389"/>
      <c r="U13" s="389"/>
      <c r="V13" s="389"/>
      <c r="W13" s="390" t="s">
        <v>1106</v>
      </c>
      <c r="X13" s="391">
        <f>SUM(G283:G295)</f>
        <v>96754.73906</v>
      </c>
      <c r="Y13" s="392" t="s">
        <v>1107</v>
      </c>
      <c r="Z13" s="388">
        <v>2025.0</v>
      </c>
      <c r="AA13" s="377"/>
      <c r="AB13" s="377"/>
    </row>
    <row r="14">
      <c r="A14" s="378" t="s">
        <v>835</v>
      </c>
      <c r="B14" s="378" t="s">
        <v>1055</v>
      </c>
      <c r="C14" s="378" t="s">
        <v>1108</v>
      </c>
      <c r="D14" s="379" t="s">
        <v>1109</v>
      </c>
      <c r="E14" s="380"/>
      <c r="F14" s="380">
        <f>35273.68/1.19</f>
        <v>29641.7479</v>
      </c>
      <c r="G14" s="381">
        <f t="shared" si="3"/>
        <v>5964.134386</v>
      </c>
      <c r="H14" s="382">
        <v>12.56</v>
      </c>
      <c r="I14" s="383">
        <f>35273.68/1.19</f>
        <v>29641.7479</v>
      </c>
      <c r="J14" s="389"/>
      <c r="K14" s="380"/>
      <c r="L14" s="384" t="s">
        <v>1110</v>
      </c>
      <c r="M14" s="378" t="s">
        <v>1064</v>
      </c>
      <c r="N14" s="398"/>
      <c r="O14" s="398"/>
      <c r="P14" s="398"/>
      <c r="Q14" s="389"/>
      <c r="R14" s="389"/>
      <c r="S14" s="389"/>
      <c r="T14" s="389"/>
      <c r="U14" s="389"/>
      <c r="V14" s="389"/>
      <c r="W14" s="390"/>
      <c r="Z14" s="377"/>
      <c r="AA14" s="377"/>
      <c r="AB14" s="377"/>
    </row>
    <row r="15">
      <c r="A15" s="378"/>
      <c r="B15" s="378" t="s">
        <v>1055</v>
      </c>
      <c r="C15" s="378" t="s">
        <v>1111</v>
      </c>
      <c r="D15" s="379" t="s">
        <v>1112</v>
      </c>
      <c r="E15" s="380"/>
      <c r="F15" s="380">
        <v>13486.23</v>
      </c>
      <c r="G15" s="381">
        <v>2713.76</v>
      </c>
      <c r="H15" s="382">
        <v>9.13</v>
      </c>
      <c r="I15" s="383">
        <v>0.0</v>
      </c>
      <c r="J15" s="389"/>
      <c r="K15" s="389"/>
      <c r="L15" s="384" t="s">
        <v>369</v>
      </c>
      <c r="M15" s="378"/>
      <c r="N15" s="398"/>
      <c r="O15" s="398"/>
      <c r="P15" s="398"/>
      <c r="Q15" s="389"/>
      <c r="R15" s="389"/>
      <c r="S15" s="389"/>
      <c r="T15" s="389"/>
      <c r="U15" s="389"/>
      <c r="V15" s="389"/>
      <c r="W15" s="390"/>
      <c r="X15" s="402">
        <f>sum(X3, X2, X4, X7, X5, X6, X8, X9, X10, X11, X12, X13)</f>
        <v>10067638.71</v>
      </c>
      <c r="Y15" s="403" t="s">
        <v>1113</v>
      </c>
      <c r="Z15" s="377"/>
      <c r="AA15" s="377"/>
      <c r="AB15" s="377"/>
    </row>
    <row r="16">
      <c r="A16" s="378"/>
      <c r="B16" s="378" t="s">
        <v>1055</v>
      </c>
      <c r="C16" s="378" t="s">
        <v>1114</v>
      </c>
      <c r="D16" s="379" t="s">
        <v>765</v>
      </c>
      <c r="E16" s="380"/>
      <c r="F16" s="380">
        <v>14311.92</v>
      </c>
      <c r="G16" s="381">
        <v>2878.3</v>
      </c>
      <c r="H16" s="382"/>
      <c r="I16" s="383">
        <v>0.0</v>
      </c>
      <c r="J16" s="389"/>
      <c r="K16" s="389"/>
      <c r="L16" s="384" t="s">
        <v>369</v>
      </c>
      <c r="M16" s="378"/>
      <c r="N16" s="398"/>
      <c r="O16" s="398"/>
      <c r="P16" s="398"/>
      <c r="Q16" s="389"/>
      <c r="R16" s="389"/>
      <c r="S16" s="389"/>
      <c r="T16" s="389"/>
      <c r="U16" s="389"/>
      <c r="V16" s="389"/>
      <c r="W16" s="390"/>
      <c r="X16" s="404"/>
      <c r="Y16" s="404"/>
      <c r="Z16" s="377"/>
      <c r="AA16" s="377"/>
      <c r="AB16" s="377"/>
    </row>
    <row r="17">
      <c r="A17" s="378" t="s">
        <v>826</v>
      </c>
      <c r="B17" s="378" t="s">
        <v>1087</v>
      </c>
      <c r="C17" s="378" t="s">
        <v>1115</v>
      </c>
      <c r="D17" s="379" t="s">
        <v>1116</v>
      </c>
      <c r="E17" s="380"/>
      <c r="F17" s="380">
        <v>5175.0</v>
      </c>
      <c r="G17" s="381">
        <v>1041.0</v>
      </c>
      <c r="H17" s="382"/>
      <c r="I17" s="383">
        <v>0.0</v>
      </c>
      <c r="J17" s="389"/>
      <c r="K17" s="389"/>
      <c r="L17" s="384"/>
      <c r="M17" s="378"/>
      <c r="N17" s="398"/>
      <c r="O17" s="398"/>
      <c r="P17" s="398"/>
      <c r="Q17" s="389"/>
      <c r="R17" s="389"/>
      <c r="S17" s="389"/>
      <c r="T17" s="389"/>
      <c r="U17" s="389"/>
      <c r="V17" s="389"/>
      <c r="W17" s="390"/>
      <c r="X17" s="391">
        <f>SUM(G296:G316)</f>
        <v>123014.6151</v>
      </c>
      <c r="Y17" s="388" t="s">
        <v>1055</v>
      </c>
      <c r="Z17" s="388">
        <v>2026.0</v>
      </c>
      <c r="AA17" s="377"/>
      <c r="AB17" s="377"/>
    </row>
    <row r="18">
      <c r="A18" s="378" t="s">
        <v>826</v>
      </c>
      <c r="B18" s="378" t="s">
        <v>1055</v>
      </c>
      <c r="C18" s="378" t="s">
        <v>1117</v>
      </c>
      <c r="D18" s="379" t="s">
        <v>1118</v>
      </c>
      <c r="E18" s="380"/>
      <c r="F18" s="380">
        <v>144456.03</v>
      </c>
      <c r="G18" s="381">
        <v>29065.6</v>
      </c>
      <c r="H18" s="382">
        <v>49.28</v>
      </c>
      <c r="I18" s="383"/>
      <c r="J18" s="389"/>
      <c r="K18" s="389"/>
      <c r="L18" s="384" t="s">
        <v>1063</v>
      </c>
      <c r="M18" s="378"/>
      <c r="N18" s="398"/>
      <c r="O18" s="398"/>
      <c r="P18" s="398"/>
      <c r="Q18" s="389"/>
      <c r="R18" s="389"/>
      <c r="S18" s="389"/>
      <c r="T18" s="389"/>
      <c r="U18" s="389"/>
      <c r="V18" s="389"/>
      <c r="W18" s="390"/>
      <c r="X18" s="391">
        <f>SUM(G317:G331)</f>
        <v>280749.0009</v>
      </c>
      <c r="Y18" s="392" t="s">
        <v>1060</v>
      </c>
      <c r="Z18" s="388">
        <v>2026.0</v>
      </c>
      <c r="AA18" s="377"/>
      <c r="AB18" s="377"/>
    </row>
    <row r="19">
      <c r="A19" s="378" t="s">
        <v>835</v>
      </c>
      <c r="B19" s="378" t="s">
        <v>1060</v>
      </c>
      <c r="C19" s="378" t="s">
        <v>1119</v>
      </c>
      <c r="D19" s="379" t="s">
        <v>1120</v>
      </c>
      <c r="E19" s="380"/>
      <c r="F19" s="380">
        <v>1400.0</v>
      </c>
      <c r="G19" s="381">
        <v>280.0</v>
      </c>
      <c r="H19" s="382"/>
      <c r="I19" s="383"/>
      <c r="J19" s="389"/>
      <c r="K19" s="389"/>
      <c r="L19" s="384" t="s">
        <v>1121</v>
      </c>
      <c r="M19" s="378"/>
      <c r="N19" s="398"/>
      <c r="O19" s="398"/>
      <c r="P19" s="398"/>
      <c r="Q19" s="389"/>
      <c r="R19" s="389"/>
      <c r="S19" s="389"/>
      <c r="T19" s="389"/>
      <c r="U19" s="389"/>
      <c r="V19" s="389"/>
      <c r="W19" s="390" t="s">
        <v>1122</v>
      </c>
      <c r="X19" s="391">
        <f>SUM(G332:G371)</f>
        <v>1898517.362</v>
      </c>
      <c r="Y19" s="392" t="s">
        <v>1068</v>
      </c>
      <c r="Z19" s="388">
        <v>2026.0</v>
      </c>
      <c r="AA19" s="377"/>
      <c r="AB19" s="377"/>
    </row>
    <row r="20">
      <c r="A20" s="378" t="s">
        <v>826</v>
      </c>
      <c r="B20" s="378" t="s">
        <v>1060</v>
      </c>
      <c r="C20" s="378" t="s">
        <v>1123</v>
      </c>
      <c r="D20" s="379" t="s">
        <v>1124</v>
      </c>
      <c r="E20" s="380"/>
      <c r="F20" s="380">
        <v>27583.5</v>
      </c>
      <c r="G20" s="381">
        <v>5550.0</v>
      </c>
      <c r="H20" s="382">
        <v>6.16</v>
      </c>
      <c r="I20" s="383">
        <v>11307.88</v>
      </c>
      <c r="J20" s="389"/>
      <c r="K20" s="400">
        <v>16275.6</v>
      </c>
      <c r="L20" s="384" t="s">
        <v>1125</v>
      </c>
      <c r="M20" s="378"/>
      <c r="N20" s="395" t="s">
        <v>1126</v>
      </c>
      <c r="O20" s="398"/>
      <c r="P20" s="398"/>
      <c r="Q20" s="389"/>
      <c r="R20" s="389"/>
      <c r="S20" s="389"/>
      <c r="T20" s="389"/>
      <c r="U20" s="389"/>
      <c r="V20" s="389"/>
      <c r="W20" s="390"/>
      <c r="X20" s="391">
        <f>SUM(G372:G404)</f>
        <v>3820109.284</v>
      </c>
      <c r="Y20" s="392" t="s">
        <v>1072</v>
      </c>
      <c r="Z20" s="388">
        <v>2026.0</v>
      </c>
      <c r="AA20" s="377"/>
      <c r="AB20" s="377"/>
    </row>
    <row r="21">
      <c r="A21" s="378" t="s">
        <v>835</v>
      </c>
      <c r="B21" s="378" t="s">
        <v>1060</v>
      </c>
      <c r="C21" s="378" t="s">
        <v>1127</v>
      </c>
      <c r="D21" s="379" t="s">
        <v>1128</v>
      </c>
      <c r="E21" s="380"/>
      <c r="F21" s="380">
        <v>37526.89</v>
      </c>
      <c r="G21" s="381">
        <v>7550.68</v>
      </c>
      <c r="H21" s="382">
        <v>12.32</v>
      </c>
      <c r="I21" s="383"/>
      <c r="J21" s="389"/>
      <c r="K21" s="389"/>
      <c r="L21" s="384"/>
      <c r="M21" s="378"/>
      <c r="N21" s="398"/>
      <c r="O21" s="398"/>
      <c r="P21" s="398"/>
      <c r="Q21" s="389"/>
      <c r="R21" s="389"/>
      <c r="S21" s="389"/>
      <c r="T21" s="389"/>
      <c r="U21" s="389"/>
      <c r="V21" s="389"/>
      <c r="W21" s="390"/>
      <c r="X21" s="391">
        <f>SUM(G405:G440)</f>
        <v>636049.8407</v>
      </c>
      <c r="Y21" s="392" t="s">
        <v>1076</v>
      </c>
      <c r="Z21" s="388">
        <v>2026.0</v>
      </c>
      <c r="AA21" s="377"/>
      <c r="AB21" s="377"/>
    </row>
    <row r="22">
      <c r="A22" s="378" t="s">
        <v>1129</v>
      </c>
      <c r="B22" s="378" t="s">
        <v>1060</v>
      </c>
      <c r="C22" s="378" t="s">
        <v>1130</v>
      </c>
      <c r="D22" s="379" t="s">
        <v>1131</v>
      </c>
      <c r="E22" s="380"/>
      <c r="F22" s="380" t="s">
        <v>1132</v>
      </c>
      <c r="G22" s="381">
        <v>200553.53</v>
      </c>
      <c r="H22" s="382">
        <v>390.0</v>
      </c>
      <c r="I22" s="383"/>
      <c r="J22" s="389"/>
      <c r="K22" s="389"/>
      <c r="L22" s="384"/>
      <c r="M22" s="378" t="s">
        <v>1064</v>
      </c>
      <c r="N22" s="398"/>
      <c r="O22" s="398"/>
      <c r="P22" s="398"/>
      <c r="Q22" s="389"/>
      <c r="R22" s="389"/>
      <c r="S22" s="389"/>
      <c r="T22" s="389"/>
      <c r="U22" s="389"/>
      <c r="V22" s="389"/>
      <c r="W22" s="390"/>
      <c r="X22" s="391">
        <f>SUM(G441:G465)</f>
        <v>305303.0516</v>
      </c>
      <c r="Y22" s="392" t="s">
        <v>1081</v>
      </c>
      <c r="Z22" s="388">
        <v>2026.0</v>
      </c>
      <c r="AA22" s="377"/>
      <c r="AB22" s="377"/>
    </row>
    <row r="23">
      <c r="A23" s="378" t="s">
        <v>1086</v>
      </c>
      <c r="B23" s="378" t="s">
        <v>1060</v>
      </c>
      <c r="C23" s="378" t="s">
        <v>1133</v>
      </c>
      <c r="D23" s="379" t="s">
        <v>1134</v>
      </c>
      <c r="E23" s="380"/>
      <c r="F23" s="380">
        <v>29550.0</v>
      </c>
      <c r="G23" s="381">
        <v>5937.0</v>
      </c>
      <c r="H23" s="382">
        <v>6.16</v>
      </c>
      <c r="I23" s="383">
        <v>15137.61</v>
      </c>
      <c r="J23" s="405"/>
      <c r="K23" s="405"/>
      <c r="L23" s="384" t="s">
        <v>1135</v>
      </c>
      <c r="M23" s="378"/>
      <c r="N23" s="406"/>
      <c r="O23" s="406"/>
      <c r="P23" s="406"/>
      <c r="Q23" s="405"/>
      <c r="R23" s="405"/>
      <c r="S23" s="405"/>
      <c r="T23" s="405"/>
      <c r="U23" s="405"/>
      <c r="V23" s="405"/>
      <c r="W23" s="390" t="s">
        <v>1136</v>
      </c>
      <c r="X23" s="391">
        <f>SUM(G466:G485)</f>
        <v>178776.2452</v>
      </c>
      <c r="Y23" s="392" t="s">
        <v>1085</v>
      </c>
      <c r="Z23" s="388">
        <v>2026.0</v>
      </c>
      <c r="AA23" s="377"/>
      <c r="AB23" s="377"/>
    </row>
    <row r="24">
      <c r="A24" s="378"/>
      <c r="B24" s="378" t="s">
        <v>1060</v>
      </c>
      <c r="C24" s="378" t="s">
        <v>1137</v>
      </c>
      <c r="D24" s="379" t="s">
        <v>1138</v>
      </c>
      <c r="E24" s="380"/>
      <c r="F24" s="380" t="s">
        <v>369</v>
      </c>
      <c r="G24" s="381" t="s">
        <v>369</v>
      </c>
      <c r="H24" s="382" t="s">
        <v>369</v>
      </c>
      <c r="I24" s="407" t="s">
        <v>369</v>
      </c>
      <c r="J24" s="407" t="s">
        <v>369</v>
      </c>
      <c r="K24" s="407" t="s">
        <v>369</v>
      </c>
      <c r="L24" s="384" t="s">
        <v>1139</v>
      </c>
      <c r="M24" s="378" t="s">
        <v>1140</v>
      </c>
      <c r="N24" s="397"/>
      <c r="O24" s="397"/>
      <c r="P24" s="397"/>
      <c r="Q24" s="397"/>
      <c r="R24" s="397"/>
      <c r="S24" s="397"/>
      <c r="T24" s="397"/>
      <c r="U24" s="397"/>
      <c r="V24" s="397"/>
      <c r="W24" s="390"/>
      <c r="X24" s="391"/>
      <c r="Y24" s="392" t="s">
        <v>1092</v>
      </c>
      <c r="Z24" s="388">
        <v>2026.0</v>
      </c>
      <c r="AA24" s="377"/>
      <c r="AB24" s="377"/>
    </row>
    <row r="25">
      <c r="A25" s="378" t="s">
        <v>145</v>
      </c>
      <c r="B25" s="378" t="s">
        <v>1060</v>
      </c>
      <c r="C25" s="378" t="s">
        <v>1141</v>
      </c>
      <c r="D25" s="379" t="s">
        <v>1142</v>
      </c>
      <c r="E25" s="380"/>
      <c r="F25" s="380">
        <v>36690.35</v>
      </c>
      <c r="G25" s="381">
        <v>7382.36</v>
      </c>
      <c r="H25" s="382" t="s">
        <v>369</v>
      </c>
      <c r="I25" s="383">
        <v>18345.17</v>
      </c>
      <c r="J25" s="397"/>
      <c r="K25" s="383">
        <v>18345.17</v>
      </c>
      <c r="L25" s="384" t="s">
        <v>1125</v>
      </c>
      <c r="M25" s="378" t="s">
        <v>1006</v>
      </c>
      <c r="N25" s="397"/>
      <c r="O25" s="397"/>
      <c r="P25" s="397"/>
      <c r="Q25" s="397"/>
      <c r="R25" s="397"/>
      <c r="S25" s="397"/>
      <c r="T25" s="397"/>
      <c r="U25" s="397"/>
      <c r="V25" s="397"/>
      <c r="W25" s="390" t="s">
        <v>1143</v>
      </c>
      <c r="X25" s="391"/>
      <c r="Y25" s="392" t="s">
        <v>1096</v>
      </c>
      <c r="Z25" s="388">
        <v>2026.0</v>
      </c>
      <c r="AA25" s="377"/>
      <c r="AB25" s="377"/>
    </row>
    <row r="26">
      <c r="A26" s="378" t="s">
        <v>145</v>
      </c>
      <c r="B26" s="378" t="s">
        <v>1060</v>
      </c>
      <c r="C26" s="378" t="s">
        <v>1144</v>
      </c>
      <c r="D26" s="379" t="s">
        <v>1145</v>
      </c>
      <c r="E26" s="380"/>
      <c r="F26" s="380">
        <v>36690.35</v>
      </c>
      <c r="G26" s="381">
        <v>7382.36</v>
      </c>
      <c r="H26" s="382" t="s">
        <v>369</v>
      </c>
      <c r="I26" s="383">
        <v>18345.17</v>
      </c>
      <c r="J26" s="397"/>
      <c r="K26" s="383">
        <v>18345.17</v>
      </c>
      <c r="L26" s="384" t="s">
        <v>1125</v>
      </c>
      <c r="M26" s="378" t="s">
        <v>1006</v>
      </c>
      <c r="N26" s="397"/>
      <c r="O26" s="397"/>
      <c r="P26" s="397"/>
      <c r="Q26" s="397"/>
      <c r="R26" s="397"/>
      <c r="S26" s="397"/>
      <c r="T26" s="397"/>
      <c r="U26" s="397"/>
      <c r="V26" s="397"/>
      <c r="W26" s="390" t="s">
        <v>1143</v>
      </c>
      <c r="X26" s="391"/>
      <c r="Y26" s="392" t="s">
        <v>1100</v>
      </c>
      <c r="Z26" s="388">
        <v>2026.0</v>
      </c>
      <c r="AA26" s="377"/>
      <c r="AB26" s="377"/>
    </row>
    <row r="27">
      <c r="A27" s="378" t="s">
        <v>1086</v>
      </c>
      <c r="B27" s="378" t="s">
        <v>1060</v>
      </c>
      <c r="C27" s="378" t="s">
        <v>1146</v>
      </c>
      <c r="D27" s="379" t="s">
        <v>1147</v>
      </c>
      <c r="E27" s="380"/>
      <c r="F27" s="380">
        <v>40836.0</v>
      </c>
      <c r="G27" s="381">
        <v>8216.49</v>
      </c>
      <c r="H27" s="382">
        <v>15.84</v>
      </c>
      <c r="I27" s="408"/>
      <c r="J27" s="397"/>
      <c r="K27" s="397"/>
      <c r="L27" s="384" t="s">
        <v>1148</v>
      </c>
      <c r="M27" s="378"/>
      <c r="N27" s="397"/>
      <c r="O27" s="397"/>
      <c r="P27" s="397"/>
      <c r="Q27" s="397"/>
      <c r="R27" s="397"/>
      <c r="S27" s="397"/>
      <c r="T27" s="397"/>
      <c r="U27" s="397"/>
      <c r="V27" s="397"/>
      <c r="W27" s="397"/>
      <c r="X27" s="391"/>
      <c r="Y27" s="392" t="s">
        <v>1050</v>
      </c>
      <c r="Z27" s="388">
        <v>2026.0</v>
      </c>
      <c r="AA27" s="377"/>
      <c r="AB27" s="377"/>
    </row>
    <row r="28">
      <c r="A28" s="378" t="s">
        <v>1149</v>
      </c>
      <c r="B28" s="378" t="s">
        <v>1060</v>
      </c>
      <c r="C28" s="378" t="s">
        <v>1150</v>
      </c>
      <c r="D28" s="379" t="s">
        <v>1151</v>
      </c>
      <c r="E28" s="380"/>
      <c r="F28" s="380">
        <v>19730.0</v>
      </c>
      <c r="G28" s="381">
        <v>3970.0</v>
      </c>
      <c r="H28" s="382">
        <v>15.0</v>
      </c>
      <c r="I28" s="383">
        <v>7892.0</v>
      </c>
      <c r="J28" s="397"/>
      <c r="K28" s="397"/>
      <c r="L28" s="384"/>
      <c r="M28" s="378" t="s">
        <v>1152</v>
      </c>
      <c r="N28" s="397"/>
      <c r="O28" s="397"/>
      <c r="P28" s="397"/>
      <c r="Q28" s="397"/>
      <c r="R28" s="397"/>
      <c r="S28" s="397"/>
      <c r="T28" s="397"/>
      <c r="U28" s="397"/>
      <c r="V28" s="397"/>
      <c r="W28" s="390" t="s">
        <v>1153</v>
      </c>
      <c r="X28" s="391"/>
      <c r="Y28" s="392" t="s">
        <v>1107</v>
      </c>
      <c r="Z28" s="388">
        <v>2026.0</v>
      </c>
      <c r="AA28" s="377"/>
      <c r="AB28" s="377"/>
    </row>
    <row r="29">
      <c r="A29" s="378" t="s">
        <v>835</v>
      </c>
      <c r="B29" s="378" t="s">
        <v>1060</v>
      </c>
      <c r="C29" s="378" t="s">
        <v>1154</v>
      </c>
      <c r="D29" s="379" t="s">
        <v>1155</v>
      </c>
      <c r="E29" s="383"/>
      <c r="F29" s="380">
        <v>34949.24</v>
      </c>
      <c r="G29" s="381">
        <f>F29/4.97</f>
        <v>7032.040241</v>
      </c>
      <c r="H29" s="382">
        <v>5.28</v>
      </c>
      <c r="I29" s="383">
        <v>34949.24</v>
      </c>
      <c r="J29" s="397"/>
      <c r="K29" s="397"/>
      <c r="L29" s="384" t="s">
        <v>1125</v>
      </c>
      <c r="M29" s="378" t="s">
        <v>835</v>
      </c>
      <c r="N29" s="397"/>
      <c r="O29" s="397"/>
      <c r="P29" s="397"/>
      <c r="Q29" s="397"/>
      <c r="R29" s="397"/>
      <c r="S29" s="397"/>
      <c r="T29" s="397"/>
      <c r="U29" s="397"/>
      <c r="V29" s="397"/>
      <c r="W29" s="397"/>
      <c r="X29" s="391">
        <f>SUM(G441:G480)</f>
        <v>484079.2968</v>
      </c>
      <c r="Y29" s="392" t="s">
        <v>1081</v>
      </c>
      <c r="Z29" s="392">
        <v>2026.0</v>
      </c>
      <c r="AA29" s="377"/>
      <c r="AB29" s="377"/>
    </row>
    <row r="30">
      <c r="A30" s="378" t="s">
        <v>835</v>
      </c>
      <c r="B30" s="378" t="s">
        <v>1060</v>
      </c>
      <c r="C30" s="378" t="s">
        <v>1156</v>
      </c>
      <c r="D30" s="379" t="s">
        <v>1157</v>
      </c>
      <c r="E30" s="383"/>
      <c r="F30" s="380">
        <v>54848.13</v>
      </c>
      <c r="G30" s="381">
        <v>11035.84</v>
      </c>
      <c r="H30" s="382" t="s">
        <v>1158</v>
      </c>
      <c r="I30" s="408"/>
      <c r="J30" s="397"/>
      <c r="K30" s="383">
        <v>54848.13</v>
      </c>
      <c r="L30" s="384" t="s">
        <v>1125</v>
      </c>
      <c r="M30" s="378"/>
      <c r="N30" s="397"/>
      <c r="O30" s="397"/>
      <c r="P30" s="397"/>
      <c r="Q30" s="397"/>
      <c r="R30" s="397"/>
      <c r="S30" s="397"/>
      <c r="T30" s="397"/>
      <c r="U30" s="397"/>
      <c r="V30" s="397"/>
      <c r="W30" s="397"/>
      <c r="X30" s="404"/>
      <c r="Y30" s="376"/>
      <c r="Z30" s="377"/>
      <c r="AA30" s="377"/>
      <c r="AB30" s="377"/>
    </row>
    <row r="31">
      <c r="A31" s="378" t="s">
        <v>826</v>
      </c>
      <c r="B31" s="378" t="s">
        <v>1060</v>
      </c>
      <c r="C31" s="378" t="s">
        <v>1159</v>
      </c>
      <c r="D31" s="379" t="s">
        <v>1160</v>
      </c>
      <c r="E31" s="383"/>
      <c r="F31" s="380">
        <v>49869.32</v>
      </c>
      <c r="G31" s="381">
        <v>10013.92</v>
      </c>
      <c r="H31" s="382" t="s">
        <v>1161</v>
      </c>
      <c r="I31" s="383">
        <v>49869.32</v>
      </c>
      <c r="J31" s="397"/>
      <c r="K31" s="397"/>
      <c r="L31" s="384" t="s">
        <v>1162</v>
      </c>
      <c r="M31" s="378"/>
      <c r="N31" s="397"/>
      <c r="O31" s="397"/>
      <c r="P31" s="397"/>
      <c r="Q31" s="397"/>
      <c r="R31" s="397"/>
      <c r="S31" s="397"/>
      <c r="T31" s="397"/>
      <c r="U31" s="397"/>
      <c r="V31" s="397"/>
      <c r="W31" s="397"/>
      <c r="X31" s="404"/>
      <c r="Y31" s="376"/>
      <c r="Z31" s="377"/>
      <c r="AA31" s="377"/>
      <c r="AB31" s="377"/>
    </row>
    <row r="32">
      <c r="A32" s="378" t="s">
        <v>1086</v>
      </c>
      <c r="B32" s="378" t="s">
        <v>1060</v>
      </c>
      <c r="C32" s="378" t="s">
        <v>1163</v>
      </c>
      <c r="D32" s="379" t="s">
        <v>1164</v>
      </c>
      <c r="E32" s="383"/>
      <c r="F32" s="380">
        <v>36829.41</v>
      </c>
      <c r="G32" s="381">
        <v>7410.34</v>
      </c>
      <c r="H32" s="382">
        <v>6.6</v>
      </c>
      <c r="I32" s="409">
        <v>36829.41</v>
      </c>
      <c r="J32" s="397"/>
      <c r="K32" s="397"/>
      <c r="L32" s="384" t="s">
        <v>1165</v>
      </c>
      <c r="M32" s="378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410">
        <f>SUM(X17:X31)</f>
        <v>7726598.696</v>
      </c>
      <c r="Y32" s="403" t="s">
        <v>1166</v>
      </c>
      <c r="Z32" s="377"/>
      <c r="AA32" s="377"/>
      <c r="AB32" s="377"/>
    </row>
    <row r="33">
      <c r="A33" s="378" t="s">
        <v>1167</v>
      </c>
      <c r="B33" s="378" t="s">
        <v>1068</v>
      </c>
      <c r="C33" s="378" t="s">
        <v>1168</v>
      </c>
      <c r="D33" s="379" t="s">
        <v>1169</v>
      </c>
      <c r="E33" s="383"/>
      <c r="F33" s="380"/>
      <c r="G33" s="381"/>
      <c r="H33" s="382">
        <v>1000.0</v>
      </c>
      <c r="I33" s="408"/>
      <c r="J33" s="397"/>
      <c r="K33" s="397"/>
      <c r="L33" s="384" t="s">
        <v>1170</v>
      </c>
      <c r="M33" s="378"/>
      <c r="N33" s="397"/>
      <c r="O33" s="397"/>
      <c r="P33" s="397"/>
      <c r="Q33" s="397"/>
      <c r="R33" s="397"/>
      <c r="S33" s="397"/>
      <c r="T33" s="397"/>
      <c r="U33" s="397"/>
      <c r="V33" s="397"/>
      <c r="W33" s="397"/>
      <c r="X33" s="404"/>
      <c r="Y33" s="376"/>
      <c r="Z33" s="377"/>
      <c r="AA33" s="377"/>
      <c r="AB33" s="377"/>
    </row>
    <row r="34">
      <c r="A34" s="378" t="s">
        <v>835</v>
      </c>
      <c r="B34" s="378" t="s">
        <v>1068</v>
      </c>
      <c r="C34" s="378" t="s">
        <v>1171</v>
      </c>
      <c r="D34" s="379" t="s">
        <v>1172</v>
      </c>
      <c r="E34" s="383">
        <v>69485.88</v>
      </c>
      <c r="F34" s="380">
        <f>E34/1.19</f>
        <v>58391.4958</v>
      </c>
      <c r="G34" s="381">
        <f>F34/4.97</f>
        <v>11748.79191</v>
      </c>
      <c r="H34" s="382">
        <v>15.4</v>
      </c>
      <c r="I34" s="408"/>
      <c r="J34" s="397"/>
      <c r="K34" s="397"/>
      <c r="L34" s="384"/>
      <c r="M34" s="378" t="s">
        <v>835</v>
      </c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404"/>
      <c r="Y34" s="376"/>
      <c r="Z34" s="377"/>
      <c r="AA34" s="377"/>
      <c r="AB34" s="377"/>
    </row>
    <row r="35">
      <c r="A35" s="378" t="s">
        <v>835</v>
      </c>
      <c r="B35" s="411" t="s">
        <v>1068</v>
      </c>
      <c r="C35" s="411" t="s">
        <v>1173</v>
      </c>
      <c r="D35" s="379" t="s">
        <v>1174</v>
      </c>
      <c r="E35" s="412">
        <v>28000.0</v>
      </c>
      <c r="F35" s="412">
        <f t="shared" ref="F35:F37" si="4">E35/1.09</f>
        <v>25688.07339</v>
      </c>
      <c r="G35" s="413">
        <v>0.0</v>
      </c>
      <c r="H35" s="382"/>
      <c r="I35" s="408"/>
      <c r="J35" s="397"/>
      <c r="K35" s="397"/>
      <c r="L35" s="384"/>
      <c r="M35" s="378"/>
      <c r="N35" s="397"/>
      <c r="O35" s="397"/>
      <c r="P35" s="397"/>
      <c r="Q35" s="397"/>
      <c r="R35" s="397"/>
      <c r="S35" s="397"/>
      <c r="T35" s="397"/>
      <c r="U35" s="397"/>
      <c r="V35" s="397"/>
      <c r="W35" s="397"/>
      <c r="X35" s="404"/>
      <c r="Y35" s="376"/>
      <c r="Z35" s="377"/>
      <c r="AA35" s="377"/>
      <c r="AB35" s="377"/>
    </row>
    <row r="36">
      <c r="A36" s="378" t="s">
        <v>835</v>
      </c>
      <c r="B36" s="378" t="s">
        <v>1068</v>
      </c>
      <c r="C36" s="378" t="s">
        <v>1175</v>
      </c>
      <c r="D36" s="379" t="s">
        <v>1176</v>
      </c>
      <c r="E36" s="383">
        <v>40932.23</v>
      </c>
      <c r="F36" s="383">
        <f t="shared" si="4"/>
        <v>37552.50459</v>
      </c>
      <c r="G36" s="414">
        <f t="shared" ref="G36:G39" si="5">F36/4.97</f>
        <v>7555.835933</v>
      </c>
      <c r="H36" s="382"/>
      <c r="I36" s="408"/>
      <c r="J36" s="397"/>
      <c r="K36" s="397"/>
      <c r="L36" s="384"/>
      <c r="M36" s="378" t="s">
        <v>835</v>
      </c>
      <c r="N36" s="397"/>
      <c r="O36" s="397"/>
      <c r="P36" s="397"/>
      <c r="Q36" s="397"/>
      <c r="R36" s="397"/>
      <c r="S36" s="397"/>
      <c r="T36" s="397"/>
      <c r="U36" s="397"/>
      <c r="V36" s="397"/>
      <c r="W36" s="397"/>
      <c r="X36" s="404"/>
      <c r="Y36" s="376"/>
      <c r="Z36" s="377"/>
      <c r="AA36" s="377"/>
      <c r="AB36" s="377"/>
    </row>
    <row r="37">
      <c r="A37" s="378" t="s">
        <v>835</v>
      </c>
      <c r="B37" s="378" t="s">
        <v>1068</v>
      </c>
      <c r="C37" s="378" t="s">
        <v>1177</v>
      </c>
      <c r="D37" s="379" t="s">
        <v>1178</v>
      </c>
      <c r="E37" s="383">
        <v>34406.77</v>
      </c>
      <c r="F37" s="383">
        <f t="shared" si="4"/>
        <v>31565.84404</v>
      </c>
      <c r="G37" s="414">
        <f t="shared" si="5"/>
        <v>6351.276466</v>
      </c>
      <c r="H37" s="382"/>
      <c r="I37" s="408"/>
      <c r="J37" s="397"/>
      <c r="K37" s="397"/>
      <c r="L37" s="384"/>
      <c r="M37" s="378" t="s">
        <v>835</v>
      </c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76"/>
      <c r="Y37" s="376"/>
      <c r="Z37" s="377"/>
      <c r="AA37" s="377"/>
      <c r="AB37" s="377"/>
    </row>
    <row r="38">
      <c r="A38" s="378" t="s">
        <v>835</v>
      </c>
      <c r="B38" s="378" t="s">
        <v>1068</v>
      </c>
      <c r="C38" s="378" t="s">
        <v>1179</v>
      </c>
      <c r="D38" s="379" t="s">
        <v>1180</v>
      </c>
      <c r="E38" s="383">
        <v>46990.0</v>
      </c>
      <c r="F38" s="383">
        <f t="shared" ref="F38:F39" si="6">E38/1.19</f>
        <v>39487.39496</v>
      </c>
      <c r="G38" s="414">
        <f t="shared" si="5"/>
        <v>7945.149891</v>
      </c>
      <c r="H38" s="382">
        <v>12.32</v>
      </c>
      <c r="I38" s="408"/>
      <c r="J38" s="397"/>
      <c r="K38" s="397"/>
      <c r="L38" s="384"/>
      <c r="M38" s="378" t="s">
        <v>835</v>
      </c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76"/>
      <c r="Y38" s="376"/>
      <c r="Z38" s="377"/>
      <c r="AA38" s="377"/>
      <c r="AB38" s="377"/>
    </row>
    <row r="39">
      <c r="A39" s="378" t="s">
        <v>835</v>
      </c>
      <c r="B39" s="378" t="s">
        <v>1068</v>
      </c>
      <c r="C39" s="378" t="s">
        <v>1181</v>
      </c>
      <c r="D39" s="379" t="s">
        <v>1182</v>
      </c>
      <c r="E39" s="383">
        <v>34986.0</v>
      </c>
      <c r="F39" s="383">
        <f t="shared" si="6"/>
        <v>29400</v>
      </c>
      <c r="G39" s="414">
        <f t="shared" si="5"/>
        <v>5915.492958</v>
      </c>
      <c r="H39" s="382">
        <v>7.04</v>
      </c>
      <c r="I39" s="408"/>
      <c r="J39" s="397"/>
      <c r="K39" s="397"/>
      <c r="L39" s="384"/>
      <c r="M39" s="378"/>
      <c r="N39" s="397"/>
      <c r="O39" s="397"/>
      <c r="P39" s="397"/>
      <c r="Q39" s="397"/>
      <c r="R39" s="397"/>
      <c r="S39" s="397"/>
      <c r="T39" s="397"/>
      <c r="U39" s="397"/>
      <c r="V39" s="397"/>
      <c r="W39" s="397"/>
      <c r="X39" s="376"/>
      <c r="Y39" s="376"/>
      <c r="Z39" s="377"/>
      <c r="AA39" s="377"/>
      <c r="AB39" s="377"/>
    </row>
    <row r="40">
      <c r="A40" s="378" t="s">
        <v>155</v>
      </c>
      <c r="B40" s="378" t="s">
        <v>1068</v>
      </c>
      <c r="C40" s="378" t="s">
        <v>1183</v>
      </c>
      <c r="D40" s="379" t="s">
        <v>1184</v>
      </c>
      <c r="E40" s="383">
        <f>F40*1.19</f>
        <v>12867.61732</v>
      </c>
      <c r="F40" s="383">
        <f>G40*4.98</f>
        <v>10813.1238</v>
      </c>
      <c r="G40" s="414">
        <v>2171.31</v>
      </c>
      <c r="H40" s="382">
        <v>29.04</v>
      </c>
      <c r="I40" s="408"/>
      <c r="J40" s="397"/>
      <c r="K40" s="397"/>
      <c r="L40" s="384" t="s">
        <v>1185</v>
      </c>
      <c r="M40" s="378"/>
      <c r="N40" s="397"/>
      <c r="O40" s="397"/>
      <c r="P40" s="397"/>
      <c r="Q40" s="397"/>
      <c r="R40" s="397"/>
      <c r="S40" s="397"/>
      <c r="T40" s="397"/>
      <c r="U40" s="397"/>
      <c r="V40" s="397"/>
      <c r="W40" s="397"/>
      <c r="X40" s="376"/>
      <c r="Y40" s="376"/>
      <c r="Z40" s="377"/>
      <c r="AA40" s="377"/>
      <c r="AB40" s="377"/>
    </row>
    <row r="41">
      <c r="A41" s="378" t="s">
        <v>1149</v>
      </c>
      <c r="B41" s="378" t="s">
        <v>1068</v>
      </c>
      <c r="C41" s="378" t="s">
        <v>1186</v>
      </c>
      <c r="D41" s="379" t="s">
        <v>1187</v>
      </c>
      <c r="E41" s="383">
        <v>26800.0</v>
      </c>
      <c r="F41" s="383">
        <f>E41*0.91</f>
        <v>24388</v>
      </c>
      <c r="G41" s="414">
        <v>4810.0</v>
      </c>
      <c r="H41" s="382">
        <v>8.8</v>
      </c>
      <c r="I41" s="415">
        <v>0.0</v>
      </c>
      <c r="J41" s="397"/>
      <c r="K41" s="397"/>
      <c r="L41" s="384"/>
      <c r="M41" s="378" t="s">
        <v>1152</v>
      </c>
      <c r="N41" s="397"/>
      <c r="O41" s="397"/>
      <c r="P41" s="397"/>
      <c r="Q41" s="397"/>
      <c r="R41" s="397"/>
      <c r="S41" s="397"/>
      <c r="T41" s="397"/>
      <c r="U41" s="397"/>
      <c r="V41" s="397"/>
      <c r="W41" s="397"/>
      <c r="X41" s="376"/>
      <c r="Y41" s="376"/>
      <c r="Z41" s="377"/>
      <c r="AA41" s="377"/>
      <c r="AB41" s="377"/>
    </row>
    <row r="42">
      <c r="A42" s="378" t="s">
        <v>826</v>
      </c>
      <c r="B42" s="378" t="s">
        <v>1068</v>
      </c>
      <c r="C42" s="378" t="s">
        <v>1188</v>
      </c>
      <c r="D42" s="379" t="s">
        <v>1189</v>
      </c>
      <c r="E42" s="383">
        <f>8262.16*4.98</f>
        <v>41145.5568</v>
      </c>
      <c r="F42" s="383">
        <f>E42*0.81</f>
        <v>33327.90101</v>
      </c>
      <c r="G42" s="414">
        <f>8262.16*0.81</f>
        <v>6692.3496</v>
      </c>
      <c r="H42" s="382">
        <v>10.56</v>
      </c>
      <c r="I42" s="408"/>
      <c r="J42" s="397"/>
      <c r="K42" s="397"/>
      <c r="L42" s="384"/>
      <c r="M42" s="378"/>
      <c r="N42" s="397"/>
      <c r="O42" s="397"/>
      <c r="P42" s="397"/>
      <c r="Q42" s="397"/>
      <c r="R42" s="397"/>
      <c r="S42" s="397"/>
      <c r="T42" s="397"/>
      <c r="U42" s="397"/>
      <c r="V42" s="397"/>
      <c r="W42" s="397"/>
      <c r="X42" s="376"/>
      <c r="Y42" s="376"/>
      <c r="Z42" s="377"/>
      <c r="AA42" s="377"/>
      <c r="AB42" s="377"/>
    </row>
    <row r="43">
      <c r="A43" s="378" t="s">
        <v>1149</v>
      </c>
      <c r="B43" s="378" t="s">
        <v>1068</v>
      </c>
      <c r="C43" s="378" t="s">
        <v>1190</v>
      </c>
      <c r="D43" s="379" t="s">
        <v>1191</v>
      </c>
      <c r="E43" s="383">
        <v>21200.0</v>
      </c>
      <c r="F43" s="383">
        <f t="shared" ref="F43:F45" si="7">E43*0.91</f>
        <v>19292</v>
      </c>
      <c r="G43" s="414">
        <v>3692.0</v>
      </c>
      <c r="H43" s="382">
        <v>6.16</v>
      </c>
      <c r="I43" s="415">
        <v>0.0</v>
      </c>
      <c r="J43" s="397"/>
      <c r="K43" s="397"/>
      <c r="L43" s="384" t="s">
        <v>1148</v>
      </c>
      <c r="M43" s="378" t="s">
        <v>1152</v>
      </c>
      <c r="N43" s="397"/>
      <c r="O43" s="397"/>
      <c r="P43" s="397"/>
      <c r="Q43" s="397"/>
      <c r="R43" s="397"/>
      <c r="S43" s="397"/>
      <c r="T43" s="397"/>
      <c r="U43" s="397"/>
      <c r="V43" s="397"/>
      <c r="W43" s="390" t="s">
        <v>1153</v>
      </c>
      <c r="X43" s="376"/>
      <c r="Y43" s="376"/>
      <c r="Z43" s="377"/>
      <c r="AA43" s="377"/>
      <c r="AB43" s="377"/>
    </row>
    <row r="44">
      <c r="A44" s="378" t="s">
        <v>1149</v>
      </c>
      <c r="B44" s="378" t="s">
        <v>1068</v>
      </c>
      <c r="C44" s="378" t="s">
        <v>1192</v>
      </c>
      <c r="D44" s="379" t="s">
        <v>1193</v>
      </c>
      <c r="E44" s="383">
        <v>4700.0</v>
      </c>
      <c r="F44" s="383">
        <f t="shared" si="7"/>
        <v>4277</v>
      </c>
      <c r="G44" s="414">
        <v>867.0</v>
      </c>
      <c r="H44" s="382">
        <v>1.66</v>
      </c>
      <c r="I44" s="408"/>
      <c r="J44" s="397"/>
      <c r="K44" s="397"/>
      <c r="L44" s="384"/>
      <c r="M44" s="378" t="s">
        <v>1152</v>
      </c>
      <c r="N44" s="397"/>
      <c r="O44" s="397"/>
      <c r="P44" s="397"/>
      <c r="Q44" s="397"/>
      <c r="R44" s="397"/>
      <c r="S44" s="397"/>
      <c r="T44" s="397"/>
      <c r="U44" s="397"/>
      <c r="V44" s="397"/>
      <c r="W44" s="390" t="s">
        <v>1153</v>
      </c>
      <c r="X44" s="376"/>
      <c r="Y44" s="376"/>
      <c r="Z44" s="377"/>
      <c r="AA44" s="377"/>
      <c r="AB44" s="377"/>
    </row>
    <row r="45">
      <c r="A45" s="378" t="s">
        <v>1149</v>
      </c>
      <c r="B45" s="378" t="s">
        <v>1068</v>
      </c>
      <c r="C45" s="378" t="s">
        <v>1194</v>
      </c>
      <c r="D45" s="379" t="s">
        <v>1195</v>
      </c>
      <c r="E45" s="383">
        <v>4000.0</v>
      </c>
      <c r="F45" s="383">
        <f t="shared" si="7"/>
        <v>3640</v>
      </c>
      <c r="G45" s="414">
        <v>738.0</v>
      </c>
      <c r="H45" s="382">
        <v>1.66</v>
      </c>
      <c r="I45" s="416"/>
      <c r="J45" s="417"/>
      <c r="K45" s="417"/>
      <c r="L45" s="384"/>
      <c r="M45" s="378" t="s">
        <v>1152</v>
      </c>
      <c r="N45" s="397"/>
      <c r="O45" s="397"/>
      <c r="P45" s="397"/>
      <c r="Q45" s="397"/>
      <c r="R45" s="397"/>
      <c r="S45" s="397"/>
      <c r="T45" s="397"/>
      <c r="U45" s="397"/>
      <c r="V45" s="397"/>
      <c r="W45" s="390" t="s">
        <v>1153</v>
      </c>
      <c r="X45" s="376"/>
      <c r="Y45" s="376"/>
      <c r="Z45" s="377"/>
      <c r="AA45" s="377"/>
      <c r="AB45" s="377"/>
    </row>
    <row r="46">
      <c r="A46" s="378" t="s">
        <v>835</v>
      </c>
      <c r="B46" s="378" t="s">
        <v>1068</v>
      </c>
      <c r="C46" s="378" t="s">
        <v>1196</v>
      </c>
      <c r="D46" s="379" t="s">
        <v>1197</v>
      </c>
      <c r="E46" s="383">
        <v>40000.0</v>
      </c>
      <c r="F46" s="383">
        <f t="shared" ref="F46:F48" si="8">E46/1.09</f>
        <v>36697.24771</v>
      </c>
      <c r="G46" s="414">
        <f t="shared" ref="G46:G48" si="9">F46/4.97</f>
        <v>7383.752054</v>
      </c>
      <c r="H46" s="382"/>
      <c r="I46" s="416"/>
      <c r="J46" s="417"/>
      <c r="K46" s="417"/>
      <c r="L46" s="384"/>
      <c r="M46" s="378"/>
      <c r="N46" s="397"/>
      <c r="O46" s="397"/>
      <c r="P46" s="397"/>
      <c r="Q46" s="397"/>
      <c r="R46" s="397"/>
      <c r="S46" s="397"/>
      <c r="T46" s="397"/>
      <c r="U46" s="397"/>
      <c r="V46" s="397"/>
      <c r="W46" s="397"/>
      <c r="X46" s="376"/>
      <c r="Y46" s="376"/>
      <c r="Z46" s="377"/>
      <c r="AA46" s="377"/>
      <c r="AB46" s="377"/>
    </row>
    <row r="47">
      <c r="A47" s="378" t="s">
        <v>835</v>
      </c>
      <c r="B47" s="378" t="s">
        <v>1068</v>
      </c>
      <c r="C47" s="378" t="s">
        <v>1198</v>
      </c>
      <c r="D47" s="379" t="s">
        <v>1199</v>
      </c>
      <c r="E47" s="383">
        <v>26100.09</v>
      </c>
      <c r="F47" s="383">
        <f t="shared" si="8"/>
        <v>23945.0367</v>
      </c>
      <c r="G47" s="414">
        <f t="shared" si="9"/>
        <v>4817.914828</v>
      </c>
      <c r="H47" s="382"/>
      <c r="I47" s="416"/>
      <c r="J47" s="417"/>
      <c r="K47" s="417"/>
      <c r="L47" s="384"/>
      <c r="M47" s="378"/>
      <c r="N47" s="397"/>
      <c r="O47" s="397"/>
      <c r="P47" s="397"/>
      <c r="Q47" s="397"/>
      <c r="R47" s="397"/>
      <c r="S47" s="397"/>
      <c r="T47" s="397"/>
      <c r="U47" s="397"/>
      <c r="V47" s="397"/>
      <c r="W47" s="397"/>
      <c r="X47" s="376"/>
      <c r="Y47" s="376"/>
      <c r="Z47" s="377"/>
      <c r="AA47" s="377"/>
      <c r="AB47" s="377"/>
    </row>
    <row r="48">
      <c r="A48" s="378" t="s">
        <v>1149</v>
      </c>
      <c r="B48" s="378" t="s">
        <v>1068</v>
      </c>
      <c r="C48" s="390" t="s">
        <v>1200</v>
      </c>
      <c r="D48" s="379" t="s">
        <v>1201</v>
      </c>
      <c r="E48" s="383">
        <v>24000.0</v>
      </c>
      <c r="F48" s="383">
        <f t="shared" si="8"/>
        <v>22018.34862</v>
      </c>
      <c r="G48" s="414">
        <f t="shared" si="9"/>
        <v>4430.251232</v>
      </c>
      <c r="H48" s="382">
        <v>6.16</v>
      </c>
      <c r="I48" s="416"/>
      <c r="J48" s="417"/>
      <c r="K48" s="417"/>
      <c r="L48" s="384"/>
      <c r="M48" s="378" t="s">
        <v>1152</v>
      </c>
      <c r="N48" s="397"/>
      <c r="O48" s="397"/>
      <c r="P48" s="397"/>
      <c r="Q48" s="397"/>
      <c r="R48" s="397"/>
      <c r="S48" s="397"/>
      <c r="T48" s="397"/>
      <c r="U48" s="397"/>
      <c r="V48" s="397"/>
      <c r="W48" s="390" t="s">
        <v>1153</v>
      </c>
      <c r="X48" s="376"/>
      <c r="Y48" s="376"/>
      <c r="Z48" s="376"/>
      <c r="AA48" s="376"/>
      <c r="AB48" s="376"/>
    </row>
    <row r="49">
      <c r="A49" s="378" t="s">
        <v>1149</v>
      </c>
      <c r="B49" s="378" t="s">
        <v>1068</v>
      </c>
      <c r="C49" s="390" t="s">
        <v>1202</v>
      </c>
      <c r="D49" s="379" t="s">
        <v>1203</v>
      </c>
      <c r="E49" s="383">
        <v>3600.0</v>
      </c>
      <c r="F49" s="383">
        <v>2916.0</v>
      </c>
      <c r="G49" s="414">
        <v>600.0</v>
      </c>
      <c r="I49" s="416"/>
      <c r="J49" s="417"/>
      <c r="K49" s="417"/>
      <c r="L49" s="384"/>
      <c r="M49" s="378" t="s">
        <v>1152</v>
      </c>
      <c r="N49" s="397"/>
      <c r="O49" s="397"/>
      <c r="P49" s="397"/>
      <c r="Q49" s="397"/>
      <c r="R49" s="397"/>
      <c r="S49" s="397"/>
      <c r="T49" s="397"/>
      <c r="U49" s="397"/>
      <c r="V49" s="397"/>
      <c r="W49" s="390" t="s">
        <v>1204</v>
      </c>
      <c r="X49" s="376"/>
      <c r="Y49" s="376"/>
      <c r="Z49" s="376"/>
      <c r="AA49" s="376"/>
      <c r="AB49" s="376"/>
    </row>
    <row r="50">
      <c r="A50" s="378" t="s">
        <v>1086</v>
      </c>
      <c r="B50" s="378" t="s">
        <v>1068</v>
      </c>
      <c r="C50" s="390" t="s">
        <v>1205</v>
      </c>
      <c r="D50" s="379" t="s">
        <v>1206</v>
      </c>
      <c r="E50" s="383">
        <v>36416.3</v>
      </c>
      <c r="F50" s="383">
        <f t="shared" ref="F50:F52" si="10">E50/1.19</f>
        <v>30601.93277</v>
      </c>
      <c r="G50" s="414">
        <f t="shared" ref="G50:G52" si="11">F50/4.97</f>
        <v>6157.330538</v>
      </c>
      <c r="H50" s="382">
        <v>6.16</v>
      </c>
      <c r="I50" s="418">
        <v>25491.41</v>
      </c>
      <c r="J50" s="417"/>
      <c r="K50" s="417"/>
      <c r="L50" s="384" t="s">
        <v>1207</v>
      </c>
      <c r="M50" s="378"/>
      <c r="N50" s="397"/>
      <c r="O50" s="397"/>
      <c r="P50" s="397"/>
      <c r="Q50" s="397"/>
      <c r="R50" s="397"/>
      <c r="S50" s="397"/>
      <c r="T50" s="397"/>
      <c r="U50" s="397"/>
      <c r="V50" s="397"/>
      <c r="W50" s="390" t="s">
        <v>1208</v>
      </c>
      <c r="X50" s="376"/>
      <c r="Y50" s="376"/>
      <c r="Z50" s="377"/>
      <c r="AA50" s="377"/>
      <c r="AB50" s="377"/>
    </row>
    <row r="51">
      <c r="A51" s="378" t="s">
        <v>1086</v>
      </c>
      <c r="B51" s="378" t="s">
        <v>1068</v>
      </c>
      <c r="C51" s="390" t="s">
        <v>1209</v>
      </c>
      <c r="D51" s="379" t="s">
        <v>1210</v>
      </c>
      <c r="E51" s="383">
        <v>35530.07</v>
      </c>
      <c r="F51" s="383">
        <f t="shared" si="10"/>
        <v>29857.20168</v>
      </c>
      <c r="G51" s="414">
        <f t="shared" si="11"/>
        <v>6007.485248</v>
      </c>
      <c r="H51" s="382">
        <v>7.04</v>
      </c>
      <c r="I51" s="418">
        <v>25151.04</v>
      </c>
      <c r="J51" s="417"/>
      <c r="K51" s="417"/>
      <c r="L51" s="384" t="s">
        <v>1207</v>
      </c>
      <c r="M51" s="378"/>
      <c r="N51" s="397"/>
      <c r="O51" s="397"/>
      <c r="P51" s="397"/>
      <c r="Q51" s="397"/>
      <c r="R51" s="397"/>
      <c r="S51" s="397"/>
      <c r="T51" s="397"/>
      <c r="U51" s="397"/>
      <c r="V51" s="397"/>
      <c r="W51" s="390" t="s">
        <v>1208</v>
      </c>
      <c r="X51" s="376"/>
      <c r="Y51" s="376"/>
      <c r="Z51" s="377"/>
      <c r="AA51" s="377"/>
      <c r="AB51" s="377"/>
    </row>
    <row r="52">
      <c r="A52" s="378" t="s">
        <v>1086</v>
      </c>
      <c r="B52" s="378" t="s">
        <v>1068</v>
      </c>
      <c r="C52" s="390" t="s">
        <v>1211</v>
      </c>
      <c r="D52" s="379" t="s">
        <v>1212</v>
      </c>
      <c r="E52" s="383">
        <v>35214.4</v>
      </c>
      <c r="F52" s="383">
        <f t="shared" si="10"/>
        <v>29591.93277</v>
      </c>
      <c r="G52" s="414">
        <f t="shared" si="11"/>
        <v>5954.111222</v>
      </c>
      <c r="H52" s="382">
        <v>6.6</v>
      </c>
      <c r="I52" s="418">
        <v>24650.08</v>
      </c>
      <c r="J52" s="417"/>
      <c r="K52" s="417"/>
      <c r="L52" s="384" t="s">
        <v>352</v>
      </c>
      <c r="M52" s="378"/>
      <c r="N52" s="397"/>
      <c r="O52" s="397"/>
      <c r="P52" s="397"/>
      <c r="Q52" s="397"/>
      <c r="R52" s="397"/>
      <c r="S52" s="397"/>
      <c r="T52" s="397"/>
      <c r="U52" s="397"/>
      <c r="V52" s="397"/>
      <c r="W52" s="390" t="s">
        <v>1213</v>
      </c>
      <c r="X52" s="376"/>
      <c r="Y52" s="376"/>
      <c r="Z52" s="377"/>
      <c r="AA52" s="377"/>
      <c r="AB52" s="377"/>
    </row>
    <row r="53">
      <c r="A53" s="378" t="s">
        <v>1020</v>
      </c>
      <c r="B53" s="378" t="s">
        <v>1068</v>
      </c>
      <c r="C53" s="390" t="s">
        <v>1214</v>
      </c>
      <c r="D53" s="379" t="s">
        <v>1215</v>
      </c>
      <c r="E53" s="383">
        <v>0.0</v>
      </c>
      <c r="F53" s="383"/>
      <c r="G53" s="414"/>
      <c r="H53" s="382"/>
      <c r="I53" s="416"/>
      <c r="J53" s="417"/>
      <c r="K53" s="417"/>
      <c r="L53" s="384"/>
      <c r="M53" s="378"/>
      <c r="N53" s="397"/>
      <c r="O53" s="397"/>
      <c r="P53" s="397"/>
      <c r="Q53" s="397"/>
      <c r="R53" s="397"/>
      <c r="S53" s="397"/>
      <c r="T53" s="397"/>
      <c r="U53" s="397"/>
      <c r="V53" s="397"/>
      <c r="W53" s="390" t="s">
        <v>1216</v>
      </c>
      <c r="X53" s="376"/>
      <c r="Y53" s="376"/>
      <c r="Z53" s="377"/>
      <c r="AA53" s="377"/>
      <c r="AB53" s="377"/>
    </row>
    <row r="54">
      <c r="A54" s="378" t="s">
        <v>835</v>
      </c>
      <c r="B54" s="378" t="s">
        <v>1068</v>
      </c>
      <c r="C54" s="390" t="s">
        <v>1217</v>
      </c>
      <c r="D54" s="379" t="s">
        <v>1218</v>
      </c>
      <c r="E54" s="383">
        <v>131125.0</v>
      </c>
      <c r="F54" s="383">
        <f>E54/1.09</f>
        <v>120298.1651</v>
      </c>
      <c r="G54" s="414">
        <v>1800.0</v>
      </c>
      <c r="H54" s="382"/>
      <c r="I54" s="416"/>
      <c r="J54" s="417"/>
      <c r="K54" s="417"/>
      <c r="L54" s="384"/>
      <c r="M54" s="378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76"/>
      <c r="Y54" s="376"/>
      <c r="Z54" s="377"/>
      <c r="AA54" s="377"/>
      <c r="AB54" s="377"/>
    </row>
    <row r="55">
      <c r="A55" s="378" t="s">
        <v>145</v>
      </c>
      <c r="B55" s="378" t="s">
        <v>1068</v>
      </c>
      <c r="C55" s="390" t="s">
        <v>1219</v>
      </c>
      <c r="D55" s="379" t="s">
        <v>1220</v>
      </c>
      <c r="E55" s="383">
        <v>34200.0</v>
      </c>
      <c r="F55" s="383">
        <v>31376.0</v>
      </c>
      <c r="G55" s="414">
        <v>6313.0</v>
      </c>
      <c r="H55" s="382">
        <v>6.16</v>
      </c>
      <c r="I55" s="416"/>
      <c r="J55" s="417"/>
      <c r="K55" s="417"/>
      <c r="L55" s="384" t="s">
        <v>1221</v>
      </c>
      <c r="M55" s="378" t="s">
        <v>1006</v>
      </c>
      <c r="N55" s="397"/>
      <c r="O55" s="397"/>
      <c r="P55" s="397"/>
      <c r="Q55" s="397"/>
      <c r="R55" s="397"/>
      <c r="S55" s="397"/>
      <c r="T55" s="397"/>
      <c r="U55" s="397"/>
      <c r="V55" s="397"/>
      <c r="W55" s="390" t="s">
        <v>1222</v>
      </c>
      <c r="X55" s="376"/>
      <c r="Y55" s="376"/>
      <c r="Z55" s="377"/>
      <c r="AA55" s="377"/>
      <c r="AB55" s="377"/>
    </row>
    <row r="56">
      <c r="A56" s="378" t="s">
        <v>835</v>
      </c>
      <c r="B56" s="378" t="s">
        <v>1068</v>
      </c>
      <c r="C56" s="390" t="s">
        <v>1223</v>
      </c>
      <c r="D56" s="379" t="s">
        <v>1224</v>
      </c>
      <c r="E56" s="383">
        <v>29741.0</v>
      </c>
      <c r="F56" s="383">
        <f t="shared" ref="F56:F59" si="12">E56/1.09</f>
        <v>27285.3211</v>
      </c>
      <c r="G56" s="414">
        <v>5490.0</v>
      </c>
      <c r="H56" s="382"/>
      <c r="I56" s="408"/>
      <c r="J56" s="397"/>
      <c r="K56" s="397"/>
      <c r="L56" s="384"/>
      <c r="M56" s="378"/>
      <c r="N56" s="397"/>
      <c r="O56" s="397"/>
      <c r="P56" s="397"/>
      <c r="Q56" s="397"/>
      <c r="R56" s="397"/>
      <c r="S56" s="397"/>
      <c r="T56" s="397"/>
      <c r="U56" s="397"/>
      <c r="V56" s="397"/>
      <c r="W56" s="397"/>
      <c r="X56" s="376"/>
      <c r="Y56" s="376"/>
      <c r="Z56" s="377"/>
      <c r="AA56" s="377"/>
      <c r="AB56" s="377"/>
    </row>
    <row r="57">
      <c r="A57" s="378" t="s">
        <v>835</v>
      </c>
      <c r="B57" s="378" t="s">
        <v>1072</v>
      </c>
      <c r="C57" s="390" t="s">
        <v>1225</v>
      </c>
      <c r="D57" s="379" t="s">
        <v>1226</v>
      </c>
      <c r="E57" s="383">
        <v>36510.99</v>
      </c>
      <c r="F57" s="383">
        <f t="shared" si="12"/>
        <v>33496.3211</v>
      </c>
      <c r="G57" s="414">
        <v>6740.0</v>
      </c>
      <c r="H57" s="382"/>
      <c r="I57" s="408"/>
      <c r="J57" s="397"/>
      <c r="K57" s="397"/>
      <c r="L57" s="384"/>
      <c r="M57" s="378"/>
      <c r="N57" s="397"/>
      <c r="O57" s="397"/>
      <c r="P57" s="397"/>
      <c r="Q57" s="397"/>
      <c r="R57" s="397"/>
      <c r="S57" s="397"/>
      <c r="T57" s="397"/>
      <c r="U57" s="397"/>
      <c r="V57" s="397"/>
      <c r="W57" s="397"/>
      <c r="X57" s="376"/>
      <c r="Y57" s="376"/>
      <c r="Z57" s="377"/>
      <c r="AA57" s="377"/>
      <c r="AB57" s="377"/>
    </row>
    <row r="58">
      <c r="A58" s="378" t="s">
        <v>835</v>
      </c>
      <c r="B58" s="378" t="s">
        <v>1072</v>
      </c>
      <c r="C58" s="390" t="s">
        <v>1227</v>
      </c>
      <c r="D58" s="379" t="s">
        <v>1228</v>
      </c>
      <c r="E58" s="383">
        <v>54919.75</v>
      </c>
      <c r="F58" s="383">
        <f t="shared" si="12"/>
        <v>50385.09174</v>
      </c>
      <c r="G58" s="414">
        <v>10135.0</v>
      </c>
      <c r="H58" s="382"/>
      <c r="I58" s="408"/>
      <c r="J58" s="397"/>
      <c r="K58" s="397"/>
      <c r="L58" s="384"/>
      <c r="M58" s="378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76"/>
      <c r="Y58" s="376"/>
      <c r="Z58" s="377"/>
      <c r="AA58" s="377"/>
      <c r="AB58" s="377"/>
    </row>
    <row r="59" ht="23.25" customHeight="1">
      <c r="A59" s="378" t="s">
        <v>1149</v>
      </c>
      <c r="B59" s="378" t="s">
        <v>1072</v>
      </c>
      <c r="C59" s="390" t="s">
        <v>1229</v>
      </c>
      <c r="D59" s="379" t="s">
        <v>1230</v>
      </c>
      <c r="E59" s="383">
        <v>20200.0</v>
      </c>
      <c r="F59" s="383">
        <f t="shared" si="12"/>
        <v>18532.11009</v>
      </c>
      <c r="G59" s="414">
        <f t="shared" ref="G59:G61" si="13">F59/4.97</f>
        <v>3728.794787</v>
      </c>
      <c r="H59" s="382">
        <v>3.08</v>
      </c>
      <c r="I59" s="408"/>
      <c r="J59" s="397"/>
      <c r="K59" s="397"/>
      <c r="L59" s="384"/>
      <c r="M59" s="378" t="s">
        <v>1152</v>
      </c>
      <c r="N59" s="397"/>
      <c r="O59" s="397"/>
      <c r="P59" s="397"/>
      <c r="Q59" s="397"/>
      <c r="R59" s="397"/>
      <c r="S59" s="397"/>
      <c r="T59" s="397"/>
      <c r="U59" s="397"/>
      <c r="V59" s="397"/>
      <c r="W59" s="390" t="s">
        <v>1231</v>
      </c>
      <c r="X59" s="419"/>
      <c r="Y59" s="419"/>
      <c r="Z59" s="420"/>
      <c r="AA59" s="377"/>
      <c r="AB59" s="377"/>
    </row>
    <row r="60">
      <c r="A60" s="378" t="s">
        <v>1149</v>
      </c>
      <c r="B60" s="378" t="s">
        <v>1072</v>
      </c>
      <c r="C60" s="390" t="s">
        <v>1232</v>
      </c>
      <c r="D60" s="379" t="s">
        <v>1233</v>
      </c>
      <c r="E60" s="383">
        <v>29000.0</v>
      </c>
      <c r="F60" s="383">
        <f>E60/1.19</f>
        <v>24369.7479</v>
      </c>
      <c r="G60" s="414">
        <f t="shared" si="13"/>
        <v>4903.369799</v>
      </c>
      <c r="H60" s="382"/>
      <c r="I60" s="408"/>
      <c r="J60" s="397"/>
      <c r="K60" s="397"/>
      <c r="L60" s="384"/>
      <c r="M60" s="378" t="s">
        <v>1152</v>
      </c>
      <c r="N60" s="397"/>
      <c r="O60" s="397"/>
      <c r="P60" s="397"/>
      <c r="Q60" s="397"/>
      <c r="R60" s="397"/>
      <c r="S60" s="397"/>
      <c r="T60" s="397"/>
      <c r="U60" s="397"/>
      <c r="V60" s="397"/>
      <c r="W60" s="390" t="s">
        <v>1234</v>
      </c>
      <c r="X60" s="376"/>
      <c r="Y60" s="376"/>
      <c r="Z60" s="377"/>
      <c r="AA60" s="377"/>
      <c r="AB60" s="377"/>
    </row>
    <row r="61">
      <c r="A61" s="378" t="s">
        <v>1086</v>
      </c>
      <c r="B61" s="378" t="s">
        <v>1072</v>
      </c>
      <c r="C61" s="390" t="s">
        <v>1235</v>
      </c>
      <c r="D61" s="379" t="s">
        <v>1236</v>
      </c>
      <c r="E61" s="383">
        <v>36000.0</v>
      </c>
      <c r="F61" s="383">
        <f t="shared" ref="F61:F63" si="14">E61/1.09</f>
        <v>33027.52294</v>
      </c>
      <c r="G61" s="414">
        <f t="shared" si="13"/>
        <v>6645.376848</v>
      </c>
      <c r="H61" s="382">
        <v>6.16</v>
      </c>
      <c r="I61" s="408"/>
      <c r="J61" s="397"/>
      <c r="K61" s="397"/>
      <c r="L61" s="384" t="s">
        <v>1237</v>
      </c>
      <c r="M61" s="378"/>
      <c r="N61" s="397"/>
      <c r="O61" s="397"/>
      <c r="P61" s="397"/>
      <c r="Q61" s="397"/>
      <c r="R61" s="397"/>
      <c r="S61" s="397"/>
      <c r="T61" s="397"/>
      <c r="U61" s="397"/>
      <c r="V61" s="397"/>
      <c r="W61" s="397"/>
      <c r="X61" s="376"/>
      <c r="Y61" s="376"/>
      <c r="Z61" s="377"/>
      <c r="AA61" s="377"/>
      <c r="AB61" s="377"/>
    </row>
    <row r="62">
      <c r="A62" s="378" t="s">
        <v>145</v>
      </c>
      <c r="B62" s="378" t="s">
        <v>1072</v>
      </c>
      <c r="C62" s="390" t="s">
        <v>1238</v>
      </c>
      <c r="D62" s="379" t="s">
        <v>1239</v>
      </c>
      <c r="E62" s="383">
        <v>34072.0</v>
      </c>
      <c r="F62" s="383">
        <f t="shared" si="14"/>
        <v>31258.7156</v>
      </c>
      <c r="G62" s="414">
        <v>6845.85</v>
      </c>
      <c r="H62" s="382">
        <v>6.16</v>
      </c>
      <c r="I62" s="408"/>
      <c r="J62" s="397"/>
      <c r="K62" s="397"/>
      <c r="L62" s="384" t="s">
        <v>1240</v>
      </c>
      <c r="M62" s="378" t="s">
        <v>1006</v>
      </c>
      <c r="N62" s="397"/>
      <c r="O62" s="397"/>
      <c r="P62" s="397"/>
      <c r="Q62" s="397"/>
      <c r="R62" s="397"/>
      <c r="S62" s="397"/>
      <c r="T62" s="397"/>
      <c r="U62" s="397"/>
      <c r="V62" s="397"/>
      <c r="W62" s="390" t="s">
        <v>1241</v>
      </c>
      <c r="X62" s="376"/>
      <c r="Y62" s="376"/>
      <c r="Z62" s="377"/>
      <c r="AA62" s="377"/>
      <c r="AB62" s="377"/>
    </row>
    <row r="63">
      <c r="A63" s="378" t="s">
        <v>145</v>
      </c>
      <c r="B63" s="378" t="s">
        <v>1072</v>
      </c>
      <c r="C63" s="390" t="s">
        <v>1242</v>
      </c>
      <c r="D63" s="379" t="s">
        <v>1243</v>
      </c>
      <c r="E63" s="383">
        <v>35712.0</v>
      </c>
      <c r="F63" s="383">
        <f t="shared" si="14"/>
        <v>32763.30275</v>
      </c>
      <c r="G63" s="414">
        <v>7175.37</v>
      </c>
      <c r="H63" s="382">
        <v>6.16</v>
      </c>
      <c r="I63" s="408"/>
      <c r="J63" s="397"/>
      <c r="K63" s="397"/>
      <c r="L63" s="384" t="s">
        <v>1240</v>
      </c>
      <c r="M63" s="378" t="s">
        <v>1006</v>
      </c>
      <c r="N63" s="397"/>
      <c r="O63" s="397"/>
      <c r="P63" s="397"/>
      <c r="Q63" s="397"/>
      <c r="R63" s="397"/>
      <c r="S63" s="397"/>
      <c r="T63" s="397"/>
      <c r="U63" s="397"/>
      <c r="V63" s="397"/>
      <c r="W63" s="390" t="s">
        <v>1241</v>
      </c>
      <c r="X63" s="376"/>
      <c r="Y63" s="376"/>
      <c r="Z63" s="377"/>
      <c r="AA63" s="377"/>
      <c r="AB63" s="377"/>
    </row>
    <row r="64">
      <c r="A64" s="378" t="s">
        <v>826</v>
      </c>
      <c r="B64" s="378" t="s">
        <v>1072</v>
      </c>
      <c r="C64" s="390" t="s">
        <v>1244</v>
      </c>
      <c r="D64" s="379" t="s">
        <v>1245</v>
      </c>
      <c r="E64" s="383">
        <v>39760.0</v>
      </c>
      <c r="F64" s="383">
        <v>35287.0</v>
      </c>
      <c r="G64" s="414">
        <v>7100.0</v>
      </c>
      <c r="H64" s="382">
        <v>10.56</v>
      </c>
      <c r="I64" s="408"/>
      <c r="J64" s="397"/>
      <c r="K64" s="397"/>
      <c r="L64" s="384"/>
      <c r="M64" s="378"/>
      <c r="N64" s="397"/>
      <c r="O64" s="397"/>
      <c r="P64" s="397"/>
      <c r="Q64" s="397"/>
      <c r="R64" s="397"/>
      <c r="S64" s="397"/>
      <c r="T64" s="397"/>
      <c r="U64" s="397"/>
      <c r="V64" s="397"/>
      <c r="W64" s="397"/>
      <c r="X64" s="376"/>
      <c r="Y64" s="376"/>
      <c r="Z64" s="377"/>
      <c r="AA64" s="377"/>
      <c r="AB64" s="377"/>
    </row>
    <row r="65">
      <c r="A65" s="378" t="s">
        <v>826</v>
      </c>
      <c r="B65" s="378" t="s">
        <v>1072</v>
      </c>
      <c r="C65" s="390" t="s">
        <v>1246</v>
      </c>
      <c r="D65" s="379" t="s">
        <v>1247</v>
      </c>
      <c r="E65" s="383">
        <v>79520.0</v>
      </c>
      <c r="F65" s="383">
        <v>71400.0</v>
      </c>
      <c r="G65" s="414">
        <v>14370.0</v>
      </c>
      <c r="H65" s="421">
        <v>26.84</v>
      </c>
      <c r="I65" s="408"/>
      <c r="J65" s="397"/>
      <c r="K65" s="397"/>
      <c r="L65" s="384"/>
      <c r="M65" s="378"/>
      <c r="N65" s="397"/>
      <c r="O65" s="397"/>
      <c r="P65" s="397"/>
      <c r="Q65" s="397"/>
      <c r="R65" s="397"/>
      <c r="S65" s="397"/>
      <c r="T65" s="397"/>
      <c r="U65" s="397"/>
      <c r="V65" s="397"/>
      <c r="W65" s="397"/>
      <c r="X65" s="376"/>
      <c r="Y65" s="376"/>
      <c r="Z65" s="377"/>
      <c r="AA65" s="377"/>
      <c r="AB65" s="377"/>
    </row>
    <row r="66">
      <c r="A66" s="378" t="s">
        <v>835</v>
      </c>
      <c r="B66" s="378" t="s">
        <v>1072</v>
      </c>
      <c r="C66" s="390" t="s">
        <v>1248</v>
      </c>
      <c r="D66" s="379" t="s">
        <v>1249</v>
      </c>
      <c r="E66" s="383">
        <v>36240.0</v>
      </c>
      <c r="F66" s="383">
        <f t="shared" ref="F66:F68" si="15">E66/1.19</f>
        <v>30453.78151</v>
      </c>
      <c r="G66" s="414">
        <v>5082.0</v>
      </c>
      <c r="H66" s="421"/>
      <c r="I66" s="408"/>
      <c r="J66" s="397"/>
      <c r="K66" s="397"/>
      <c r="L66" s="384"/>
      <c r="M66" s="378"/>
      <c r="N66" s="397"/>
      <c r="O66" s="397"/>
      <c r="P66" s="397"/>
      <c r="Q66" s="397"/>
      <c r="R66" s="397"/>
      <c r="S66" s="397"/>
      <c r="T66" s="397"/>
      <c r="U66" s="397"/>
      <c r="V66" s="397"/>
      <c r="W66" s="397"/>
      <c r="X66" s="376"/>
      <c r="Y66" s="376"/>
      <c r="Z66" s="377"/>
      <c r="AA66" s="377"/>
      <c r="AB66" s="377"/>
    </row>
    <row r="67">
      <c r="A67" s="378" t="s">
        <v>835</v>
      </c>
      <c r="B67" s="378" t="s">
        <v>1072</v>
      </c>
      <c r="C67" s="390" t="s">
        <v>1250</v>
      </c>
      <c r="D67" s="379" t="s">
        <v>1251</v>
      </c>
      <c r="E67" s="383">
        <v>61353.71</v>
      </c>
      <c r="F67" s="383">
        <f t="shared" si="15"/>
        <v>51557.7395</v>
      </c>
      <c r="G67" s="414">
        <f t="shared" ref="G67:G77" si="16">F67/4.97</f>
        <v>10373.79064</v>
      </c>
      <c r="H67" s="421"/>
      <c r="I67" s="408"/>
      <c r="J67" s="397"/>
      <c r="K67" s="397"/>
      <c r="L67" s="384"/>
      <c r="M67" s="378"/>
      <c r="N67" s="397"/>
      <c r="O67" s="397"/>
      <c r="P67" s="397"/>
      <c r="Q67" s="397"/>
      <c r="R67" s="397"/>
      <c r="S67" s="397"/>
      <c r="T67" s="397"/>
      <c r="U67" s="397"/>
      <c r="V67" s="397"/>
      <c r="W67" s="397"/>
      <c r="X67" s="376"/>
      <c r="Y67" s="376"/>
      <c r="Z67" s="377"/>
      <c r="AA67" s="377"/>
      <c r="AB67" s="377"/>
    </row>
    <row r="68">
      <c r="A68" s="378" t="s">
        <v>835</v>
      </c>
      <c r="B68" s="378" t="s">
        <v>1072</v>
      </c>
      <c r="C68" s="390" t="s">
        <v>1252</v>
      </c>
      <c r="D68" s="379" t="s">
        <v>1253</v>
      </c>
      <c r="E68" s="383">
        <v>37446.47</v>
      </c>
      <c r="F68" s="383">
        <f t="shared" si="15"/>
        <v>31467.62185</v>
      </c>
      <c r="G68" s="414">
        <f t="shared" si="16"/>
        <v>6331.51345</v>
      </c>
      <c r="H68" s="421"/>
      <c r="I68" s="408"/>
      <c r="J68" s="397"/>
      <c r="K68" s="397"/>
      <c r="L68" s="384"/>
      <c r="M68" s="378"/>
      <c r="N68" s="397"/>
      <c r="O68" s="397"/>
      <c r="P68" s="397"/>
      <c r="Q68" s="397"/>
      <c r="R68" s="397"/>
      <c r="S68" s="397"/>
      <c r="T68" s="397"/>
      <c r="U68" s="397"/>
      <c r="V68" s="397"/>
      <c r="W68" s="397"/>
      <c r="X68" s="376"/>
      <c r="Y68" s="376"/>
      <c r="Z68" s="377"/>
      <c r="AA68" s="377"/>
      <c r="AB68" s="377"/>
    </row>
    <row r="69">
      <c r="A69" s="378" t="s">
        <v>1086</v>
      </c>
      <c r="B69" s="390" t="s">
        <v>1072</v>
      </c>
      <c r="C69" s="390" t="s">
        <v>1254</v>
      </c>
      <c r="D69" s="379" t="s">
        <v>1255</v>
      </c>
      <c r="E69" s="383">
        <v>32000.0</v>
      </c>
      <c r="F69" s="383">
        <f t="shared" ref="F69:F73" si="17">E69/1.09</f>
        <v>29357.79817</v>
      </c>
      <c r="G69" s="414">
        <f t="shared" si="16"/>
        <v>5907.001643</v>
      </c>
      <c r="H69" s="421">
        <v>7.92</v>
      </c>
      <c r="I69" s="408"/>
      <c r="J69" s="397"/>
      <c r="K69" s="397"/>
      <c r="L69" s="384" t="s">
        <v>1256</v>
      </c>
      <c r="M69" s="378"/>
      <c r="N69" s="397"/>
      <c r="O69" s="397"/>
      <c r="P69" s="397"/>
      <c r="Q69" s="397"/>
      <c r="R69" s="397"/>
      <c r="S69" s="397"/>
      <c r="T69" s="397"/>
      <c r="U69" s="397"/>
      <c r="V69" s="397"/>
      <c r="W69" s="397"/>
      <c r="X69" s="376"/>
      <c r="Y69" s="376"/>
      <c r="Z69" s="377"/>
      <c r="AA69" s="377"/>
      <c r="AB69" s="377"/>
    </row>
    <row r="70">
      <c r="A70" s="390" t="s">
        <v>1149</v>
      </c>
      <c r="B70" s="390" t="s">
        <v>1072</v>
      </c>
      <c r="C70" s="390" t="s">
        <v>1257</v>
      </c>
      <c r="D70" s="379" t="s">
        <v>1258</v>
      </c>
      <c r="E70" s="383">
        <v>1500.0</v>
      </c>
      <c r="F70" s="383">
        <f t="shared" si="17"/>
        <v>1376.146789</v>
      </c>
      <c r="G70" s="414">
        <f t="shared" si="16"/>
        <v>276.890702</v>
      </c>
      <c r="H70" s="421"/>
      <c r="I70" s="408"/>
      <c r="J70" s="397"/>
      <c r="K70" s="397"/>
      <c r="L70" s="384"/>
      <c r="M70" s="378" t="s">
        <v>1152</v>
      </c>
      <c r="N70" s="397"/>
      <c r="O70" s="397"/>
      <c r="P70" s="397"/>
      <c r="Q70" s="397"/>
      <c r="R70" s="397"/>
      <c r="S70" s="397"/>
      <c r="T70" s="397"/>
      <c r="U70" s="397"/>
      <c r="V70" s="397"/>
      <c r="W70" s="390" t="s">
        <v>1259</v>
      </c>
      <c r="X70" s="376"/>
      <c r="Y70" s="376"/>
      <c r="Z70" s="377"/>
      <c r="AA70" s="377"/>
      <c r="AB70" s="377"/>
    </row>
    <row r="71">
      <c r="A71" s="390" t="s">
        <v>1149</v>
      </c>
      <c r="B71" s="390" t="s">
        <v>1072</v>
      </c>
      <c r="C71" s="390" t="s">
        <v>1260</v>
      </c>
      <c r="D71" s="379" t="s">
        <v>1261</v>
      </c>
      <c r="E71" s="383">
        <v>19000.0</v>
      </c>
      <c r="F71" s="383">
        <f t="shared" si="17"/>
        <v>17431.19266</v>
      </c>
      <c r="G71" s="414">
        <f t="shared" si="16"/>
        <v>3507.282225</v>
      </c>
      <c r="H71" s="421"/>
      <c r="I71" s="408"/>
      <c r="J71" s="397"/>
      <c r="K71" s="397"/>
      <c r="L71" s="384"/>
      <c r="M71" s="378" t="s">
        <v>1152</v>
      </c>
      <c r="N71" s="397"/>
      <c r="O71" s="397"/>
      <c r="P71" s="397"/>
      <c r="Q71" s="397"/>
      <c r="R71" s="397"/>
      <c r="S71" s="397"/>
      <c r="T71" s="397"/>
      <c r="U71" s="397"/>
      <c r="V71" s="397"/>
      <c r="W71" s="390" t="s">
        <v>1262</v>
      </c>
      <c r="X71" s="376"/>
      <c r="Y71" s="376"/>
      <c r="Z71" s="376"/>
      <c r="AA71" s="376"/>
      <c r="AB71" s="376"/>
    </row>
    <row r="72" ht="20.25" customHeight="1">
      <c r="A72" s="390" t="s">
        <v>1086</v>
      </c>
      <c r="B72" s="390" t="s">
        <v>1072</v>
      </c>
      <c r="C72" s="390" t="s">
        <v>1263</v>
      </c>
      <c r="D72" s="379" t="s">
        <v>1264</v>
      </c>
      <c r="E72" s="383">
        <v>42960.95</v>
      </c>
      <c r="F72" s="383">
        <f t="shared" si="17"/>
        <v>39413.7156</v>
      </c>
      <c r="G72" s="414">
        <f t="shared" si="16"/>
        <v>7930.32507</v>
      </c>
      <c r="H72" s="421">
        <v>8.8</v>
      </c>
      <c r="I72" s="422"/>
      <c r="J72" s="423"/>
      <c r="K72" s="423"/>
      <c r="L72" s="384" t="s">
        <v>1265</v>
      </c>
      <c r="M72" s="378"/>
      <c r="N72" s="423"/>
      <c r="O72" s="423"/>
      <c r="P72" s="423"/>
      <c r="Q72" s="423"/>
      <c r="R72" s="423"/>
      <c r="S72" s="423"/>
      <c r="T72" s="423"/>
      <c r="U72" s="423"/>
      <c r="V72" s="423"/>
      <c r="W72" s="424" t="s">
        <v>1266</v>
      </c>
      <c r="X72" s="377"/>
      <c r="Y72" s="377"/>
      <c r="Z72" s="377"/>
      <c r="AA72" s="377"/>
      <c r="AB72" s="377"/>
    </row>
    <row r="73">
      <c r="A73" s="390" t="s">
        <v>1086</v>
      </c>
      <c r="B73" s="390" t="s">
        <v>1072</v>
      </c>
      <c r="C73" s="390" t="s">
        <v>1267</v>
      </c>
      <c r="D73" s="379" t="s">
        <v>1268</v>
      </c>
      <c r="E73" s="383">
        <v>23977.45</v>
      </c>
      <c r="F73" s="383">
        <f t="shared" si="17"/>
        <v>21997.66055</v>
      </c>
      <c r="G73" s="414">
        <f t="shared" si="16"/>
        <v>4426.088642</v>
      </c>
      <c r="H73" s="421">
        <v>4.4</v>
      </c>
      <c r="I73" s="422"/>
      <c r="J73" s="423"/>
      <c r="K73" s="423"/>
      <c r="L73" s="384" t="s">
        <v>1265</v>
      </c>
      <c r="M73" s="378"/>
      <c r="N73" s="423"/>
      <c r="O73" s="423"/>
      <c r="P73" s="423"/>
      <c r="Q73" s="423"/>
      <c r="R73" s="423"/>
      <c r="S73" s="423"/>
      <c r="T73" s="423"/>
      <c r="U73" s="423"/>
      <c r="V73" s="423"/>
      <c r="W73" s="424" t="s">
        <v>1269</v>
      </c>
      <c r="X73" s="377"/>
      <c r="Y73" s="377"/>
      <c r="Z73" s="377"/>
      <c r="AA73" s="377"/>
      <c r="AB73" s="377"/>
    </row>
    <row r="74">
      <c r="A74" s="390" t="s">
        <v>835</v>
      </c>
      <c r="B74" s="390" t="s">
        <v>1072</v>
      </c>
      <c r="C74" s="390" t="s">
        <v>1270</v>
      </c>
      <c r="D74" s="379" t="s">
        <v>1271</v>
      </c>
      <c r="E74" s="383">
        <v>47306.48</v>
      </c>
      <c r="F74" s="383">
        <f>E74/1.19</f>
        <v>39753.34454</v>
      </c>
      <c r="G74" s="414">
        <f t="shared" si="16"/>
        <v>7998.660873</v>
      </c>
      <c r="H74" s="421">
        <v>9.68</v>
      </c>
      <c r="I74" s="422"/>
      <c r="J74" s="423"/>
      <c r="K74" s="423"/>
      <c r="L74" s="384"/>
      <c r="M74" s="378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377"/>
      <c r="Y74" s="377"/>
      <c r="Z74" s="377"/>
      <c r="AA74" s="377"/>
      <c r="AB74" s="377"/>
    </row>
    <row r="75">
      <c r="A75" s="390" t="s">
        <v>835</v>
      </c>
      <c r="B75" s="390" t="s">
        <v>1072</v>
      </c>
      <c r="C75" s="390" t="s">
        <v>1272</v>
      </c>
      <c r="D75" s="379" t="s">
        <v>1273</v>
      </c>
      <c r="E75" s="383">
        <v>19182.0</v>
      </c>
      <c r="F75" s="383">
        <f t="shared" ref="F75:F77" si="18">E75/1.09</f>
        <v>17598.16514</v>
      </c>
      <c r="G75" s="414">
        <f t="shared" si="16"/>
        <v>3540.878297</v>
      </c>
      <c r="H75" s="421">
        <v>6.6</v>
      </c>
      <c r="I75" s="422"/>
      <c r="J75" s="423"/>
      <c r="K75" s="423"/>
      <c r="L75" s="384"/>
      <c r="M75" s="378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377"/>
      <c r="Y75" s="377"/>
      <c r="Z75" s="377"/>
      <c r="AA75" s="377"/>
      <c r="AB75" s="377"/>
    </row>
    <row r="76">
      <c r="A76" s="390" t="s">
        <v>835</v>
      </c>
      <c r="B76" s="390" t="s">
        <v>1072</v>
      </c>
      <c r="C76" s="390" t="s">
        <v>1274</v>
      </c>
      <c r="D76" s="379" t="s">
        <v>1275</v>
      </c>
      <c r="E76" s="383">
        <v>23551.0</v>
      </c>
      <c r="F76" s="383">
        <f t="shared" si="18"/>
        <v>21606.42202</v>
      </c>
      <c r="G76" s="414">
        <f t="shared" si="16"/>
        <v>4347.368615</v>
      </c>
      <c r="H76" s="421">
        <v>4.4</v>
      </c>
      <c r="I76" s="422"/>
      <c r="J76" s="423"/>
      <c r="K76" s="423"/>
      <c r="L76" s="384"/>
      <c r="M76" s="378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377"/>
      <c r="Y76" s="377"/>
      <c r="Z76" s="377"/>
      <c r="AA76" s="377"/>
      <c r="AB76" s="377"/>
    </row>
    <row r="77">
      <c r="A77" s="390" t="s">
        <v>1149</v>
      </c>
      <c r="B77" s="390" t="s">
        <v>1072</v>
      </c>
      <c r="C77" s="390" t="s">
        <v>1276</v>
      </c>
      <c r="D77" s="379" t="s">
        <v>1258</v>
      </c>
      <c r="E77" s="383">
        <v>27400.0</v>
      </c>
      <c r="F77" s="383">
        <f t="shared" si="18"/>
        <v>25137.61468</v>
      </c>
      <c r="G77" s="414">
        <f t="shared" si="16"/>
        <v>5057.870157</v>
      </c>
      <c r="H77" s="421">
        <v>6.16</v>
      </c>
      <c r="I77" s="422"/>
      <c r="J77" s="423"/>
      <c r="K77" s="423"/>
      <c r="L77" s="384"/>
      <c r="M77" s="378" t="s">
        <v>1152</v>
      </c>
      <c r="N77" s="423"/>
      <c r="O77" s="423"/>
      <c r="P77" s="423"/>
      <c r="Q77" s="423"/>
      <c r="R77" s="423"/>
      <c r="S77" s="423"/>
      <c r="T77" s="423"/>
      <c r="U77" s="423"/>
      <c r="V77" s="423"/>
      <c r="W77" s="424" t="s">
        <v>1277</v>
      </c>
      <c r="X77" s="377"/>
      <c r="Y77" s="377"/>
      <c r="Z77" s="377"/>
      <c r="AA77" s="377"/>
      <c r="AB77" s="377"/>
    </row>
    <row r="78">
      <c r="A78" s="390" t="s">
        <v>145</v>
      </c>
      <c r="B78" s="390" t="s">
        <v>1072</v>
      </c>
      <c r="C78" s="390" t="s">
        <v>1278</v>
      </c>
      <c r="D78" s="379" t="s">
        <v>1279</v>
      </c>
      <c r="E78" s="425" t="s">
        <v>369</v>
      </c>
      <c r="F78" s="425" t="s">
        <v>369</v>
      </c>
      <c r="G78" s="425" t="s">
        <v>369</v>
      </c>
      <c r="H78" s="421">
        <v>3000.0</v>
      </c>
      <c r="I78" s="426" t="s">
        <v>369</v>
      </c>
      <c r="J78" s="424" t="s">
        <v>369</v>
      </c>
      <c r="K78" s="424" t="s">
        <v>369</v>
      </c>
      <c r="L78" s="384" t="s">
        <v>1216</v>
      </c>
      <c r="M78" s="378" t="s">
        <v>1006</v>
      </c>
      <c r="N78" s="423"/>
      <c r="O78" s="423"/>
      <c r="P78" s="423"/>
      <c r="Q78" s="423"/>
      <c r="R78" s="423"/>
      <c r="S78" s="423"/>
      <c r="T78" s="423"/>
      <c r="U78" s="423"/>
      <c r="V78" s="423"/>
      <c r="W78" s="423"/>
      <c r="X78" s="377"/>
      <c r="Y78" s="377"/>
      <c r="Z78" s="377"/>
      <c r="AA78" s="377"/>
      <c r="AB78" s="377"/>
    </row>
    <row r="79">
      <c r="A79" s="390" t="s">
        <v>826</v>
      </c>
      <c r="B79" s="390" t="s">
        <v>1072</v>
      </c>
      <c r="C79" s="390" t="s">
        <v>1280</v>
      </c>
      <c r="D79" s="379" t="s">
        <v>1281</v>
      </c>
      <c r="E79" s="383">
        <v>2147298.0</v>
      </c>
      <c r="F79" s="383">
        <v>1804452.0</v>
      </c>
      <c r="G79" s="414">
        <v>363069.0</v>
      </c>
      <c r="H79" s="421"/>
      <c r="I79" s="414">
        <v>36306.9</v>
      </c>
      <c r="J79" s="423"/>
      <c r="K79" s="423"/>
      <c r="L79" s="384"/>
      <c r="M79" s="378"/>
      <c r="N79" s="423"/>
      <c r="O79" s="423"/>
      <c r="P79" s="423"/>
      <c r="Q79" s="423"/>
      <c r="R79" s="423"/>
      <c r="S79" s="423"/>
      <c r="T79" s="423"/>
      <c r="U79" s="423"/>
      <c r="V79" s="423"/>
      <c r="W79" s="423"/>
      <c r="X79" s="377"/>
      <c r="Y79" s="377"/>
      <c r="Z79" s="377"/>
      <c r="AA79" s="377"/>
      <c r="AB79" s="377"/>
    </row>
    <row r="80">
      <c r="A80" s="390" t="s">
        <v>826</v>
      </c>
      <c r="B80" s="390" t="s">
        <v>1072</v>
      </c>
      <c r="C80" s="390" t="s">
        <v>1282</v>
      </c>
      <c r="D80" s="379" t="s">
        <v>1283</v>
      </c>
      <c r="E80" s="383">
        <v>2147298.0</v>
      </c>
      <c r="F80" s="383">
        <v>1804452.0</v>
      </c>
      <c r="G80" s="414">
        <v>363069.0</v>
      </c>
      <c r="H80" s="421"/>
      <c r="I80" s="414">
        <v>36306.9</v>
      </c>
      <c r="J80" s="423"/>
      <c r="K80" s="423"/>
      <c r="L80" s="384"/>
      <c r="M80" s="378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377"/>
      <c r="Y80" s="377"/>
      <c r="Z80" s="377"/>
      <c r="AA80" s="377"/>
      <c r="AB80" s="377"/>
    </row>
    <row r="81">
      <c r="A81" s="390" t="s">
        <v>145</v>
      </c>
      <c r="B81" s="390" t="s">
        <v>1076</v>
      </c>
      <c r="C81" s="390" t="s">
        <v>1284</v>
      </c>
      <c r="D81" s="379" t="s">
        <v>1160</v>
      </c>
      <c r="E81" s="383">
        <v>20935.67</v>
      </c>
      <c r="F81" s="383">
        <f>E81/1.19</f>
        <v>17593</v>
      </c>
      <c r="G81" s="414">
        <f>F81/4.97</f>
        <v>3539.839034</v>
      </c>
      <c r="H81" s="421"/>
      <c r="I81" s="422"/>
      <c r="J81" s="423"/>
      <c r="K81" s="423"/>
      <c r="L81" s="384" t="s">
        <v>1285</v>
      </c>
      <c r="M81" s="378" t="s">
        <v>1006</v>
      </c>
      <c r="N81" s="423"/>
      <c r="O81" s="423"/>
      <c r="P81" s="423"/>
      <c r="Q81" s="423"/>
      <c r="R81" s="423"/>
      <c r="S81" s="423"/>
      <c r="T81" s="423"/>
      <c r="U81" s="423"/>
      <c r="V81" s="423"/>
      <c r="W81" s="424" t="s">
        <v>1277</v>
      </c>
      <c r="X81" s="377"/>
      <c r="Y81" s="377"/>
      <c r="Z81" s="377"/>
      <c r="AA81" s="377"/>
      <c r="AB81" s="377"/>
    </row>
    <row r="82">
      <c r="A82" s="390" t="s">
        <v>145</v>
      </c>
      <c r="B82" s="390" t="s">
        <v>1076</v>
      </c>
      <c r="C82" s="390" t="s">
        <v>1286</v>
      </c>
      <c r="D82" s="379" t="s">
        <v>1287</v>
      </c>
      <c r="E82" s="383">
        <v>38165.22</v>
      </c>
      <c r="F82" s="383">
        <v>32071.61</v>
      </c>
      <c r="G82" s="414">
        <v>6453.04024144869</v>
      </c>
      <c r="H82" s="421"/>
      <c r="I82" s="422"/>
      <c r="J82" s="423"/>
      <c r="K82" s="423"/>
      <c r="L82" s="384"/>
      <c r="M82" s="378" t="s">
        <v>1006</v>
      </c>
      <c r="N82" s="423"/>
      <c r="O82" s="423"/>
      <c r="P82" s="423"/>
      <c r="Q82" s="423"/>
      <c r="R82" s="423"/>
      <c r="S82" s="423"/>
      <c r="T82" s="423"/>
      <c r="U82" s="423"/>
      <c r="V82" s="423"/>
      <c r="W82" s="424" t="s">
        <v>1277</v>
      </c>
      <c r="X82" s="377"/>
      <c r="Y82" s="377"/>
      <c r="Z82" s="377"/>
      <c r="AA82" s="377"/>
      <c r="AB82" s="377"/>
    </row>
    <row r="83">
      <c r="A83" s="390" t="s">
        <v>1149</v>
      </c>
      <c r="B83" s="390" t="s">
        <v>1076</v>
      </c>
      <c r="C83" s="390" t="s">
        <v>1288</v>
      </c>
      <c r="D83" s="379" t="s">
        <v>1289</v>
      </c>
      <c r="E83" s="383">
        <v>31000.0</v>
      </c>
      <c r="F83" s="383">
        <f>E83/1.09</f>
        <v>28440.36697</v>
      </c>
      <c r="G83" s="414">
        <f>F83/4.97</f>
        <v>5722.407842</v>
      </c>
      <c r="H83" s="421">
        <v>10.56</v>
      </c>
      <c r="I83" s="408"/>
      <c r="J83" s="397"/>
      <c r="K83" s="397"/>
      <c r="L83" s="384"/>
      <c r="M83" s="378" t="s">
        <v>1152</v>
      </c>
      <c r="N83" s="397"/>
      <c r="O83" s="397"/>
      <c r="P83" s="397"/>
      <c r="Q83" s="397"/>
      <c r="R83" s="397"/>
      <c r="S83" s="397"/>
      <c r="T83" s="397"/>
      <c r="U83" s="397"/>
      <c r="V83" s="397"/>
      <c r="W83" s="397"/>
      <c r="X83" s="376"/>
      <c r="Y83" s="376"/>
      <c r="Z83" s="376"/>
      <c r="AA83" s="376"/>
      <c r="AB83" s="376"/>
    </row>
    <row r="84">
      <c r="A84" s="390" t="s">
        <v>826</v>
      </c>
      <c r="B84" s="390" t="s">
        <v>1076</v>
      </c>
      <c r="C84" s="390" t="s">
        <v>1290</v>
      </c>
      <c r="D84" s="379" t="s">
        <v>1291</v>
      </c>
      <c r="E84" s="383">
        <v>335784.9894</v>
      </c>
      <c r="F84" s="383">
        <v>282172.26</v>
      </c>
      <c r="G84" s="414">
        <v>56775.0</v>
      </c>
      <c r="H84" s="421">
        <v>25.0</v>
      </c>
      <c r="I84" s="408"/>
      <c r="J84" s="397"/>
      <c r="K84" s="397"/>
      <c r="L84" s="384"/>
      <c r="M84" s="378"/>
      <c r="N84" s="397"/>
      <c r="O84" s="397"/>
      <c r="P84" s="397"/>
      <c r="Q84" s="397"/>
      <c r="R84" s="397"/>
      <c r="S84" s="397"/>
      <c r="T84" s="397"/>
      <c r="U84" s="397"/>
      <c r="V84" s="397"/>
      <c r="W84" s="390"/>
      <c r="X84" s="377"/>
      <c r="Y84" s="377"/>
      <c r="Z84" s="377"/>
      <c r="AA84" s="377"/>
      <c r="AB84" s="377"/>
    </row>
    <row r="85">
      <c r="A85" s="390" t="s">
        <v>826</v>
      </c>
      <c r="B85" s="390" t="s">
        <v>1076</v>
      </c>
      <c r="C85" s="390" t="s">
        <v>1292</v>
      </c>
      <c r="D85" s="427" t="s">
        <v>1118</v>
      </c>
      <c r="E85" s="383">
        <v>74317.99</v>
      </c>
      <c r="F85" s="383">
        <v>62452.09</v>
      </c>
      <c r="G85" s="414">
        <v>12247.9</v>
      </c>
      <c r="H85" s="421"/>
      <c r="I85" s="408"/>
      <c r="J85" s="397"/>
      <c r="K85" s="397"/>
      <c r="L85" s="384"/>
      <c r="M85" s="378"/>
      <c r="N85" s="397"/>
      <c r="O85" s="397"/>
      <c r="P85" s="397"/>
      <c r="Q85" s="397"/>
      <c r="R85" s="397"/>
      <c r="S85" s="397"/>
      <c r="T85" s="397"/>
      <c r="U85" s="397"/>
      <c r="V85" s="397"/>
      <c r="W85" s="390" t="s">
        <v>1293</v>
      </c>
      <c r="X85" s="376"/>
      <c r="Y85" s="376"/>
      <c r="Z85" s="376"/>
      <c r="AA85" s="376"/>
      <c r="AB85" s="376"/>
    </row>
    <row r="86">
      <c r="A86" s="390" t="s">
        <v>1149</v>
      </c>
      <c r="B86" s="390" t="s">
        <v>1076</v>
      </c>
      <c r="C86" s="390" t="s">
        <v>1294</v>
      </c>
      <c r="D86" s="427" t="s">
        <v>1203</v>
      </c>
      <c r="E86" s="383">
        <v>89000.0</v>
      </c>
      <c r="F86" s="383">
        <f t="shared" ref="F86:F87" si="19">E86/1.19</f>
        <v>74789.91597</v>
      </c>
      <c r="G86" s="414">
        <f t="shared" ref="G86:G87" si="20">F86/4.977</f>
        <v>15027.10789</v>
      </c>
      <c r="H86" s="421">
        <v>24.0</v>
      </c>
      <c r="I86" s="408"/>
      <c r="J86" s="397"/>
      <c r="K86" s="397"/>
      <c r="L86" s="428"/>
      <c r="M86" s="378" t="s">
        <v>1152</v>
      </c>
      <c r="N86" s="397"/>
      <c r="O86" s="397"/>
      <c r="P86" s="397"/>
      <c r="Q86" s="397"/>
      <c r="R86" s="397"/>
      <c r="S86" s="397"/>
      <c r="T86" s="397"/>
      <c r="U86" s="397"/>
      <c r="V86" s="397"/>
      <c r="W86" s="390" t="s">
        <v>1295</v>
      </c>
      <c r="X86" s="376"/>
      <c r="Y86" s="376"/>
      <c r="Z86" s="376"/>
      <c r="AA86" s="376"/>
      <c r="AB86" s="376"/>
    </row>
    <row r="87">
      <c r="A87" s="390" t="s">
        <v>1149</v>
      </c>
      <c r="B87" s="390" t="s">
        <v>1076</v>
      </c>
      <c r="C87" s="390" t="s">
        <v>1296</v>
      </c>
      <c r="D87" s="427" t="s">
        <v>1297</v>
      </c>
      <c r="E87" s="383">
        <v>31000.0</v>
      </c>
      <c r="F87" s="383">
        <f t="shared" si="19"/>
        <v>26050.42017</v>
      </c>
      <c r="G87" s="414">
        <f t="shared" si="20"/>
        <v>5234.161175</v>
      </c>
      <c r="H87" s="421"/>
      <c r="I87" s="408"/>
      <c r="J87" s="397"/>
      <c r="K87" s="397"/>
      <c r="L87" s="428"/>
      <c r="M87" s="378" t="s">
        <v>1152</v>
      </c>
      <c r="N87" s="397"/>
      <c r="O87" s="397"/>
      <c r="P87" s="397"/>
      <c r="Q87" s="397"/>
      <c r="R87" s="397"/>
      <c r="S87" s="397"/>
      <c r="T87" s="397"/>
      <c r="U87" s="397"/>
      <c r="V87" s="397"/>
      <c r="W87" s="390" t="s">
        <v>1298</v>
      </c>
      <c r="X87" s="376"/>
      <c r="Y87" s="376"/>
      <c r="Z87" s="376"/>
      <c r="AA87" s="376"/>
      <c r="AB87" s="376"/>
    </row>
    <row r="88">
      <c r="A88" s="390" t="s">
        <v>835</v>
      </c>
      <c r="B88" s="390" t="s">
        <v>1076</v>
      </c>
      <c r="C88" s="390" t="s">
        <v>1299</v>
      </c>
      <c r="D88" s="427" t="s">
        <v>1300</v>
      </c>
      <c r="E88" s="383">
        <v>11564.0</v>
      </c>
      <c r="F88" s="383">
        <v>10609.24</v>
      </c>
      <c r="G88" s="414">
        <v>2080.65</v>
      </c>
      <c r="H88" s="421"/>
      <c r="I88" s="408"/>
      <c r="J88" s="397"/>
      <c r="K88" s="397"/>
      <c r="L88" s="428"/>
      <c r="M88" s="397"/>
      <c r="N88" s="397"/>
      <c r="O88" s="397"/>
      <c r="P88" s="397"/>
      <c r="Q88" s="397"/>
      <c r="R88" s="397"/>
      <c r="S88" s="397"/>
      <c r="T88" s="397"/>
      <c r="U88" s="397"/>
      <c r="V88" s="397"/>
      <c r="W88" s="397"/>
      <c r="X88" s="377"/>
      <c r="Y88" s="377"/>
      <c r="Z88" s="377"/>
      <c r="AA88" s="377"/>
      <c r="AB88" s="377"/>
    </row>
    <row r="89">
      <c r="A89" s="390" t="s">
        <v>1301</v>
      </c>
      <c r="B89" s="390" t="s">
        <v>1076</v>
      </c>
      <c r="C89" s="390" t="s">
        <v>1302</v>
      </c>
      <c r="D89" s="427" t="s">
        <v>1303</v>
      </c>
      <c r="E89" s="383">
        <v>943496.58</v>
      </c>
      <c r="F89" s="383">
        <v>792854.27</v>
      </c>
      <c r="G89" s="414">
        <v>157000.84</v>
      </c>
      <c r="H89" s="421">
        <v>300.0</v>
      </c>
      <c r="I89" s="408"/>
      <c r="J89" s="397"/>
      <c r="K89" s="397"/>
      <c r="L89" s="428"/>
      <c r="M89" s="397"/>
      <c r="N89" s="397"/>
      <c r="O89" s="397"/>
      <c r="P89" s="397"/>
      <c r="Q89" s="397"/>
      <c r="R89" s="397"/>
      <c r="S89" s="397"/>
      <c r="T89" s="397"/>
      <c r="U89" s="397"/>
      <c r="V89" s="397"/>
      <c r="W89" s="397"/>
      <c r="X89" s="377"/>
      <c r="Y89" s="377"/>
      <c r="Z89" s="377"/>
      <c r="AA89" s="377"/>
      <c r="AB89" s="377"/>
    </row>
    <row r="90">
      <c r="A90" s="390" t="s">
        <v>1301</v>
      </c>
      <c r="B90" s="390" t="s">
        <v>1076</v>
      </c>
      <c r="C90" s="390" t="s">
        <v>1304</v>
      </c>
      <c r="D90" s="427" t="s">
        <v>1305</v>
      </c>
      <c r="E90" s="383">
        <v>623182.0</v>
      </c>
      <c r="F90" s="383">
        <v>523682.35</v>
      </c>
      <c r="G90" s="414">
        <v>103699.47</v>
      </c>
      <c r="H90" s="421">
        <v>190.0</v>
      </c>
      <c r="I90" s="408"/>
      <c r="J90" s="397"/>
      <c r="K90" s="397"/>
      <c r="L90" s="428"/>
      <c r="M90" s="390" t="s">
        <v>1306</v>
      </c>
      <c r="N90" s="397"/>
      <c r="O90" s="397"/>
      <c r="P90" s="397"/>
      <c r="Q90" s="397"/>
      <c r="R90" s="397"/>
      <c r="S90" s="397"/>
      <c r="T90" s="397"/>
      <c r="U90" s="397"/>
      <c r="V90" s="397"/>
      <c r="W90" s="397"/>
      <c r="X90" s="377"/>
      <c r="Y90" s="377"/>
      <c r="Z90" s="377"/>
      <c r="AA90" s="377"/>
      <c r="AB90" s="377"/>
    </row>
    <row r="91">
      <c r="A91" s="390" t="s">
        <v>826</v>
      </c>
      <c r="B91" s="390" t="s">
        <v>1076</v>
      </c>
      <c r="C91" s="390" t="s">
        <v>1307</v>
      </c>
      <c r="D91" s="429" t="s">
        <v>1308</v>
      </c>
      <c r="E91" s="383">
        <v>675395.8</v>
      </c>
      <c r="F91" s="383">
        <v>567559.5</v>
      </c>
      <c r="G91" s="414">
        <v>113511.9</v>
      </c>
      <c r="H91" s="421">
        <v>300.3</v>
      </c>
      <c r="I91" s="408"/>
      <c r="J91" s="397"/>
      <c r="K91" s="397"/>
      <c r="L91" s="428"/>
      <c r="M91" s="390" t="s">
        <v>1306</v>
      </c>
      <c r="N91" s="397"/>
      <c r="O91" s="397"/>
      <c r="P91" s="397"/>
      <c r="Q91" s="397"/>
      <c r="R91" s="397"/>
      <c r="S91" s="397"/>
      <c r="T91" s="397"/>
      <c r="U91" s="397"/>
      <c r="V91" s="397"/>
      <c r="W91" s="397"/>
      <c r="X91" s="377"/>
      <c r="Y91" s="377"/>
      <c r="Z91" s="377"/>
      <c r="AA91" s="377"/>
      <c r="AB91" s="377"/>
    </row>
    <row r="92">
      <c r="A92" s="390" t="s">
        <v>826</v>
      </c>
      <c r="B92" s="390" t="s">
        <v>1076</v>
      </c>
      <c r="C92" s="390" t="s">
        <v>1309</v>
      </c>
      <c r="D92" s="429" t="s">
        <v>1310</v>
      </c>
      <c r="E92" s="383">
        <v>1436339.52</v>
      </c>
      <c r="F92" s="383">
        <v>1207008.0</v>
      </c>
      <c r="G92" s="414">
        <v>241401.6</v>
      </c>
      <c r="H92" s="421">
        <v>447.04</v>
      </c>
      <c r="I92" s="408"/>
      <c r="J92" s="397"/>
      <c r="K92" s="397"/>
      <c r="L92" s="428"/>
      <c r="M92" s="390" t="s">
        <v>1020</v>
      </c>
      <c r="N92" s="397"/>
      <c r="O92" s="397"/>
      <c r="P92" s="397"/>
      <c r="Q92" s="397"/>
      <c r="R92" s="397"/>
      <c r="S92" s="397"/>
      <c r="T92" s="397"/>
      <c r="U92" s="397"/>
      <c r="V92" s="397"/>
      <c r="W92" s="397"/>
      <c r="X92" s="377"/>
      <c r="Y92" s="377"/>
      <c r="Z92" s="377"/>
      <c r="AA92" s="377"/>
      <c r="AB92" s="377"/>
    </row>
    <row r="93">
      <c r="A93" s="390" t="s">
        <v>1149</v>
      </c>
      <c r="B93" s="390" t="s">
        <v>1076</v>
      </c>
      <c r="C93" s="390" t="s">
        <v>1311</v>
      </c>
      <c r="D93" s="429" t="s">
        <v>1312</v>
      </c>
      <c r="E93" s="383">
        <v>20795.04</v>
      </c>
      <c r="F93" s="383">
        <f t="shared" ref="F93:F95" si="21">E93/1.19</f>
        <v>17474.82353</v>
      </c>
      <c r="G93" s="414">
        <f t="shared" ref="G93:G117" si="22">F93/5.04</f>
        <v>3467.226891</v>
      </c>
      <c r="H93" s="421"/>
      <c r="I93" s="408"/>
      <c r="J93" s="397"/>
      <c r="K93" s="397"/>
      <c r="L93" s="428"/>
      <c r="M93" s="390" t="s">
        <v>1152</v>
      </c>
      <c r="N93" s="397"/>
      <c r="O93" s="397"/>
      <c r="P93" s="397"/>
      <c r="Q93" s="397"/>
      <c r="R93" s="397"/>
      <c r="S93" s="397"/>
      <c r="T93" s="397"/>
      <c r="U93" s="397"/>
      <c r="V93" s="397"/>
      <c r="W93" s="390" t="s">
        <v>1313</v>
      </c>
      <c r="X93" s="377"/>
      <c r="Y93" s="377"/>
      <c r="Z93" s="377"/>
      <c r="AA93" s="377"/>
      <c r="AB93" s="377"/>
    </row>
    <row r="94">
      <c r="A94" s="430" t="s">
        <v>1149</v>
      </c>
      <c r="B94" s="431" t="s">
        <v>1076</v>
      </c>
      <c r="C94" s="430" t="s">
        <v>1314</v>
      </c>
      <c r="D94" s="429" t="s">
        <v>1315</v>
      </c>
      <c r="E94" s="383">
        <v>33000.0</v>
      </c>
      <c r="F94" s="383">
        <f t="shared" si="21"/>
        <v>27731.09244</v>
      </c>
      <c r="G94" s="414">
        <f t="shared" si="22"/>
        <v>5502.20088</v>
      </c>
      <c r="H94" s="432">
        <v>6.37</v>
      </c>
      <c r="I94" s="433"/>
      <c r="J94" s="434"/>
      <c r="K94" s="434"/>
      <c r="L94" s="435"/>
      <c r="M94" s="430" t="s">
        <v>1152</v>
      </c>
      <c r="N94" s="434"/>
      <c r="O94" s="434"/>
      <c r="P94" s="434"/>
      <c r="Q94" s="434"/>
      <c r="R94" s="434"/>
      <c r="S94" s="434"/>
      <c r="T94" s="434"/>
      <c r="U94" s="434"/>
      <c r="V94" s="434"/>
      <c r="W94" s="430" t="s">
        <v>1316</v>
      </c>
      <c r="X94" s="436"/>
      <c r="Y94" s="436"/>
      <c r="Z94" s="436"/>
      <c r="AA94" s="436"/>
      <c r="AB94" s="436"/>
    </row>
    <row r="95">
      <c r="A95" s="430" t="s">
        <v>1149</v>
      </c>
      <c r="B95" s="431" t="s">
        <v>1076</v>
      </c>
      <c r="C95" s="430" t="s">
        <v>1317</v>
      </c>
      <c r="D95" s="429" t="s">
        <v>1315</v>
      </c>
      <c r="E95" s="383">
        <v>36500.0</v>
      </c>
      <c r="F95" s="383">
        <f t="shared" si="21"/>
        <v>30672.26891</v>
      </c>
      <c r="G95" s="414">
        <f t="shared" si="22"/>
        <v>6085.76764</v>
      </c>
      <c r="H95" s="432">
        <v>7.28</v>
      </c>
      <c r="I95" s="433"/>
      <c r="J95" s="434"/>
      <c r="K95" s="434"/>
      <c r="L95" s="435"/>
      <c r="M95" s="430" t="s">
        <v>1152</v>
      </c>
      <c r="N95" s="434"/>
      <c r="O95" s="434"/>
      <c r="P95" s="434"/>
      <c r="Q95" s="434"/>
      <c r="R95" s="434"/>
      <c r="S95" s="434"/>
      <c r="T95" s="434"/>
      <c r="U95" s="434"/>
      <c r="V95" s="434"/>
      <c r="W95" s="430" t="s">
        <v>1318</v>
      </c>
      <c r="X95" s="436"/>
      <c r="Y95" s="436"/>
      <c r="Z95" s="436"/>
      <c r="AA95" s="436"/>
      <c r="AB95" s="436"/>
    </row>
    <row r="96">
      <c r="A96" s="390" t="s">
        <v>835</v>
      </c>
      <c r="B96" s="437" t="s">
        <v>1076</v>
      </c>
      <c r="C96" s="390" t="s">
        <v>1319</v>
      </c>
      <c r="D96" s="429" t="s">
        <v>1320</v>
      </c>
      <c r="E96" s="383">
        <v>31518.71</v>
      </c>
      <c r="F96" s="383">
        <f t="shared" ref="F96:F99" si="23">E96/1.09</f>
        <v>28916.24771</v>
      </c>
      <c r="G96" s="414">
        <f t="shared" si="22"/>
        <v>5737.350735</v>
      </c>
      <c r="H96" s="421">
        <v>6.16</v>
      </c>
      <c r="I96" s="408"/>
      <c r="J96" s="397"/>
      <c r="K96" s="397"/>
      <c r="L96" s="428"/>
      <c r="M96" s="397"/>
      <c r="N96" s="397"/>
      <c r="O96" s="397"/>
      <c r="P96" s="397"/>
      <c r="Q96" s="397"/>
      <c r="R96" s="397"/>
      <c r="S96" s="397"/>
      <c r="T96" s="397"/>
      <c r="U96" s="397"/>
      <c r="V96" s="397"/>
      <c r="W96" s="390" t="s">
        <v>1321</v>
      </c>
      <c r="X96" s="377"/>
      <c r="Y96" s="377"/>
      <c r="Z96" s="377"/>
      <c r="AA96" s="377"/>
      <c r="AB96" s="377"/>
    </row>
    <row r="97">
      <c r="A97" s="390" t="s">
        <v>835</v>
      </c>
      <c r="B97" s="437" t="s">
        <v>1076</v>
      </c>
      <c r="C97" s="390" t="s">
        <v>1322</v>
      </c>
      <c r="D97" s="429" t="s">
        <v>1323</v>
      </c>
      <c r="E97" s="383">
        <v>29860.0</v>
      </c>
      <c r="F97" s="383">
        <f t="shared" si="23"/>
        <v>27394.49541</v>
      </c>
      <c r="G97" s="414">
        <f t="shared" si="22"/>
        <v>5435.415757</v>
      </c>
      <c r="H97" s="421">
        <v>7.04</v>
      </c>
      <c r="I97" s="408"/>
      <c r="J97" s="397"/>
      <c r="K97" s="397"/>
      <c r="L97" s="428"/>
      <c r="M97" s="397"/>
      <c r="N97" s="397"/>
      <c r="O97" s="397"/>
      <c r="P97" s="397"/>
      <c r="Q97" s="397"/>
      <c r="R97" s="397"/>
      <c r="S97" s="397"/>
      <c r="T97" s="397"/>
      <c r="U97" s="397"/>
      <c r="V97" s="397"/>
      <c r="W97" s="390" t="s">
        <v>1324</v>
      </c>
      <c r="X97" s="377"/>
      <c r="Y97" s="377"/>
      <c r="Z97" s="377"/>
      <c r="AA97" s="377"/>
      <c r="AB97" s="377"/>
    </row>
    <row r="98">
      <c r="A98" s="390" t="s">
        <v>835</v>
      </c>
      <c r="B98" s="437" t="s">
        <v>1076</v>
      </c>
      <c r="C98" s="390" t="s">
        <v>1325</v>
      </c>
      <c r="D98" s="429" t="s">
        <v>1326</v>
      </c>
      <c r="E98" s="383">
        <v>37054.68</v>
      </c>
      <c r="F98" s="383">
        <f t="shared" si="23"/>
        <v>33995.11927</v>
      </c>
      <c r="G98" s="414">
        <f t="shared" si="22"/>
        <v>6745.063346</v>
      </c>
      <c r="H98" s="421">
        <v>7.92</v>
      </c>
      <c r="I98" s="408"/>
      <c r="J98" s="397"/>
      <c r="K98" s="397"/>
      <c r="L98" s="428"/>
      <c r="M98" s="397"/>
      <c r="N98" s="397"/>
      <c r="O98" s="397"/>
      <c r="P98" s="397"/>
      <c r="Q98" s="397"/>
      <c r="R98" s="397"/>
      <c r="S98" s="397"/>
      <c r="T98" s="397"/>
      <c r="U98" s="397"/>
      <c r="V98" s="397"/>
      <c r="W98" s="390" t="s">
        <v>1327</v>
      </c>
      <c r="X98" s="377"/>
      <c r="Y98" s="377"/>
      <c r="Z98" s="377"/>
      <c r="AA98" s="377"/>
      <c r="AB98" s="377"/>
    </row>
    <row r="99">
      <c r="A99" s="390" t="s">
        <v>835</v>
      </c>
      <c r="B99" s="437" t="s">
        <v>1076</v>
      </c>
      <c r="C99" s="390" t="s">
        <v>1328</v>
      </c>
      <c r="D99" s="429" t="s">
        <v>1329</v>
      </c>
      <c r="E99" s="383">
        <v>35644.62</v>
      </c>
      <c r="F99" s="383">
        <f t="shared" si="23"/>
        <v>32701.48624</v>
      </c>
      <c r="G99" s="414">
        <f t="shared" si="22"/>
        <v>6488.390127</v>
      </c>
      <c r="H99" s="421"/>
      <c r="I99" s="408"/>
      <c r="J99" s="397"/>
      <c r="K99" s="397"/>
      <c r="L99" s="428"/>
      <c r="M99" s="397"/>
      <c r="N99" s="397"/>
      <c r="O99" s="397"/>
      <c r="P99" s="397"/>
      <c r="Q99" s="397"/>
      <c r="R99" s="397"/>
      <c r="S99" s="397"/>
      <c r="T99" s="397"/>
      <c r="U99" s="397"/>
      <c r="V99" s="397"/>
      <c r="W99" s="397"/>
      <c r="X99" s="377"/>
      <c r="Y99" s="377"/>
      <c r="Z99" s="377"/>
      <c r="AA99" s="377"/>
      <c r="AB99" s="377"/>
    </row>
    <row r="100">
      <c r="A100" s="390" t="s">
        <v>1149</v>
      </c>
      <c r="B100" s="390" t="s">
        <v>1076</v>
      </c>
      <c r="C100" s="390" t="s">
        <v>1330</v>
      </c>
      <c r="D100" s="429" t="s">
        <v>1331</v>
      </c>
      <c r="E100" s="383">
        <v>22500.0</v>
      </c>
      <c r="F100" s="383">
        <f t="shared" ref="F100:F109" si="24">E100/1.19</f>
        <v>18907.56303</v>
      </c>
      <c r="G100" s="414">
        <f t="shared" si="22"/>
        <v>3751.5006</v>
      </c>
      <c r="H100" s="421"/>
      <c r="I100" s="408"/>
      <c r="J100" s="397"/>
      <c r="K100" s="397"/>
      <c r="L100" s="428"/>
      <c r="M100" s="378" t="s">
        <v>1152</v>
      </c>
      <c r="N100" s="397"/>
      <c r="O100" s="397"/>
      <c r="P100" s="397"/>
      <c r="Q100" s="397"/>
      <c r="R100" s="397"/>
      <c r="S100" s="397"/>
      <c r="T100" s="397"/>
      <c r="U100" s="397"/>
      <c r="V100" s="397"/>
      <c r="W100" s="390" t="s">
        <v>1332</v>
      </c>
      <c r="X100" s="377"/>
      <c r="Y100" s="377"/>
      <c r="Z100" s="377"/>
      <c r="AA100" s="377"/>
      <c r="AB100" s="377"/>
    </row>
    <row r="101">
      <c r="A101" s="390" t="s">
        <v>1086</v>
      </c>
      <c r="B101" s="390" t="s">
        <v>1076</v>
      </c>
      <c r="C101" s="390" t="s">
        <v>1333</v>
      </c>
      <c r="D101" s="427" t="s">
        <v>1334</v>
      </c>
      <c r="E101" s="383">
        <v>5862.65</v>
      </c>
      <c r="F101" s="383">
        <f t="shared" si="24"/>
        <v>4926.596639</v>
      </c>
      <c r="G101" s="414">
        <f t="shared" si="22"/>
        <v>977.4993331</v>
      </c>
      <c r="H101" s="438"/>
      <c r="I101" s="408"/>
      <c r="J101" s="397"/>
      <c r="K101" s="397"/>
      <c r="L101" s="428"/>
      <c r="M101" s="397"/>
      <c r="N101" s="397"/>
      <c r="O101" s="397"/>
      <c r="P101" s="397"/>
      <c r="Q101" s="397"/>
      <c r="R101" s="397"/>
      <c r="S101" s="397"/>
      <c r="T101" s="397"/>
      <c r="U101" s="397"/>
      <c r="V101" s="397"/>
      <c r="W101" s="397"/>
      <c r="X101" s="377"/>
      <c r="Y101" s="377"/>
      <c r="Z101" s="377"/>
      <c r="AA101" s="377"/>
      <c r="AB101" s="377"/>
    </row>
    <row r="102">
      <c r="A102" s="390" t="s">
        <v>835</v>
      </c>
      <c r="B102" s="390" t="s">
        <v>1076</v>
      </c>
      <c r="C102" s="390" t="s">
        <v>1335</v>
      </c>
      <c r="D102" s="427" t="s">
        <v>1336</v>
      </c>
      <c r="E102" s="383">
        <v>44645.03</v>
      </c>
      <c r="F102" s="383">
        <f t="shared" si="24"/>
        <v>37516.83193</v>
      </c>
      <c r="G102" s="414">
        <f t="shared" si="22"/>
        <v>7443.81586</v>
      </c>
      <c r="H102" s="438"/>
      <c r="I102" s="408"/>
      <c r="J102" s="397"/>
      <c r="K102" s="397"/>
      <c r="L102" s="428"/>
      <c r="M102" s="397"/>
      <c r="N102" s="397"/>
      <c r="O102" s="397"/>
      <c r="P102" s="397"/>
      <c r="Q102" s="397"/>
      <c r="R102" s="397"/>
      <c r="S102" s="397"/>
      <c r="T102" s="397"/>
      <c r="U102" s="397"/>
      <c r="V102" s="397"/>
      <c r="W102" s="397"/>
      <c r="X102" s="377"/>
      <c r="Y102" s="377"/>
      <c r="Z102" s="377"/>
      <c r="AA102" s="377"/>
      <c r="AB102" s="377"/>
    </row>
    <row r="103">
      <c r="A103" s="390" t="s">
        <v>835</v>
      </c>
      <c r="B103" s="390" t="s">
        <v>1076</v>
      </c>
      <c r="C103" s="390" t="s">
        <v>1337</v>
      </c>
      <c r="D103" s="427" t="s">
        <v>1338</v>
      </c>
      <c r="E103" s="383">
        <v>56465.48</v>
      </c>
      <c r="F103" s="383">
        <f t="shared" si="24"/>
        <v>47449.98319</v>
      </c>
      <c r="G103" s="414">
        <f t="shared" si="22"/>
        <v>9414.679205</v>
      </c>
      <c r="H103" s="438"/>
      <c r="I103" s="408"/>
      <c r="J103" s="397"/>
      <c r="K103" s="397"/>
      <c r="L103" s="428"/>
      <c r="M103" s="397"/>
      <c r="N103" s="397"/>
      <c r="O103" s="397"/>
      <c r="P103" s="397"/>
      <c r="Q103" s="397"/>
      <c r="R103" s="397"/>
      <c r="S103" s="397"/>
      <c r="T103" s="397"/>
      <c r="U103" s="397"/>
      <c r="V103" s="397"/>
      <c r="W103" s="397"/>
      <c r="X103" s="377"/>
      <c r="Y103" s="377"/>
      <c r="Z103" s="377"/>
      <c r="AA103" s="377"/>
      <c r="AB103" s="377"/>
    </row>
    <row r="104">
      <c r="A104" s="390" t="s">
        <v>835</v>
      </c>
      <c r="B104" s="390" t="s">
        <v>1076</v>
      </c>
      <c r="C104" s="390" t="s">
        <v>1339</v>
      </c>
      <c r="D104" s="427" t="s">
        <v>1340</v>
      </c>
      <c r="E104" s="383">
        <v>30000.0</v>
      </c>
      <c r="F104" s="383">
        <f t="shared" si="24"/>
        <v>25210.08403</v>
      </c>
      <c r="G104" s="414">
        <f t="shared" si="22"/>
        <v>5002.0008</v>
      </c>
      <c r="H104" s="438"/>
      <c r="I104" s="408"/>
      <c r="J104" s="397"/>
      <c r="K104" s="397"/>
      <c r="L104" s="428"/>
      <c r="M104" s="397"/>
      <c r="N104" s="397"/>
      <c r="O104" s="397"/>
      <c r="P104" s="397"/>
      <c r="Q104" s="397"/>
      <c r="R104" s="397"/>
      <c r="S104" s="397"/>
      <c r="T104" s="397"/>
      <c r="U104" s="397"/>
      <c r="V104" s="397"/>
      <c r="W104" s="397"/>
      <c r="X104" s="377"/>
      <c r="Y104" s="377"/>
      <c r="Z104" s="377"/>
      <c r="AA104" s="377"/>
      <c r="AB104" s="377"/>
    </row>
    <row r="105">
      <c r="A105" s="390" t="s">
        <v>145</v>
      </c>
      <c r="B105" s="390" t="s">
        <v>1076</v>
      </c>
      <c r="C105" s="390" t="s">
        <v>1341</v>
      </c>
      <c r="D105" s="427" t="s">
        <v>1342</v>
      </c>
      <c r="E105" s="383">
        <v>44582.9</v>
      </c>
      <c r="F105" s="383">
        <f t="shared" si="24"/>
        <v>37464.62185</v>
      </c>
      <c r="G105" s="414">
        <f t="shared" si="22"/>
        <v>7433.456716</v>
      </c>
      <c r="H105" s="421">
        <v>6.16</v>
      </c>
      <c r="I105" s="408"/>
      <c r="J105" s="397"/>
      <c r="K105" s="397"/>
      <c r="L105" s="428"/>
      <c r="M105" s="390" t="s">
        <v>1006</v>
      </c>
      <c r="N105" s="397"/>
      <c r="O105" s="397"/>
      <c r="P105" s="397"/>
      <c r="Q105" s="397"/>
      <c r="R105" s="397"/>
      <c r="S105" s="397"/>
      <c r="T105" s="397"/>
      <c r="U105" s="397"/>
      <c r="V105" s="397"/>
      <c r="W105" s="390" t="s">
        <v>1343</v>
      </c>
      <c r="X105" s="377"/>
      <c r="Y105" s="377"/>
      <c r="Z105" s="377"/>
      <c r="AA105" s="377"/>
      <c r="AB105" s="377"/>
    </row>
    <row r="106">
      <c r="A106" s="390" t="s">
        <v>1086</v>
      </c>
      <c r="B106" s="390" t="s">
        <v>1076</v>
      </c>
      <c r="C106" s="390" t="s">
        <v>1344</v>
      </c>
      <c r="D106" s="427" t="s">
        <v>1345</v>
      </c>
      <c r="E106" s="383">
        <v>60041.83</v>
      </c>
      <c r="F106" s="383">
        <f t="shared" si="24"/>
        <v>50455.31933</v>
      </c>
      <c r="G106" s="414">
        <f t="shared" si="22"/>
        <v>10010.97606</v>
      </c>
      <c r="H106" s="421">
        <v>12.6</v>
      </c>
      <c r="I106" s="408"/>
      <c r="J106" s="397"/>
      <c r="K106" s="397"/>
      <c r="L106" s="428"/>
      <c r="M106" s="397"/>
      <c r="N106" s="397"/>
      <c r="O106" s="397"/>
      <c r="P106" s="397"/>
      <c r="Q106" s="397"/>
      <c r="R106" s="397"/>
      <c r="S106" s="397"/>
      <c r="T106" s="397"/>
      <c r="U106" s="397"/>
      <c r="V106" s="397"/>
      <c r="W106" s="397"/>
      <c r="X106" s="377"/>
      <c r="Y106" s="377"/>
      <c r="Z106" s="377"/>
      <c r="AA106" s="377"/>
      <c r="AB106" s="377"/>
    </row>
    <row r="107">
      <c r="A107" s="390" t="s">
        <v>1086</v>
      </c>
      <c r="B107" s="390" t="s">
        <v>1076</v>
      </c>
      <c r="C107" s="390" t="s">
        <v>1346</v>
      </c>
      <c r="D107" s="427" t="s">
        <v>1347</v>
      </c>
      <c r="E107" s="383">
        <v>52497.46</v>
      </c>
      <c r="F107" s="383">
        <f t="shared" si="24"/>
        <v>44115.51261</v>
      </c>
      <c r="G107" s="414">
        <f t="shared" si="22"/>
        <v>8753.077898</v>
      </c>
      <c r="H107" s="421">
        <v>8.64</v>
      </c>
      <c r="I107" s="408"/>
      <c r="J107" s="397"/>
      <c r="K107" s="397"/>
      <c r="L107" s="428"/>
      <c r="M107" s="397"/>
      <c r="N107" s="397"/>
      <c r="O107" s="397"/>
      <c r="P107" s="397"/>
      <c r="Q107" s="397"/>
      <c r="R107" s="397"/>
      <c r="S107" s="397"/>
      <c r="T107" s="397"/>
      <c r="U107" s="397"/>
      <c r="V107" s="397"/>
      <c r="W107" s="397"/>
      <c r="X107" s="377"/>
      <c r="Y107" s="377"/>
      <c r="Z107" s="377"/>
      <c r="AA107" s="377"/>
      <c r="AB107" s="377"/>
    </row>
    <row r="108">
      <c r="A108" s="390" t="s">
        <v>835</v>
      </c>
      <c r="B108" s="390" t="s">
        <v>1081</v>
      </c>
      <c r="C108" s="390" t="s">
        <v>1348</v>
      </c>
      <c r="D108" s="427" t="s">
        <v>1349</v>
      </c>
      <c r="E108" s="383">
        <v>6525.0</v>
      </c>
      <c r="F108" s="383">
        <f t="shared" si="24"/>
        <v>5483.193277</v>
      </c>
      <c r="G108" s="414">
        <f t="shared" si="22"/>
        <v>1087.935174</v>
      </c>
      <c r="H108" s="438"/>
      <c r="I108" s="408"/>
      <c r="J108" s="397"/>
      <c r="K108" s="397"/>
      <c r="L108" s="428"/>
      <c r="M108" s="397"/>
      <c r="N108" s="397"/>
      <c r="O108" s="397"/>
      <c r="P108" s="397"/>
      <c r="Q108" s="397"/>
      <c r="R108" s="397"/>
      <c r="S108" s="397"/>
      <c r="T108" s="397"/>
      <c r="U108" s="397"/>
      <c r="V108" s="397"/>
      <c r="W108" s="390" t="s">
        <v>1350</v>
      </c>
      <c r="X108" s="377"/>
      <c r="Y108" s="377"/>
      <c r="Z108" s="377"/>
      <c r="AA108" s="377"/>
      <c r="AB108" s="377"/>
    </row>
    <row r="109">
      <c r="A109" s="390" t="s">
        <v>1086</v>
      </c>
      <c r="B109" s="390" t="s">
        <v>1081</v>
      </c>
      <c r="C109" s="390" t="s">
        <v>1351</v>
      </c>
      <c r="D109" s="427" t="s">
        <v>1334</v>
      </c>
      <c r="E109" s="383">
        <v>27433.67</v>
      </c>
      <c r="F109" s="383">
        <f t="shared" si="24"/>
        <v>23053.5042</v>
      </c>
      <c r="G109" s="414">
        <f t="shared" si="22"/>
        <v>4574.107977</v>
      </c>
      <c r="H109" s="438"/>
      <c r="I109" s="408"/>
      <c r="J109" s="397"/>
      <c r="K109" s="397"/>
      <c r="L109" s="428"/>
      <c r="M109" s="397"/>
      <c r="N109" s="397"/>
      <c r="O109" s="397"/>
      <c r="P109" s="397"/>
      <c r="Q109" s="397"/>
      <c r="R109" s="397"/>
      <c r="S109" s="397"/>
      <c r="T109" s="397"/>
      <c r="U109" s="397"/>
      <c r="V109" s="397"/>
      <c r="W109" s="397"/>
      <c r="X109" s="377"/>
      <c r="Y109" s="377"/>
      <c r="Z109" s="377"/>
      <c r="AA109" s="377"/>
      <c r="AB109" s="377"/>
    </row>
    <row r="110">
      <c r="A110" s="390" t="s">
        <v>835</v>
      </c>
      <c r="B110" s="390" t="s">
        <v>1081</v>
      </c>
      <c r="C110" s="390" t="s">
        <v>1352</v>
      </c>
      <c r="D110" s="427" t="s">
        <v>1353</v>
      </c>
      <c r="E110" s="383">
        <v>35888.68</v>
      </c>
      <c r="F110" s="383">
        <f>E110/1.09</f>
        <v>32925.3945</v>
      </c>
      <c r="G110" s="414">
        <f t="shared" si="22"/>
        <v>6532.816368</v>
      </c>
      <c r="H110" s="438"/>
      <c r="I110" s="408"/>
      <c r="J110" s="397"/>
      <c r="K110" s="397"/>
      <c r="L110" s="428"/>
      <c r="M110" s="397"/>
      <c r="N110" s="397"/>
      <c r="O110" s="397"/>
      <c r="P110" s="397"/>
      <c r="Q110" s="397"/>
      <c r="R110" s="397"/>
      <c r="S110" s="397"/>
      <c r="T110" s="397"/>
      <c r="U110" s="397"/>
      <c r="V110" s="397"/>
      <c r="W110" s="397"/>
      <c r="X110" s="377"/>
      <c r="Y110" s="377"/>
      <c r="Z110" s="377"/>
      <c r="AA110" s="377"/>
      <c r="AB110" s="377"/>
    </row>
    <row r="111">
      <c r="A111" s="390" t="s">
        <v>835</v>
      </c>
      <c r="B111" s="390" t="s">
        <v>1081</v>
      </c>
      <c r="C111" s="390" t="s">
        <v>1354</v>
      </c>
      <c r="D111" s="427" t="s">
        <v>1355</v>
      </c>
      <c r="E111" s="383">
        <v>360000.0</v>
      </c>
      <c r="F111" s="383">
        <f>E111/1.19</f>
        <v>302521.0084</v>
      </c>
      <c r="G111" s="414">
        <f t="shared" si="22"/>
        <v>60024.0096</v>
      </c>
      <c r="H111" s="438"/>
      <c r="I111" s="408"/>
      <c r="J111" s="397"/>
      <c r="K111" s="397"/>
      <c r="L111" s="428"/>
      <c r="M111" s="397"/>
      <c r="N111" s="397"/>
      <c r="O111" s="397"/>
      <c r="P111" s="397"/>
      <c r="Q111" s="397"/>
      <c r="R111" s="397"/>
      <c r="S111" s="397"/>
      <c r="T111" s="397"/>
      <c r="U111" s="397"/>
      <c r="V111" s="397"/>
      <c r="W111" s="397"/>
      <c r="X111" s="377"/>
      <c r="Y111" s="377"/>
      <c r="Z111" s="377"/>
      <c r="AA111" s="377"/>
      <c r="AB111" s="377"/>
    </row>
    <row r="112">
      <c r="A112" s="390" t="s">
        <v>835</v>
      </c>
      <c r="B112" s="390" t="s">
        <v>1081</v>
      </c>
      <c r="C112" s="390" t="s">
        <v>1356</v>
      </c>
      <c r="D112" s="427" t="s">
        <v>1357</v>
      </c>
      <c r="E112" s="383">
        <v>32484.52</v>
      </c>
      <c r="F112" s="383">
        <f t="shared" ref="F112:F114" si="25">E112/1.09</f>
        <v>29802.31193</v>
      </c>
      <c r="G112" s="414">
        <f t="shared" si="22"/>
        <v>5913.157128</v>
      </c>
      <c r="H112" s="439"/>
      <c r="I112" s="422"/>
      <c r="J112" s="423"/>
      <c r="K112" s="423"/>
      <c r="L112" s="440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23"/>
      <c r="X112" s="377"/>
      <c r="Y112" s="377"/>
      <c r="Z112" s="377"/>
      <c r="AA112" s="377"/>
      <c r="AB112" s="377"/>
    </row>
    <row r="113">
      <c r="A113" s="390" t="s">
        <v>835</v>
      </c>
      <c r="B113" s="390" t="s">
        <v>1081</v>
      </c>
      <c r="C113" s="390" t="s">
        <v>1358</v>
      </c>
      <c r="D113" s="427" t="s">
        <v>1359</v>
      </c>
      <c r="E113" s="383">
        <v>21986.0</v>
      </c>
      <c r="F113" s="383">
        <f t="shared" si="25"/>
        <v>20170.6422</v>
      </c>
      <c r="G113" s="414">
        <f t="shared" si="22"/>
        <v>4002.111548</v>
      </c>
      <c r="H113" s="439"/>
      <c r="I113" s="422"/>
      <c r="J113" s="423"/>
      <c r="K113" s="423"/>
      <c r="L113" s="440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23"/>
      <c r="X113" s="377"/>
      <c r="Y113" s="377"/>
      <c r="Z113" s="377"/>
      <c r="AA113" s="377"/>
      <c r="AB113" s="377"/>
    </row>
    <row r="114">
      <c r="A114" s="390" t="s">
        <v>835</v>
      </c>
      <c r="B114" s="390" t="s">
        <v>1081</v>
      </c>
      <c r="C114" s="390" t="s">
        <v>1360</v>
      </c>
      <c r="D114" s="427" t="s">
        <v>1094</v>
      </c>
      <c r="E114" s="383">
        <v>26000.0</v>
      </c>
      <c r="F114" s="383">
        <f t="shared" si="25"/>
        <v>23853.21101</v>
      </c>
      <c r="G114" s="414">
        <f t="shared" si="22"/>
        <v>4732.779962</v>
      </c>
      <c r="H114" s="439"/>
      <c r="I114" s="422"/>
      <c r="J114" s="423"/>
      <c r="K114" s="423"/>
      <c r="L114" s="440"/>
      <c r="M114" s="423"/>
      <c r="N114" s="423"/>
      <c r="O114" s="423"/>
      <c r="P114" s="423"/>
      <c r="Q114" s="423"/>
      <c r="R114" s="423"/>
      <c r="S114" s="423"/>
      <c r="T114" s="423"/>
      <c r="U114" s="423"/>
      <c r="V114" s="423"/>
      <c r="W114" s="423"/>
      <c r="X114" s="377"/>
      <c r="Y114" s="377"/>
      <c r="Z114" s="377"/>
      <c r="AA114" s="377"/>
      <c r="AB114" s="377"/>
    </row>
    <row r="115">
      <c r="A115" s="390" t="s">
        <v>1361</v>
      </c>
      <c r="B115" s="390" t="s">
        <v>1081</v>
      </c>
      <c r="C115" s="390" t="s">
        <v>1362</v>
      </c>
      <c r="D115" s="427" t="s">
        <v>1363</v>
      </c>
      <c r="E115" s="383">
        <v>201563.39</v>
      </c>
      <c r="F115" s="383">
        <v>169381.0</v>
      </c>
      <c r="G115" s="414">
        <f t="shared" si="22"/>
        <v>33607.34127</v>
      </c>
      <c r="H115" s="425">
        <v>58.0</v>
      </c>
      <c r="I115" s="426">
        <v>50814.3</v>
      </c>
      <c r="J115" s="423"/>
      <c r="K115" s="423"/>
      <c r="L115" s="440"/>
      <c r="M115" s="424" t="s">
        <v>1364</v>
      </c>
      <c r="N115" s="423"/>
      <c r="O115" s="423"/>
      <c r="P115" s="423"/>
      <c r="Q115" s="423"/>
      <c r="R115" s="423"/>
      <c r="S115" s="423"/>
      <c r="T115" s="423"/>
      <c r="U115" s="423"/>
      <c r="V115" s="423"/>
      <c r="W115" s="423"/>
      <c r="X115" s="377"/>
      <c r="Y115" s="377"/>
      <c r="Z115" s="377"/>
      <c r="AA115" s="377"/>
      <c r="AB115" s="377"/>
    </row>
    <row r="116">
      <c r="A116" s="390" t="s">
        <v>1149</v>
      </c>
      <c r="B116" s="390" t="s">
        <v>1081</v>
      </c>
      <c r="C116" s="390" t="s">
        <v>1365</v>
      </c>
      <c r="D116" s="427" t="s">
        <v>1366</v>
      </c>
      <c r="E116" s="383">
        <v>22000.0</v>
      </c>
      <c r="F116" s="383">
        <f t="shared" ref="F116:F117" si="26">E116/1.09</f>
        <v>20183.48624</v>
      </c>
      <c r="G116" s="414">
        <f t="shared" si="22"/>
        <v>4004.659968</v>
      </c>
      <c r="H116" s="425">
        <v>6.3</v>
      </c>
      <c r="I116" s="422"/>
      <c r="J116" s="423"/>
      <c r="K116" s="423"/>
      <c r="L116" s="440"/>
      <c r="M116" s="378" t="s">
        <v>1152</v>
      </c>
      <c r="N116" s="423"/>
      <c r="O116" s="423"/>
      <c r="P116" s="423"/>
      <c r="Q116" s="423"/>
      <c r="R116" s="423"/>
      <c r="S116" s="423"/>
      <c r="T116" s="423"/>
      <c r="U116" s="423"/>
      <c r="V116" s="423"/>
      <c r="W116" s="424" t="s">
        <v>1367</v>
      </c>
      <c r="X116" s="377"/>
      <c r="Y116" s="377"/>
      <c r="Z116" s="377"/>
      <c r="AA116" s="377"/>
      <c r="AB116" s="377"/>
    </row>
    <row r="117">
      <c r="A117" s="390" t="s">
        <v>835</v>
      </c>
      <c r="B117" s="390" t="s">
        <v>1081</v>
      </c>
      <c r="C117" s="390" t="s">
        <v>1368</v>
      </c>
      <c r="D117" s="427" t="s">
        <v>1369</v>
      </c>
      <c r="E117" s="383">
        <v>80300.69</v>
      </c>
      <c r="F117" s="383">
        <f t="shared" si="26"/>
        <v>73670.3578</v>
      </c>
      <c r="G117" s="414">
        <f t="shared" si="22"/>
        <v>14617.13448</v>
      </c>
      <c r="H117" s="439"/>
      <c r="I117" s="422"/>
      <c r="J117" s="423"/>
      <c r="K117" s="423"/>
      <c r="L117" s="440"/>
      <c r="M117" s="423"/>
      <c r="N117" s="423"/>
      <c r="O117" s="423"/>
      <c r="P117" s="423"/>
      <c r="Q117" s="423"/>
      <c r="R117" s="423"/>
      <c r="S117" s="423"/>
      <c r="T117" s="423"/>
      <c r="U117" s="423"/>
      <c r="V117" s="423"/>
      <c r="W117" s="423"/>
      <c r="X117" s="377"/>
      <c r="Y117" s="377"/>
      <c r="Z117" s="377"/>
      <c r="AA117" s="377"/>
      <c r="AB117" s="377"/>
    </row>
    <row r="118">
      <c r="A118" s="390" t="s">
        <v>826</v>
      </c>
      <c r="B118" s="390" t="s">
        <v>1081</v>
      </c>
      <c r="C118" s="390" t="s">
        <v>1370</v>
      </c>
      <c r="D118" s="427" t="s">
        <v>1371</v>
      </c>
      <c r="E118" s="383">
        <v>59377.18</v>
      </c>
      <c r="F118" s="383">
        <v>49896.79</v>
      </c>
      <c r="G118" s="414">
        <v>9880.55</v>
      </c>
      <c r="H118" s="439"/>
      <c r="I118" s="422"/>
      <c r="J118" s="423"/>
      <c r="K118" s="423"/>
      <c r="L118" s="440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23"/>
      <c r="X118" s="377"/>
      <c r="Y118" s="377"/>
      <c r="Z118" s="377"/>
      <c r="AA118" s="377"/>
      <c r="AB118" s="377"/>
    </row>
    <row r="119">
      <c r="A119" s="390" t="s">
        <v>826</v>
      </c>
      <c r="B119" s="390" t="s">
        <v>1081</v>
      </c>
      <c r="C119" s="390" t="s">
        <v>1372</v>
      </c>
      <c r="D119" s="427" t="s">
        <v>1373</v>
      </c>
      <c r="E119" s="383">
        <v>90142.5</v>
      </c>
      <c r="F119" s="383">
        <v>75750.0</v>
      </c>
      <c r="G119" s="414">
        <v>15000.0</v>
      </c>
      <c r="H119" s="439"/>
      <c r="I119" s="422"/>
      <c r="J119" s="423"/>
      <c r="K119" s="423"/>
      <c r="L119" s="440"/>
      <c r="M119" s="423"/>
      <c r="N119" s="423"/>
      <c r="O119" s="423"/>
      <c r="P119" s="423"/>
      <c r="Q119" s="423"/>
      <c r="R119" s="423"/>
      <c r="S119" s="423"/>
      <c r="T119" s="423"/>
      <c r="U119" s="423"/>
      <c r="V119" s="423"/>
      <c r="W119" s="424" t="s">
        <v>1374</v>
      </c>
      <c r="X119" s="377"/>
      <c r="Y119" s="377"/>
      <c r="Z119" s="377"/>
      <c r="AA119" s="377"/>
      <c r="AB119" s="377"/>
    </row>
    <row r="120">
      <c r="A120" s="390" t="s">
        <v>1086</v>
      </c>
      <c r="B120" s="390" t="s">
        <v>1081</v>
      </c>
      <c r="C120" s="390" t="s">
        <v>1375</v>
      </c>
      <c r="D120" s="427" t="s">
        <v>1376</v>
      </c>
      <c r="E120" s="383">
        <v>54983.51</v>
      </c>
      <c r="F120" s="383">
        <f t="shared" ref="F120:F124" si="27">E120/1.09</f>
        <v>50443.58716</v>
      </c>
      <c r="G120" s="414">
        <f t="shared" ref="G120:G131" si="28">F120/5.05</f>
        <v>9988.82914</v>
      </c>
      <c r="H120" s="425">
        <v>12.6</v>
      </c>
      <c r="I120" s="422"/>
      <c r="J120" s="423"/>
      <c r="K120" s="423"/>
      <c r="L120" s="441" t="s">
        <v>1377</v>
      </c>
      <c r="M120" s="423"/>
      <c r="N120" s="423"/>
      <c r="O120" s="423"/>
      <c r="P120" s="423"/>
      <c r="Q120" s="423"/>
      <c r="R120" s="423"/>
      <c r="S120" s="423"/>
      <c r="T120" s="423"/>
      <c r="U120" s="423"/>
      <c r="V120" s="423"/>
      <c r="W120" s="423"/>
      <c r="X120" s="377"/>
      <c r="Y120" s="377"/>
      <c r="Z120" s="377"/>
      <c r="AA120" s="377"/>
      <c r="AB120" s="377"/>
    </row>
    <row r="121">
      <c r="A121" s="390" t="s">
        <v>1086</v>
      </c>
      <c r="B121" s="390" t="s">
        <v>1378</v>
      </c>
      <c r="C121" s="390" t="s">
        <v>1379</v>
      </c>
      <c r="D121" s="427" t="s">
        <v>1380</v>
      </c>
      <c r="E121" s="383">
        <v>39125.91</v>
      </c>
      <c r="F121" s="383">
        <f t="shared" si="27"/>
        <v>35895.33028</v>
      </c>
      <c r="G121" s="414">
        <f t="shared" si="28"/>
        <v>7107.986193</v>
      </c>
      <c r="H121" s="425">
        <v>8.1</v>
      </c>
      <c r="I121" s="422"/>
      <c r="J121" s="423"/>
      <c r="K121" s="423"/>
      <c r="L121" s="441" t="s">
        <v>1381</v>
      </c>
      <c r="M121" s="423"/>
      <c r="N121" s="423"/>
      <c r="O121" s="423"/>
      <c r="P121" s="423"/>
      <c r="Q121" s="423"/>
      <c r="R121" s="423"/>
      <c r="S121" s="423"/>
      <c r="T121" s="423"/>
      <c r="U121" s="423"/>
      <c r="V121" s="423"/>
      <c r="W121" s="424" t="s">
        <v>1382</v>
      </c>
      <c r="X121" s="377"/>
      <c r="Y121" s="377"/>
      <c r="Z121" s="377"/>
      <c r="AA121" s="377"/>
      <c r="AB121" s="377"/>
    </row>
    <row r="122">
      <c r="A122" s="390" t="s">
        <v>1086</v>
      </c>
      <c r="B122" s="390" t="s">
        <v>1378</v>
      </c>
      <c r="C122" s="390" t="s">
        <v>1383</v>
      </c>
      <c r="D122" s="427" t="s">
        <v>1384</v>
      </c>
      <c r="E122" s="383">
        <v>38000.0</v>
      </c>
      <c r="F122" s="383">
        <f t="shared" si="27"/>
        <v>34862.38532</v>
      </c>
      <c r="G122" s="414">
        <f t="shared" si="28"/>
        <v>6903.442638</v>
      </c>
      <c r="H122" s="425">
        <v>9.0</v>
      </c>
      <c r="I122" s="422"/>
      <c r="J122" s="423"/>
      <c r="K122" s="423"/>
      <c r="L122" s="441" t="s">
        <v>1385</v>
      </c>
      <c r="M122" s="423"/>
      <c r="N122" s="423"/>
      <c r="O122" s="423"/>
      <c r="P122" s="423"/>
      <c r="Q122" s="423"/>
      <c r="R122" s="423"/>
      <c r="S122" s="423"/>
      <c r="T122" s="423"/>
      <c r="U122" s="423"/>
      <c r="V122" s="423"/>
      <c r="W122" s="423"/>
      <c r="X122" s="377"/>
      <c r="Y122" s="377"/>
      <c r="Z122" s="377"/>
      <c r="AA122" s="377"/>
      <c r="AB122" s="377"/>
    </row>
    <row r="123">
      <c r="A123" s="390" t="s">
        <v>826</v>
      </c>
      <c r="B123" s="390" t="s">
        <v>1081</v>
      </c>
      <c r="C123" s="390" t="s">
        <v>1386</v>
      </c>
      <c r="D123" s="427" t="s">
        <v>1387</v>
      </c>
      <c r="E123" s="383"/>
      <c r="F123" s="383">
        <f t="shared" si="27"/>
        <v>0</v>
      </c>
      <c r="G123" s="414">
        <f t="shared" si="28"/>
        <v>0</v>
      </c>
      <c r="H123" s="439"/>
      <c r="I123" s="422"/>
      <c r="J123" s="423"/>
      <c r="K123" s="423"/>
      <c r="L123" s="440"/>
      <c r="M123" s="423"/>
      <c r="N123" s="423"/>
      <c r="O123" s="423"/>
      <c r="P123" s="423"/>
      <c r="Q123" s="423"/>
      <c r="R123" s="423"/>
      <c r="S123" s="423"/>
      <c r="T123" s="423"/>
      <c r="U123" s="423"/>
      <c r="V123" s="423"/>
      <c r="W123" s="424" t="s">
        <v>1388</v>
      </c>
      <c r="X123" s="377"/>
      <c r="Y123" s="377"/>
      <c r="Z123" s="377"/>
      <c r="AA123" s="377"/>
      <c r="AB123" s="377"/>
    </row>
    <row r="124">
      <c r="A124" s="390" t="s">
        <v>826</v>
      </c>
      <c r="B124" s="390" t="s">
        <v>1081</v>
      </c>
      <c r="C124" s="390" t="s">
        <v>1389</v>
      </c>
      <c r="D124" s="427" t="s">
        <v>1390</v>
      </c>
      <c r="E124" s="383"/>
      <c r="F124" s="383">
        <f t="shared" si="27"/>
        <v>0</v>
      </c>
      <c r="G124" s="414">
        <f t="shared" si="28"/>
        <v>0</v>
      </c>
      <c r="H124" s="439"/>
      <c r="I124" s="422"/>
      <c r="J124" s="423"/>
      <c r="K124" s="423"/>
      <c r="L124" s="440"/>
      <c r="M124" s="423"/>
      <c r="N124" s="423"/>
      <c r="O124" s="423"/>
      <c r="P124" s="423"/>
      <c r="Q124" s="423"/>
      <c r="R124" s="423"/>
      <c r="S124" s="423"/>
      <c r="T124" s="423"/>
      <c r="U124" s="423"/>
      <c r="V124" s="423"/>
      <c r="W124" s="424" t="s">
        <v>1388</v>
      </c>
      <c r="X124" s="377"/>
      <c r="Y124" s="377"/>
      <c r="Z124" s="377"/>
      <c r="AA124" s="377"/>
      <c r="AB124" s="377"/>
    </row>
    <row r="125">
      <c r="A125" s="390" t="s">
        <v>826</v>
      </c>
      <c r="B125" s="390" t="s">
        <v>1081</v>
      </c>
      <c r="C125" s="390" t="s">
        <v>1391</v>
      </c>
      <c r="D125" s="427" t="s">
        <v>1392</v>
      </c>
      <c r="E125" s="383">
        <f>F125*1.19</f>
        <v>825034.5208</v>
      </c>
      <c r="F125" s="383">
        <v>693306.32</v>
      </c>
      <c r="G125" s="414">
        <f t="shared" si="28"/>
        <v>137288.3802</v>
      </c>
      <c r="H125" s="425">
        <v>540.0</v>
      </c>
      <c r="I125" s="422"/>
      <c r="J125" s="423"/>
      <c r="K125" s="423"/>
      <c r="L125" s="440"/>
      <c r="M125" s="423"/>
      <c r="N125" s="423"/>
      <c r="O125" s="423"/>
      <c r="P125" s="423"/>
      <c r="Q125" s="423"/>
      <c r="R125" s="423"/>
      <c r="S125" s="423"/>
      <c r="T125" s="423"/>
      <c r="U125" s="423"/>
      <c r="V125" s="423"/>
      <c r="W125" s="423"/>
      <c r="X125" s="377"/>
      <c r="Y125" s="377"/>
      <c r="Z125" s="377"/>
      <c r="AA125" s="377"/>
      <c r="AB125" s="377"/>
    </row>
    <row r="126">
      <c r="A126" s="390" t="s">
        <v>1167</v>
      </c>
      <c r="B126" s="390" t="s">
        <v>1081</v>
      </c>
      <c r="C126" s="390" t="s">
        <v>1393</v>
      </c>
      <c r="D126" s="427" t="s">
        <v>1394</v>
      </c>
      <c r="E126" s="383">
        <v>10545.78</v>
      </c>
      <c r="F126" s="383">
        <f t="shared" ref="F126:F129" si="29">E126/1.19</f>
        <v>8862</v>
      </c>
      <c r="G126" s="414">
        <f t="shared" si="28"/>
        <v>1754.851485</v>
      </c>
      <c r="H126" s="425">
        <v>0.9</v>
      </c>
      <c r="I126" s="422"/>
      <c r="J126" s="423"/>
      <c r="K126" s="423"/>
      <c r="L126" s="440"/>
      <c r="M126" s="424" t="s">
        <v>1006</v>
      </c>
      <c r="N126" s="423"/>
      <c r="O126" s="423"/>
      <c r="P126" s="423"/>
      <c r="Q126" s="423"/>
      <c r="R126" s="423"/>
      <c r="S126" s="423"/>
      <c r="T126" s="423"/>
      <c r="U126" s="423"/>
      <c r="V126" s="423"/>
      <c r="W126" s="424" t="s">
        <v>1395</v>
      </c>
      <c r="X126" s="377"/>
      <c r="Y126" s="377"/>
      <c r="Z126" s="377"/>
      <c r="AA126" s="377"/>
      <c r="AB126" s="377"/>
    </row>
    <row r="127">
      <c r="A127" s="390" t="s">
        <v>1086</v>
      </c>
      <c r="B127" s="390" t="s">
        <v>1081</v>
      </c>
      <c r="C127" s="390" t="s">
        <v>1396</v>
      </c>
      <c r="D127" s="427" t="s">
        <v>1397</v>
      </c>
      <c r="E127" s="383">
        <v>38211.03</v>
      </c>
      <c r="F127" s="383">
        <f t="shared" si="29"/>
        <v>32110.10924</v>
      </c>
      <c r="G127" s="414">
        <f t="shared" si="28"/>
        <v>6358.437474</v>
      </c>
      <c r="H127" s="425">
        <v>6.3</v>
      </c>
      <c r="I127" s="422"/>
      <c r="J127" s="423"/>
      <c r="K127" s="423"/>
      <c r="L127" s="440"/>
      <c r="M127" s="423"/>
      <c r="N127" s="423"/>
      <c r="O127" s="423"/>
      <c r="P127" s="423"/>
      <c r="Q127" s="423"/>
      <c r="R127" s="423"/>
      <c r="S127" s="423"/>
      <c r="T127" s="423"/>
      <c r="U127" s="423"/>
      <c r="V127" s="423"/>
      <c r="W127" s="424" t="s">
        <v>1398</v>
      </c>
      <c r="X127" s="377"/>
      <c r="Y127" s="377"/>
      <c r="Z127" s="377"/>
      <c r="AA127" s="377"/>
      <c r="AB127" s="377"/>
    </row>
    <row r="128" ht="27.0" customHeight="1">
      <c r="A128" s="390" t="s">
        <v>1086</v>
      </c>
      <c r="B128" s="390" t="s">
        <v>1081</v>
      </c>
      <c r="C128" s="390" t="s">
        <v>1399</v>
      </c>
      <c r="D128" s="427" t="s">
        <v>1400</v>
      </c>
      <c r="E128" s="383">
        <v>29641.0</v>
      </c>
      <c r="F128" s="383">
        <f t="shared" si="29"/>
        <v>24908.40336</v>
      </c>
      <c r="G128" s="414">
        <f t="shared" si="28"/>
        <v>4932.357101</v>
      </c>
      <c r="H128" s="442" t="s">
        <v>1401</v>
      </c>
      <c r="I128" s="422"/>
      <c r="J128" s="423"/>
      <c r="K128" s="423"/>
      <c r="L128" s="440"/>
      <c r="M128" s="423"/>
      <c r="N128" s="423"/>
      <c r="O128" s="423"/>
      <c r="P128" s="423"/>
      <c r="Q128" s="423"/>
      <c r="R128" s="423"/>
      <c r="S128" s="423"/>
      <c r="T128" s="423"/>
      <c r="U128" s="423"/>
      <c r="V128" s="423"/>
      <c r="W128" s="424" t="s">
        <v>1402</v>
      </c>
      <c r="X128" s="377"/>
      <c r="Y128" s="377"/>
      <c r="Z128" s="377"/>
      <c r="AA128" s="377"/>
      <c r="AB128" s="377"/>
    </row>
    <row r="129">
      <c r="A129" s="390" t="s">
        <v>1149</v>
      </c>
      <c r="B129" s="390" t="s">
        <v>1378</v>
      </c>
      <c r="C129" s="390" t="s">
        <v>1403</v>
      </c>
      <c r="D129" s="427" t="s">
        <v>1404</v>
      </c>
      <c r="E129" s="383">
        <v>33000.0</v>
      </c>
      <c r="F129" s="383">
        <f t="shared" si="29"/>
        <v>27731.09244</v>
      </c>
      <c r="G129" s="414">
        <f t="shared" si="28"/>
        <v>5491.305433</v>
      </c>
      <c r="H129" s="425">
        <v>6.3</v>
      </c>
      <c r="I129" s="422"/>
      <c r="J129" s="423"/>
      <c r="K129" s="423"/>
      <c r="L129" s="440"/>
      <c r="M129" s="378" t="s">
        <v>1152</v>
      </c>
      <c r="N129" s="423"/>
      <c r="O129" s="423"/>
      <c r="P129" s="423"/>
      <c r="Q129" s="423"/>
      <c r="R129" s="423"/>
      <c r="S129" s="423"/>
      <c r="T129" s="423"/>
      <c r="U129" s="423"/>
      <c r="V129" s="423"/>
      <c r="W129" s="424" t="s">
        <v>1367</v>
      </c>
      <c r="X129" s="377"/>
      <c r="Y129" s="377"/>
      <c r="Z129" s="377"/>
      <c r="AA129" s="377"/>
      <c r="AB129" s="377"/>
    </row>
    <row r="130">
      <c r="A130" s="390" t="s">
        <v>835</v>
      </c>
      <c r="B130" s="390" t="s">
        <v>1081</v>
      </c>
      <c r="C130" s="390" t="s">
        <v>1405</v>
      </c>
      <c r="D130" s="427" t="s">
        <v>1406</v>
      </c>
      <c r="E130" s="383">
        <v>29937.0</v>
      </c>
      <c r="F130" s="383">
        <f>E130/1.09</f>
        <v>27465.13761</v>
      </c>
      <c r="G130" s="414">
        <f t="shared" si="28"/>
        <v>5438.641112</v>
      </c>
      <c r="H130" s="439"/>
      <c r="I130" s="422"/>
      <c r="J130" s="423"/>
      <c r="K130" s="423"/>
      <c r="L130" s="440"/>
      <c r="M130" s="423"/>
      <c r="N130" s="423"/>
      <c r="O130" s="423"/>
      <c r="P130" s="423"/>
      <c r="Q130" s="423"/>
      <c r="R130" s="423"/>
      <c r="S130" s="423"/>
      <c r="T130" s="423"/>
      <c r="U130" s="423"/>
      <c r="V130" s="423"/>
      <c r="W130" s="423"/>
      <c r="X130" s="377"/>
      <c r="Y130" s="377"/>
      <c r="Z130" s="377"/>
      <c r="AA130" s="377"/>
      <c r="AB130" s="377"/>
    </row>
    <row r="131">
      <c r="A131" s="390" t="s">
        <v>1086</v>
      </c>
      <c r="B131" s="390" t="s">
        <v>1081</v>
      </c>
      <c r="C131" s="390" t="s">
        <v>1407</v>
      </c>
      <c r="D131" s="427" t="s">
        <v>1408</v>
      </c>
      <c r="E131" s="383">
        <v>6000.0</v>
      </c>
      <c r="F131" s="383">
        <f>E131/1.19</f>
        <v>5042.016807</v>
      </c>
      <c r="G131" s="414">
        <f t="shared" si="28"/>
        <v>998.4191696</v>
      </c>
      <c r="H131" s="439"/>
      <c r="I131" s="422"/>
      <c r="J131" s="423"/>
      <c r="K131" s="423"/>
      <c r="L131" s="440"/>
      <c r="M131" s="423"/>
      <c r="N131" s="423"/>
      <c r="O131" s="423"/>
      <c r="P131" s="423"/>
      <c r="Q131" s="423"/>
      <c r="R131" s="423"/>
      <c r="S131" s="423"/>
      <c r="T131" s="423"/>
      <c r="U131" s="423"/>
      <c r="V131" s="423"/>
      <c r="W131" s="424" t="s">
        <v>1409</v>
      </c>
      <c r="X131" s="377"/>
      <c r="Y131" s="377"/>
      <c r="Z131" s="377"/>
      <c r="AA131" s="377"/>
      <c r="AB131" s="377"/>
    </row>
    <row r="132">
      <c r="A132" s="390" t="s">
        <v>826</v>
      </c>
      <c r="B132" s="390" t="s">
        <v>1081</v>
      </c>
      <c r="C132" s="390" t="s">
        <v>1410</v>
      </c>
      <c r="D132" s="427" t="s">
        <v>1411</v>
      </c>
      <c r="E132" s="383">
        <v>24940.0</v>
      </c>
      <c r="F132" s="383">
        <v>20957.5</v>
      </c>
      <c r="G132" s="414">
        <v>4150.0</v>
      </c>
      <c r="H132" s="425">
        <v>6.3</v>
      </c>
      <c r="I132" s="422"/>
      <c r="J132" s="423"/>
      <c r="K132" s="423"/>
      <c r="L132" s="440"/>
      <c r="M132" s="423"/>
      <c r="N132" s="423"/>
      <c r="O132" s="423"/>
      <c r="P132" s="423"/>
      <c r="Q132" s="423"/>
      <c r="R132" s="423"/>
      <c r="S132" s="423"/>
      <c r="T132" s="423"/>
      <c r="U132" s="423"/>
      <c r="V132" s="423"/>
      <c r="W132" s="424"/>
      <c r="X132" s="377"/>
      <c r="Y132" s="377"/>
      <c r="Z132" s="377"/>
      <c r="AA132" s="377"/>
      <c r="AB132" s="377"/>
    </row>
    <row r="133">
      <c r="A133" s="390" t="s">
        <v>1086</v>
      </c>
      <c r="B133" s="390" t="s">
        <v>1085</v>
      </c>
      <c r="C133" s="390" t="s">
        <v>1412</v>
      </c>
      <c r="D133" s="427" t="s">
        <v>1413</v>
      </c>
      <c r="E133" s="383">
        <v>44329.13</v>
      </c>
      <c r="F133" s="383">
        <f>E133/1.09</f>
        <v>40668.92661</v>
      </c>
      <c r="G133" s="414">
        <f t="shared" ref="G133:G136" si="30">F133/5.05</f>
        <v>8053.252793</v>
      </c>
      <c r="H133" s="425">
        <v>8.1</v>
      </c>
      <c r="I133" s="422"/>
      <c r="J133" s="423"/>
      <c r="K133" s="423"/>
      <c r="L133" s="440"/>
      <c r="M133" s="423"/>
      <c r="N133" s="423"/>
      <c r="O133" s="423"/>
      <c r="P133" s="423"/>
      <c r="Q133" s="423"/>
      <c r="R133" s="423"/>
      <c r="S133" s="423"/>
      <c r="T133" s="423"/>
      <c r="U133" s="423"/>
      <c r="V133" s="423"/>
      <c r="W133" s="424"/>
      <c r="X133" s="377"/>
      <c r="Y133" s="377"/>
      <c r="Z133" s="377"/>
      <c r="AA133" s="377"/>
      <c r="AB133" s="377"/>
    </row>
    <row r="134">
      <c r="A134" s="390" t="s">
        <v>1086</v>
      </c>
      <c r="B134" s="390" t="s">
        <v>1085</v>
      </c>
      <c r="C134" s="390" t="s">
        <v>1414</v>
      </c>
      <c r="D134" s="427" t="s">
        <v>1415</v>
      </c>
      <c r="E134" s="383">
        <v>2000.0</v>
      </c>
      <c r="F134" s="383">
        <f t="shared" ref="F134:F135" si="31">E134/1.19</f>
        <v>1680.672269</v>
      </c>
      <c r="G134" s="414">
        <f t="shared" si="30"/>
        <v>332.8063899</v>
      </c>
      <c r="H134" s="439"/>
      <c r="I134" s="422"/>
      <c r="J134" s="423"/>
      <c r="K134" s="423"/>
      <c r="L134" s="440"/>
      <c r="M134" s="423"/>
      <c r="N134" s="423"/>
      <c r="O134" s="423"/>
      <c r="P134" s="423"/>
      <c r="Q134" s="423"/>
      <c r="R134" s="423"/>
      <c r="S134" s="423"/>
      <c r="T134" s="423"/>
      <c r="U134" s="423"/>
      <c r="V134" s="423"/>
      <c r="W134" s="424" t="s">
        <v>1409</v>
      </c>
      <c r="X134" s="377"/>
      <c r="Y134" s="377"/>
      <c r="Z134" s="377"/>
      <c r="AA134" s="377"/>
      <c r="AB134" s="377"/>
    </row>
    <row r="135">
      <c r="A135" s="390" t="s">
        <v>1086</v>
      </c>
      <c r="B135" s="390" t="s">
        <v>1085</v>
      </c>
      <c r="C135" s="390" t="s">
        <v>1416</v>
      </c>
      <c r="D135" s="427" t="s">
        <v>1417</v>
      </c>
      <c r="E135" s="383">
        <v>14201.46</v>
      </c>
      <c r="F135" s="383">
        <f t="shared" si="31"/>
        <v>11934</v>
      </c>
      <c r="G135" s="414">
        <f t="shared" si="30"/>
        <v>2363.168317</v>
      </c>
      <c r="H135" s="425" t="s">
        <v>1418</v>
      </c>
      <c r="I135" s="422"/>
      <c r="J135" s="423"/>
      <c r="K135" s="423"/>
      <c r="L135" s="440"/>
      <c r="M135" s="423"/>
      <c r="N135" s="423"/>
      <c r="O135" s="423"/>
      <c r="P135" s="423"/>
      <c r="Q135" s="423"/>
      <c r="R135" s="423"/>
      <c r="S135" s="423"/>
      <c r="T135" s="423"/>
      <c r="U135" s="423"/>
      <c r="V135" s="423"/>
      <c r="W135" s="423"/>
      <c r="X135" s="377"/>
      <c r="Y135" s="377"/>
      <c r="Z135" s="377"/>
      <c r="AA135" s="377"/>
      <c r="AB135" s="377"/>
    </row>
    <row r="136">
      <c r="A136" s="390" t="s">
        <v>826</v>
      </c>
      <c r="B136" s="390" t="s">
        <v>1085</v>
      </c>
      <c r="C136" s="390" t="s">
        <v>1419</v>
      </c>
      <c r="D136" s="427" t="s">
        <v>1373</v>
      </c>
      <c r="E136" s="383">
        <v>491102.35</v>
      </c>
      <c r="F136" s="383">
        <v>412691.05</v>
      </c>
      <c r="G136" s="414">
        <f t="shared" si="30"/>
        <v>81721</v>
      </c>
      <c r="H136" s="439"/>
      <c r="I136" s="422"/>
      <c r="J136" s="423"/>
      <c r="K136" s="423"/>
      <c r="L136" s="440"/>
      <c r="M136" s="423"/>
      <c r="N136" s="423"/>
      <c r="O136" s="423"/>
      <c r="P136" s="423"/>
      <c r="Q136" s="423"/>
      <c r="R136" s="423"/>
      <c r="S136" s="423"/>
      <c r="T136" s="423"/>
      <c r="U136" s="423"/>
      <c r="V136" s="423"/>
      <c r="W136" s="423"/>
      <c r="X136" s="377"/>
      <c r="Y136" s="377"/>
      <c r="Z136" s="377"/>
      <c r="AA136" s="377"/>
      <c r="AB136" s="377"/>
    </row>
    <row r="137">
      <c r="A137" s="390"/>
      <c r="B137" s="390" t="s">
        <v>1085</v>
      </c>
      <c r="C137" s="390" t="s">
        <v>1420</v>
      </c>
      <c r="D137" s="427" t="s">
        <v>1421</v>
      </c>
      <c r="E137" s="383"/>
      <c r="F137" s="383"/>
      <c r="G137" s="414"/>
      <c r="H137" s="439"/>
      <c r="I137" s="422"/>
      <c r="J137" s="423"/>
      <c r="K137" s="423"/>
      <c r="L137" s="440"/>
      <c r="M137" s="423"/>
      <c r="N137" s="423"/>
      <c r="O137" s="423"/>
      <c r="P137" s="423"/>
      <c r="Q137" s="423"/>
      <c r="R137" s="423"/>
      <c r="S137" s="423"/>
      <c r="T137" s="423"/>
      <c r="U137" s="423"/>
      <c r="V137" s="423"/>
      <c r="W137" s="424" t="s">
        <v>1422</v>
      </c>
      <c r="X137" s="377"/>
      <c r="Y137" s="377"/>
      <c r="Z137" s="377"/>
      <c r="AA137" s="377"/>
      <c r="AB137" s="377"/>
    </row>
    <row r="138">
      <c r="A138" s="390" t="s">
        <v>1086</v>
      </c>
      <c r="B138" s="390" t="s">
        <v>1085</v>
      </c>
      <c r="C138" s="390" t="s">
        <v>1423</v>
      </c>
      <c r="D138" s="427" t="s">
        <v>1424</v>
      </c>
      <c r="E138" s="383">
        <v>5915.76</v>
      </c>
      <c r="F138" s="383">
        <f>E138/1.19</f>
        <v>4971.226891</v>
      </c>
      <c r="G138" s="414">
        <f>F138/5.05</f>
        <v>984.4013645</v>
      </c>
      <c r="H138" s="425" t="s">
        <v>1425</v>
      </c>
      <c r="I138" s="422"/>
      <c r="J138" s="423"/>
      <c r="K138" s="423"/>
      <c r="L138" s="440"/>
      <c r="M138" s="423"/>
      <c r="N138" s="423"/>
      <c r="O138" s="423"/>
      <c r="P138" s="423"/>
      <c r="Q138" s="423"/>
      <c r="R138" s="423"/>
      <c r="S138" s="423"/>
      <c r="T138" s="423"/>
      <c r="U138" s="423"/>
      <c r="V138" s="423"/>
      <c r="W138" s="423"/>
      <c r="X138" s="377"/>
      <c r="Y138" s="377"/>
      <c r="Z138" s="377"/>
      <c r="AA138" s="377"/>
      <c r="AB138" s="377"/>
    </row>
    <row r="139">
      <c r="A139" s="390" t="s">
        <v>1426</v>
      </c>
      <c r="B139" s="390" t="s">
        <v>1085</v>
      </c>
      <c r="C139" s="390" t="s">
        <v>1427</v>
      </c>
      <c r="D139" s="427" t="s">
        <v>1428</v>
      </c>
      <c r="E139" s="383">
        <f>F139*1.21</f>
        <v>0</v>
      </c>
      <c r="F139" s="383"/>
      <c r="G139" s="414"/>
      <c r="H139" s="442" t="s">
        <v>1429</v>
      </c>
      <c r="I139" s="422"/>
      <c r="J139" s="423"/>
      <c r="K139" s="423"/>
      <c r="L139" s="440"/>
      <c r="M139" s="423"/>
      <c r="N139" s="423"/>
      <c r="O139" s="423"/>
      <c r="P139" s="423"/>
      <c r="Q139" s="423"/>
      <c r="R139" s="423"/>
      <c r="S139" s="423"/>
      <c r="T139" s="423"/>
      <c r="U139" s="423"/>
      <c r="V139" s="423"/>
      <c r="W139" s="423"/>
      <c r="X139" s="377"/>
      <c r="Y139" s="377"/>
      <c r="Z139" s="377"/>
      <c r="AA139" s="377"/>
      <c r="AB139" s="377"/>
    </row>
    <row r="140">
      <c r="A140" s="390" t="s">
        <v>835</v>
      </c>
      <c r="B140" s="390" t="s">
        <v>1085</v>
      </c>
      <c r="C140" s="390" t="s">
        <v>1430</v>
      </c>
      <c r="D140" s="427" t="s">
        <v>1431</v>
      </c>
      <c r="E140" s="383">
        <v>21388.0</v>
      </c>
      <c r="F140" s="383">
        <f>E140/1.09</f>
        <v>19622.01835</v>
      </c>
      <c r="G140" s="414">
        <f>F140/5.07</f>
        <v>3870.220582</v>
      </c>
      <c r="H140" s="439"/>
      <c r="I140" s="422"/>
      <c r="J140" s="423"/>
      <c r="K140" s="423"/>
      <c r="L140" s="440"/>
      <c r="M140" s="423"/>
      <c r="N140" s="423"/>
      <c r="O140" s="423"/>
      <c r="P140" s="423"/>
      <c r="Q140" s="423"/>
      <c r="R140" s="423"/>
      <c r="S140" s="423"/>
      <c r="T140" s="423"/>
      <c r="U140" s="423"/>
      <c r="V140" s="423"/>
      <c r="W140" s="423"/>
      <c r="X140" s="377"/>
      <c r="Y140" s="377"/>
      <c r="Z140" s="377"/>
      <c r="AA140" s="377"/>
      <c r="AB140" s="377"/>
    </row>
    <row r="141">
      <c r="A141" s="390" t="s">
        <v>826</v>
      </c>
      <c r="B141" s="390" t="s">
        <v>1085</v>
      </c>
      <c r="C141" s="390" t="s">
        <v>1432</v>
      </c>
      <c r="D141" s="427" t="s">
        <v>1433</v>
      </c>
      <c r="E141" s="383"/>
      <c r="F141" s="383"/>
      <c r="G141" s="414"/>
      <c r="H141" s="439"/>
      <c r="I141" s="422"/>
      <c r="J141" s="423"/>
      <c r="K141" s="423"/>
      <c r="L141" s="440"/>
      <c r="M141" s="423"/>
      <c r="N141" s="423"/>
      <c r="O141" s="423"/>
      <c r="P141" s="423"/>
      <c r="Q141" s="423"/>
      <c r="R141" s="423"/>
      <c r="S141" s="423"/>
      <c r="T141" s="423"/>
      <c r="U141" s="423"/>
      <c r="V141" s="423"/>
      <c r="W141" s="423"/>
      <c r="X141" s="377"/>
      <c r="Y141" s="377"/>
      <c r="Z141" s="377"/>
      <c r="AA141" s="377"/>
      <c r="AB141" s="377"/>
    </row>
    <row r="142">
      <c r="A142" s="390" t="s">
        <v>835</v>
      </c>
      <c r="B142" s="390" t="s">
        <v>1085</v>
      </c>
      <c r="C142" s="390" t="s">
        <v>1434</v>
      </c>
      <c r="D142" s="427" t="s">
        <v>1435</v>
      </c>
      <c r="E142" s="383">
        <v>26587.93</v>
      </c>
      <c r="F142" s="383">
        <f>E142/1.09</f>
        <v>24392.59633</v>
      </c>
      <c r="G142" s="414">
        <f>F142/5.07</f>
        <v>4811.162984</v>
      </c>
      <c r="H142" s="439"/>
      <c r="I142" s="422"/>
      <c r="J142" s="423"/>
      <c r="K142" s="423"/>
      <c r="L142" s="440"/>
      <c r="M142" s="423"/>
      <c r="N142" s="423"/>
      <c r="O142" s="423"/>
      <c r="P142" s="423"/>
      <c r="Q142" s="423"/>
      <c r="R142" s="423"/>
      <c r="S142" s="423"/>
      <c r="T142" s="423"/>
      <c r="U142" s="423"/>
      <c r="V142" s="423"/>
      <c r="W142" s="423"/>
      <c r="X142" s="377"/>
      <c r="Y142" s="377"/>
      <c r="Z142" s="377"/>
      <c r="AA142" s="377"/>
      <c r="AB142" s="377"/>
    </row>
    <row r="143">
      <c r="A143" s="390" t="s">
        <v>826</v>
      </c>
      <c r="B143" s="390" t="s">
        <v>1085</v>
      </c>
      <c r="C143" s="390" t="s">
        <v>1436</v>
      </c>
      <c r="D143" s="427" t="s">
        <v>1437</v>
      </c>
      <c r="E143" s="383">
        <v>51616.85</v>
      </c>
      <c r="F143" s="383">
        <v>43375.5</v>
      </c>
      <c r="G143" s="414">
        <v>8555.33</v>
      </c>
      <c r="H143" s="439"/>
      <c r="I143" s="422"/>
      <c r="J143" s="423"/>
      <c r="K143" s="423"/>
      <c r="L143" s="440"/>
      <c r="M143" s="423"/>
      <c r="N143" s="423"/>
      <c r="O143" s="423"/>
      <c r="P143" s="423"/>
      <c r="Q143" s="423"/>
      <c r="R143" s="423"/>
      <c r="S143" s="423"/>
      <c r="T143" s="423"/>
      <c r="U143" s="423"/>
      <c r="V143" s="423"/>
      <c r="W143" s="423"/>
      <c r="X143" s="377"/>
      <c r="Y143" s="377"/>
      <c r="Z143" s="377"/>
      <c r="AA143" s="377"/>
      <c r="AB143" s="377"/>
    </row>
    <row r="144">
      <c r="A144" s="390" t="s">
        <v>1086</v>
      </c>
      <c r="B144" s="390" t="s">
        <v>1085</v>
      </c>
      <c r="C144" s="390" t="s">
        <v>1438</v>
      </c>
      <c r="D144" s="427" t="s">
        <v>1439</v>
      </c>
      <c r="E144" s="383">
        <v>11682.83</v>
      </c>
      <c r="F144" s="383">
        <f>E144/1.19</f>
        <v>9817.504202</v>
      </c>
      <c r="G144" s="414">
        <f t="shared" ref="G144:G149" si="32">F144/5.06</f>
        <v>1940.218222</v>
      </c>
      <c r="H144" s="425" t="s">
        <v>1440</v>
      </c>
      <c r="I144" s="422"/>
      <c r="J144" s="423"/>
      <c r="K144" s="423"/>
      <c r="L144" s="440"/>
      <c r="M144" s="423"/>
      <c r="N144" s="423"/>
      <c r="O144" s="423"/>
      <c r="P144" s="423"/>
      <c r="Q144" s="423"/>
      <c r="R144" s="423"/>
      <c r="S144" s="423"/>
      <c r="T144" s="423"/>
      <c r="U144" s="423"/>
      <c r="V144" s="423"/>
      <c r="W144" s="423"/>
      <c r="X144" s="377"/>
      <c r="Y144" s="377"/>
      <c r="Z144" s="377"/>
      <c r="AA144" s="377"/>
      <c r="AB144" s="377"/>
    </row>
    <row r="145">
      <c r="A145" s="443" t="s">
        <v>835</v>
      </c>
      <c r="B145" s="390" t="s">
        <v>1085</v>
      </c>
      <c r="C145" s="390" t="s">
        <v>1441</v>
      </c>
      <c r="D145" s="427" t="s">
        <v>1442</v>
      </c>
      <c r="E145" s="383">
        <v>28826.66</v>
      </c>
      <c r="F145" s="383">
        <f t="shared" ref="F145:F149" si="33">E145/1.09</f>
        <v>26446.47706</v>
      </c>
      <c r="G145" s="414">
        <f t="shared" si="32"/>
        <v>5226.576495</v>
      </c>
      <c r="H145" s="439"/>
      <c r="I145" s="422"/>
      <c r="J145" s="423"/>
      <c r="K145" s="423"/>
      <c r="L145" s="440"/>
      <c r="M145" s="423"/>
      <c r="N145" s="423"/>
      <c r="O145" s="423"/>
      <c r="P145" s="423"/>
      <c r="Q145" s="423"/>
      <c r="R145" s="423"/>
      <c r="S145" s="423"/>
      <c r="T145" s="423"/>
      <c r="U145" s="423"/>
      <c r="V145" s="423"/>
      <c r="W145" s="423"/>
      <c r="X145" s="377"/>
      <c r="Y145" s="377"/>
      <c r="Z145" s="377"/>
      <c r="AA145" s="377"/>
      <c r="AB145" s="377"/>
    </row>
    <row r="146">
      <c r="A146" s="443" t="s">
        <v>835</v>
      </c>
      <c r="B146" s="390" t="s">
        <v>1085</v>
      </c>
      <c r="C146" s="390" t="s">
        <v>1443</v>
      </c>
      <c r="D146" s="427" t="s">
        <v>1444</v>
      </c>
      <c r="E146" s="383">
        <v>23201.43</v>
      </c>
      <c r="F146" s="383">
        <f t="shared" si="33"/>
        <v>21285.7156</v>
      </c>
      <c r="G146" s="414">
        <f t="shared" si="32"/>
        <v>4206.663161</v>
      </c>
      <c r="H146" s="439"/>
      <c r="I146" s="422"/>
      <c r="J146" s="423"/>
      <c r="K146" s="423"/>
      <c r="L146" s="440"/>
      <c r="M146" s="423"/>
      <c r="N146" s="423"/>
      <c r="O146" s="423"/>
      <c r="P146" s="423"/>
      <c r="Q146" s="423"/>
      <c r="R146" s="423"/>
      <c r="S146" s="423"/>
      <c r="T146" s="423"/>
      <c r="U146" s="423"/>
      <c r="V146" s="423"/>
      <c r="W146" s="423"/>
      <c r="X146" s="377"/>
      <c r="Y146" s="377"/>
      <c r="Z146" s="377"/>
      <c r="AA146" s="377"/>
      <c r="AB146" s="377"/>
    </row>
    <row r="147">
      <c r="A147" s="443" t="s">
        <v>835</v>
      </c>
      <c r="B147" s="390" t="s">
        <v>1085</v>
      </c>
      <c r="C147" s="390" t="s">
        <v>1445</v>
      </c>
      <c r="D147" s="427" t="s">
        <v>1446</v>
      </c>
      <c r="E147" s="383">
        <v>26318.0</v>
      </c>
      <c r="F147" s="383">
        <f t="shared" si="33"/>
        <v>24144.95413</v>
      </c>
      <c r="G147" s="414">
        <f t="shared" si="32"/>
        <v>4771.730065</v>
      </c>
      <c r="H147" s="439"/>
      <c r="I147" s="422"/>
      <c r="J147" s="423"/>
      <c r="K147" s="423"/>
      <c r="L147" s="440"/>
      <c r="M147" s="423"/>
      <c r="N147" s="423"/>
      <c r="O147" s="423"/>
      <c r="P147" s="423"/>
      <c r="Q147" s="423"/>
      <c r="R147" s="423"/>
      <c r="S147" s="423"/>
      <c r="T147" s="423"/>
      <c r="U147" s="423"/>
      <c r="V147" s="423"/>
      <c r="W147" s="423"/>
      <c r="X147" s="377"/>
      <c r="Y147" s="377"/>
      <c r="Z147" s="377"/>
      <c r="AA147" s="377"/>
      <c r="AB147" s="377"/>
    </row>
    <row r="148">
      <c r="A148" s="443" t="s">
        <v>835</v>
      </c>
      <c r="B148" s="390" t="s">
        <v>1085</v>
      </c>
      <c r="C148" s="390" t="s">
        <v>1447</v>
      </c>
      <c r="D148" s="427" t="s">
        <v>1448</v>
      </c>
      <c r="E148" s="383">
        <v>38643.0</v>
      </c>
      <c r="F148" s="383">
        <f t="shared" si="33"/>
        <v>35452.29358</v>
      </c>
      <c r="G148" s="414">
        <f t="shared" si="32"/>
        <v>7006.38213</v>
      </c>
      <c r="H148" s="439"/>
      <c r="I148" s="422"/>
      <c r="J148" s="423"/>
      <c r="K148" s="423"/>
      <c r="L148" s="440"/>
      <c r="M148" s="423"/>
      <c r="N148" s="423"/>
      <c r="O148" s="423"/>
      <c r="P148" s="423"/>
      <c r="Q148" s="423"/>
      <c r="R148" s="423"/>
      <c r="S148" s="423"/>
      <c r="T148" s="423"/>
      <c r="U148" s="423"/>
      <c r="V148" s="423"/>
      <c r="W148" s="423"/>
      <c r="X148" s="377"/>
      <c r="Y148" s="377"/>
      <c r="Z148" s="377"/>
      <c r="AA148" s="377"/>
      <c r="AB148" s="377"/>
    </row>
    <row r="149">
      <c r="A149" s="443" t="s">
        <v>835</v>
      </c>
      <c r="B149" s="390" t="s">
        <v>1085</v>
      </c>
      <c r="C149" s="390" t="s">
        <v>1449</v>
      </c>
      <c r="D149" s="427" t="s">
        <v>1450</v>
      </c>
      <c r="E149" s="383">
        <v>54129.09</v>
      </c>
      <c r="F149" s="383">
        <f t="shared" si="33"/>
        <v>49659.7156</v>
      </c>
      <c r="G149" s="414">
        <f t="shared" si="32"/>
        <v>9814.173043</v>
      </c>
      <c r="H149" s="439"/>
      <c r="I149" s="422"/>
      <c r="J149" s="423"/>
      <c r="K149" s="423"/>
      <c r="L149" s="440"/>
      <c r="M149" s="423"/>
      <c r="N149" s="423"/>
      <c r="O149" s="423"/>
      <c r="P149" s="423"/>
      <c r="Q149" s="423"/>
      <c r="R149" s="423"/>
      <c r="S149" s="423"/>
      <c r="T149" s="423"/>
      <c r="U149" s="423"/>
      <c r="V149" s="423"/>
      <c r="W149" s="423"/>
      <c r="X149" s="377"/>
      <c r="Y149" s="377"/>
      <c r="Z149" s="377"/>
      <c r="AA149" s="377"/>
      <c r="AB149" s="377"/>
    </row>
    <row r="150" ht="21.0" customHeight="1">
      <c r="A150" s="390" t="s">
        <v>1451</v>
      </c>
      <c r="B150" s="390" t="s">
        <v>1085</v>
      </c>
      <c r="C150" s="390" t="s">
        <v>1452</v>
      </c>
      <c r="D150" s="427" t="s">
        <v>1453</v>
      </c>
      <c r="E150" s="383">
        <v>47000.0</v>
      </c>
      <c r="F150" s="383">
        <f>E150/1.19</f>
        <v>39495.79832</v>
      </c>
      <c r="G150" s="414">
        <f>F150/5.08</f>
        <v>7774.763449</v>
      </c>
      <c r="H150" s="442" t="s">
        <v>1454</v>
      </c>
      <c r="I150" s="422"/>
      <c r="J150" s="423"/>
      <c r="K150" s="423"/>
      <c r="L150" s="440"/>
      <c r="M150" s="423"/>
      <c r="N150" s="423"/>
      <c r="O150" s="423"/>
      <c r="P150" s="423"/>
      <c r="Q150" s="423"/>
      <c r="R150" s="423"/>
      <c r="S150" s="423"/>
      <c r="T150" s="423"/>
      <c r="U150" s="423"/>
      <c r="V150" s="423"/>
      <c r="W150" s="424" t="s">
        <v>1455</v>
      </c>
      <c r="X150" s="377"/>
      <c r="Y150" s="377"/>
      <c r="Z150" s="377"/>
      <c r="AA150" s="377"/>
      <c r="AB150" s="377"/>
    </row>
    <row r="151">
      <c r="A151" s="390" t="s">
        <v>826</v>
      </c>
      <c r="B151" s="390" t="s">
        <v>1085</v>
      </c>
      <c r="C151" s="390" t="s">
        <v>1456</v>
      </c>
      <c r="D151" s="427" t="s">
        <v>1457</v>
      </c>
      <c r="E151" s="383">
        <v>14875.0</v>
      </c>
      <c r="F151" s="383">
        <v>12500.0</v>
      </c>
      <c r="G151" s="414">
        <v>2500.0</v>
      </c>
      <c r="H151" s="439"/>
      <c r="I151" s="422"/>
      <c r="J151" s="423"/>
      <c r="K151" s="423"/>
      <c r="L151" s="440"/>
      <c r="M151" s="423"/>
      <c r="N151" s="423"/>
      <c r="O151" s="423"/>
      <c r="P151" s="423"/>
      <c r="Q151" s="423"/>
      <c r="R151" s="423"/>
      <c r="S151" s="423"/>
      <c r="T151" s="423"/>
      <c r="U151" s="423"/>
      <c r="V151" s="423"/>
      <c r="W151" s="423"/>
      <c r="X151" s="377"/>
      <c r="Y151" s="377"/>
      <c r="Z151" s="377"/>
      <c r="AA151" s="377"/>
      <c r="AB151" s="377"/>
    </row>
    <row r="152">
      <c r="A152" s="390" t="s">
        <v>826</v>
      </c>
      <c r="B152" s="390" t="s">
        <v>1085</v>
      </c>
      <c r="C152" s="390" t="s">
        <v>1458</v>
      </c>
      <c r="D152" s="427" t="s">
        <v>1373</v>
      </c>
      <c r="E152" s="383">
        <v>2417296.44</v>
      </c>
      <c r="F152" s="383">
        <v>2031341.55</v>
      </c>
      <c r="G152" s="414">
        <v>401450.9</v>
      </c>
      <c r="H152" s="439"/>
      <c r="I152" s="422"/>
      <c r="J152" s="423"/>
      <c r="K152" s="423"/>
      <c r="L152" s="440"/>
      <c r="M152" s="423"/>
      <c r="N152" s="423"/>
      <c r="O152" s="423"/>
      <c r="P152" s="423"/>
      <c r="Q152" s="423"/>
      <c r="R152" s="423"/>
      <c r="S152" s="423"/>
      <c r="T152" s="423"/>
      <c r="U152" s="423"/>
      <c r="V152" s="423"/>
      <c r="W152" s="424" t="s">
        <v>1459</v>
      </c>
      <c r="X152" s="377"/>
      <c r="Y152" s="377"/>
      <c r="Z152" s="377"/>
      <c r="AA152" s="377"/>
      <c r="AB152" s="377"/>
    </row>
    <row r="153">
      <c r="A153" s="390" t="s">
        <v>835</v>
      </c>
      <c r="B153" s="390" t="s">
        <v>1085</v>
      </c>
      <c r="C153" s="390" t="s">
        <v>1460</v>
      </c>
      <c r="D153" s="427" t="s">
        <v>1461</v>
      </c>
      <c r="E153" s="383">
        <v>130688.0</v>
      </c>
      <c r="F153" s="383">
        <f>E153/1.19</f>
        <v>109821.8487</v>
      </c>
      <c r="G153" s="414">
        <f t="shared" ref="G153:G154" si="34">F153/5.06</f>
        <v>21703.92268</v>
      </c>
      <c r="H153" s="439"/>
      <c r="I153" s="422"/>
      <c r="J153" s="423"/>
      <c r="K153" s="423"/>
      <c r="L153" s="440"/>
      <c r="M153" s="423"/>
      <c r="N153" s="423"/>
      <c r="O153" s="423"/>
      <c r="P153" s="423"/>
      <c r="Q153" s="423"/>
      <c r="R153" s="423"/>
      <c r="S153" s="423"/>
      <c r="T153" s="423"/>
      <c r="U153" s="423"/>
      <c r="V153" s="423"/>
      <c r="W153" s="423"/>
      <c r="X153" s="377"/>
      <c r="Y153" s="377"/>
      <c r="Z153" s="377"/>
      <c r="AA153" s="377"/>
      <c r="AB153" s="377"/>
    </row>
    <row r="154">
      <c r="A154" s="390" t="s">
        <v>1086</v>
      </c>
      <c r="B154" s="390" t="s">
        <v>1462</v>
      </c>
      <c r="C154" s="390" t="s">
        <v>1463</v>
      </c>
      <c r="D154" s="427" t="s">
        <v>1464</v>
      </c>
      <c r="E154" s="383">
        <v>36127.39</v>
      </c>
      <c r="F154" s="383">
        <f>E154/1.09</f>
        <v>33144.3945</v>
      </c>
      <c r="G154" s="414">
        <f t="shared" si="34"/>
        <v>6550.275592</v>
      </c>
      <c r="H154" s="444" t="s">
        <v>1465</v>
      </c>
      <c r="I154" s="422"/>
      <c r="J154" s="423"/>
      <c r="K154" s="423"/>
      <c r="L154" s="440"/>
      <c r="M154" s="423"/>
      <c r="N154" s="423"/>
      <c r="O154" s="423"/>
      <c r="P154" s="423"/>
      <c r="Q154" s="423"/>
      <c r="R154" s="423"/>
      <c r="S154" s="423"/>
      <c r="T154" s="423"/>
      <c r="U154" s="423"/>
      <c r="V154" s="423"/>
      <c r="W154" s="424" t="s">
        <v>1466</v>
      </c>
      <c r="X154" s="377"/>
      <c r="Y154" s="377"/>
      <c r="Z154" s="377"/>
      <c r="AA154" s="377"/>
      <c r="AB154" s="377"/>
    </row>
    <row r="155">
      <c r="A155" s="390" t="s">
        <v>1149</v>
      </c>
      <c r="B155" s="390" t="s">
        <v>1462</v>
      </c>
      <c r="C155" s="390" t="s">
        <v>1467</v>
      </c>
      <c r="D155" s="427" t="s">
        <v>1468</v>
      </c>
      <c r="E155" s="383">
        <v>22000.0</v>
      </c>
      <c r="F155" s="383"/>
      <c r="G155" s="414">
        <v>3780.0</v>
      </c>
      <c r="H155" s="444" t="s">
        <v>1465</v>
      </c>
      <c r="I155" s="422"/>
      <c r="J155" s="423"/>
      <c r="K155" s="423"/>
      <c r="L155" s="440"/>
      <c r="M155" s="423"/>
      <c r="N155" s="423"/>
      <c r="O155" s="423"/>
      <c r="P155" s="423"/>
      <c r="Q155" s="423"/>
      <c r="R155" s="423"/>
      <c r="S155" s="423"/>
      <c r="T155" s="423"/>
      <c r="U155" s="423"/>
      <c r="V155" s="423"/>
      <c r="W155" s="423"/>
      <c r="X155" s="377"/>
      <c r="Y155" s="377"/>
      <c r="Z155" s="377"/>
      <c r="AA155" s="377"/>
      <c r="AB155" s="377"/>
    </row>
    <row r="156">
      <c r="A156" s="390" t="s">
        <v>1086</v>
      </c>
      <c r="B156" s="390" t="s">
        <v>1462</v>
      </c>
      <c r="C156" s="390" t="s">
        <v>1469</v>
      </c>
      <c r="D156" s="427" t="s">
        <v>1376</v>
      </c>
      <c r="E156" s="383">
        <v>8175.12</v>
      </c>
      <c r="F156" s="383">
        <f t="shared" ref="F156:F157" si="35">E156/1.19</f>
        <v>6869.848739</v>
      </c>
      <c r="G156" s="414">
        <f t="shared" ref="G156:G157" si="36">F156/5.06</f>
        <v>1357.677617</v>
      </c>
      <c r="H156" s="425" t="s">
        <v>1470</v>
      </c>
      <c r="I156" s="422"/>
      <c r="J156" s="423"/>
      <c r="K156" s="423"/>
      <c r="L156" s="440"/>
      <c r="M156" s="423"/>
      <c r="N156" s="423"/>
      <c r="O156" s="423"/>
      <c r="P156" s="423"/>
      <c r="Q156" s="423"/>
      <c r="R156" s="423"/>
      <c r="S156" s="423"/>
      <c r="T156" s="423"/>
      <c r="U156" s="423"/>
      <c r="V156" s="423"/>
      <c r="W156" s="423"/>
      <c r="X156" s="377"/>
      <c r="Y156" s="377"/>
      <c r="Z156" s="377"/>
      <c r="AA156" s="377"/>
      <c r="AB156" s="377"/>
    </row>
    <row r="157">
      <c r="A157" s="390" t="s">
        <v>835</v>
      </c>
      <c r="B157" s="390" t="s">
        <v>1462</v>
      </c>
      <c r="C157" s="390" t="s">
        <v>1471</v>
      </c>
      <c r="D157" s="427" t="s">
        <v>1472</v>
      </c>
      <c r="E157" s="383">
        <v>163996.62</v>
      </c>
      <c r="F157" s="383">
        <f t="shared" si="35"/>
        <v>137812.2857</v>
      </c>
      <c r="G157" s="414">
        <f t="shared" si="36"/>
        <v>27235.62959</v>
      </c>
      <c r="H157" s="439"/>
      <c r="I157" s="422"/>
      <c r="J157" s="423"/>
      <c r="K157" s="423"/>
      <c r="L157" s="440"/>
      <c r="M157" s="423"/>
      <c r="N157" s="423"/>
      <c r="O157" s="423"/>
      <c r="P157" s="423"/>
      <c r="Q157" s="423"/>
      <c r="R157" s="423"/>
      <c r="S157" s="423"/>
      <c r="T157" s="423"/>
      <c r="U157" s="423"/>
      <c r="V157" s="423"/>
      <c r="W157" s="423"/>
      <c r="X157" s="377"/>
      <c r="Y157" s="377"/>
      <c r="Z157" s="377"/>
      <c r="AA157" s="377"/>
      <c r="AB157" s="377"/>
    </row>
    <row r="158">
      <c r="A158" s="390" t="s">
        <v>1149</v>
      </c>
      <c r="B158" s="390" t="s">
        <v>1462</v>
      </c>
      <c r="C158" s="390" t="s">
        <v>1473</v>
      </c>
      <c r="D158" s="427" t="s">
        <v>1474</v>
      </c>
      <c r="E158" s="383">
        <v>35200.0</v>
      </c>
      <c r="F158" s="383"/>
      <c r="G158" s="414">
        <v>6493.0</v>
      </c>
      <c r="H158" s="444" t="s">
        <v>1475</v>
      </c>
      <c r="I158" s="422"/>
      <c r="J158" s="423"/>
      <c r="K158" s="423"/>
      <c r="L158" s="440"/>
      <c r="M158" s="423"/>
      <c r="N158" s="423"/>
      <c r="O158" s="423"/>
      <c r="P158" s="423"/>
      <c r="Q158" s="423"/>
      <c r="R158" s="423"/>
      <c r="S158" s="423"/>
      <c r="T158" s="423"/>
      <c r="U158" s="423"/>
      <c r="V158" s="423"/>
      <c r="W158" s="424" t="s">
        <v>1476</v>
      </c>
      <c r="X158" s="377"/>
      <c r="Y158" s="377"/>
      <c r="Z158" s="377"/>
      <c r="AA158" s="377"/>
      <c r="AB158" s="377"/>
    </row>
    <row r="159">
      <c r="A159" s="390" t="s">
        <v>835</v>
      </c>
      <c r="B159" s="390" t="s">
        <v>1462</v>
      </c>
      <c r="C159" s="390" t="s">
        <v>1477</v>
      </c>
      <c r="D159" s="427" t="s">
        <v>1478</v>
      </c>
      <c r="E159" s="383">
        <v>32163.07</v>
      </c>
      <c r="F159" s="383">
        <f t="shared" ref="F159:F162" si="37">E159/1.09</f>
        <v>29507.40367</v>
      </c>
      <c r="G159" s="414">
        <f t="shared" ref="G159:G169" si="38">F159/5.06</f>
        <v>5831.502702</v>
      </c>
      <c r="H159" s="439"/>
      <c r="I159" s="422"/>
      <c r="J159" s="423"/>
      <c r="K159" s="423"/>
      <c r="L159" s="440"/>
      <c r="M159" s="423"/>
      <c r="N159" s="423"/>
      <c r="O159" s="423"/>
      <c r="P159" s="423"/>
      <c r="Q159" s="423"/>
      <c r="R159" s="423"/>
      <c r="S159" s="423"/>
      <c r="T159" s="423"/>
      <c r="U159" s="423"/>
      <c r="V159" s="423"/>
      <c r="W159" s="423"/>
      <c r="X159" s="377"/>
      <c r="Y159" s="377"/>
      <c r="Z159" s="377"/>
      <c r="AA159" s="377"/>
      <c r="AB159" s="377"/>
    </row>
    <row r="160">
      <c r="A160" s="390" t="s">
        <v>835</v>
      </c>
      <c r="B160" s="390" t="s">
        <v>1462</v>
      </c>
      <c r="C160" s="390" t="s">
        <v>1479</v>
      </c>
      <c r="D160" s="427" t="s">
        <v>1480</v>
      </c>
      <c r="E160" s="383">
        <v>36894.86</v>
      </c>
      <c r="F160" s="383">
        <f t="shared" si="37"/>
        <v>33848.49541</v>
      </c>
      <c r="G160" s="414">
        <f t="shared" si="38"/>
        <v>6689.425971</v>
      </c>
      <c r="H160" s="439"/>
      <c r="I160" s="422"/>
      <c r="J160" s="423"/>
      <c r="K160" s="423"/>
      <c r="L160" s="440"/>
      <c r="M160" s="423"/>
      <c r="N160" s="423"/>
      <c r="O160" s="423"/>
      <c r="P160" s="423"/>
      <c r="Q160" s="423"/>
      <c r="R160" s="423"/>
      <c r="S160" s="423"/>
      <c r="T160" s="423"/>
      <c r="U160" s="423"/>
      <c r="V160" s="423"/>
      <c r="W160" s="423"/>
      <c r="X160" s="377"/>
      <c r="Y160" s="377"/>
      <c r="Z160" s="377"/>
      <c r="AA160" s="377"/>
      <c r="AB160" s="377"/>
    </row>
    <row r="161">
      <c r="A161" s="390" t="s">
        <v>835</v>
      </c>
      <c r="B161" s="390" t="s">
        <v>1462</v>
      </c>
      <c r="C161" s="390" t="s">
        <v>1481</v>
      </c>
      <c r="D161" s="427" t="s">
        <v>1482</v>
      </c>
      <c r="E161" s="383">
        <v>21775.04</v>
      </c>
      <c r="F161" s="383">
        <f t="shared" si="37"/>
        <v>19977.10092</v>
      </c>
      <c r="G161" s="414">
        <f t="shared" si="38"/>
        <v>3948.04366</v>
      </c>
      <c r="H161" s="439"/>
      <c r="I161" s="422"/>
      <c r="J161" s="423"/>
      <c r="K161" s="423"/>
      <c r="L161" s="440"/>
      <c r="M161" s="423"/>
      <c r="N161" s="423"/>
      <c r="O161" s="423"/>
      <c r="P161" s="423"/>
      <c r="Q161" s="423"/>
      <c r="R161" s="423"/>
      <c r="S161" s="423"/>
      <c r="T161" s="423"/>
      <c r="U161" s="423"/>
      <c r="V161" s="423"/>
      <c r="W161" s="423"/>
      <c r="X161" s="377"/>
      <c r="Y161" s="377"/>
      <c r="Z161" s="377"/>
      <c r="AA161" s="377"/>
      <c r="AB161" s="377"/>
    </row>
    <row r="162">
      <c r="A162" s="390" t="s">
        <v>835</v>
      </c>
      <c r="B162" s="390" t="s">
        <v>1462</v>
      </c>
      <c r="C162" s="390" t="s">
        <v>1483</v>
      </c>
      <c r="D162" s="427" t="s">
        <v>1484</v>
      </c>
      <c r="E162" s="383">
        <v>23496.83</v>
      </c>
      <c r="F162" s="383">
        <f t="shared" si="37"/>
        <v>21556.72477</v>
      </c>
      <c r="G162" s="414">
        <f t="shared" si="38"/>
        <v>4260.222287</v>
      </c>
      <c r="H162" s="439"/>
      <c r="I162" s="422"/>
      <c r="J162" s="423"/>
      <c r="K162" s="423"/>
      <c r="L162" s="440"/>
      <c r="M162" s="423"/>
      <c r="N162" s="423"/>
      <c r="O162" s="423"/>
      <c r="P162" s="423"/>
      <c r="Q162" s="423"/>
      <c r="R162" s="423"/>
      <c r="S162" s="423"/>
      <c r="T162" s="423"/>
      <c r="U162" s="423"/>
      <c r="V162" s="423"/>
      <c r="W162" s="423"/>
      <c r="X162" s="377"/>
      <c r="Y162" s="377"/>
      <c r="Z162" s="377"/>
      <c r="AA162" s="377"/>
      <c r="AB162" s="377"/>
    </row>
    <row r="163">
      <c r="A163" s="390" t="s">
        <v>835</v>
      </c>
      <c r="B163" s="390" t="s">
        <v>1462</v>
      </c>
      <c r="C163" s="390" t="s">
        <v>1485</v>
      </c>
      <c r="D163" s="427" t="s">
        <v>1486</v>
      </c>
      <c r="E163" s="383">
        <v>24000.0</v>
      </c>
      <c r="F163" s="383">
        <f>E163/1.19</f>
        <v>20168.06723</v>
      </c>
      <c r="G163" s="414">
        <f t="shared" si="38"/>
        <v>3985.784037</v>
      </c>
      <c r="H163" s="439"/>
      <c r="I163" s="422"/>
      <c r="J163" s="423"/>
      <c r="K163" s="423"/>
      <c r="L163" s="440"/>
      <c r="M163" s="423"/>
      <c r="N163" s="423"/>
      <c r="O163" s="423"/>
      <c r="P163" s="423"/>
      <c r="Q163" s="423"/>
      <c r="R163" s="423"/>
      <c r="S163" s="423"/>
      <c r="T163" s="423"/>
      <c r="U163" s="423"/>
      <c r="V163" s="423"/>
      <c r="W163" s="423"/>
      <c r="X163" s="377"/>
      <c r="Y163" s="377"/>
      <c r="Z163" s="377"/>
      <c r="AA163" s="377"/>
      <c r="AB163" s="377"/>
    </row>
    <row r="164">
      <c r="A164" s="390" t="s">
        <v>835</v>
      </c>
      <c r="B164" s="390" t="s">
        <v>1462</v>
      </c>
      <c r="C164" s="390" t="s">
        <v>1487</v>
      </c>
      <c r="D164" s="427" t="s">
        <v>1488</v>
      </c>
      <c r="E164" s="383">
        <v>37000.0</v>
      </c>
      <c r="F164" s="383">
        <f t="shared" ref="F164:F168" si="39">E164/1.09</f>
        <v>33944.95413</v>
      </c>
      <c r="G164" s="414">
        <f t="shared" si="38"/>
        <v>6708.488958</v>
      </c>
      <c r="H164" s="439"/>
      <c r="I164" s="422"/>
      <c r="J164" s="423"/>
      <c r="K164" s="423"/>
      <c r="L164" s="440"/>
      <c r="M164" s="423"/>
      <c r="N164" s="423"/>
      <c r="O164" s="423"/>
      <c r="P164" s="423"/>
      <c r="Q164" s="423"/>
      <c r="R164" s="423"/>
      <c r="S164" s="423"/>
      <c r="T164" s="423"/>
      <c r="U164" s="423"/>
      <c r="V164" s="423"/>
      <c r="W164" s="423"/>
      <c r="X164" s="377"/>
      <c r="Y164" s="377"/>
      <c r="Z164" s="377"/>
      <c r="AA164" s="377"/>
      <c r="AB164" s="377"/>
    </row>
    <row r="165">
      <c r="A165" s="390" t="s">
        <v>835</v>
      </c>
      <c r="B165" s="390" t="s">
        <v>1462</v>
      </c>
      <c r="C165" s="390" t="s">
        <v>1489</v>
      </c>
      <c r="D165" s="427" t="s">
        <v>1490</v>
      </c>
      <c r="E165" s="383">
        <v>32794.68</v>
      </c>
      <c r="F165" s="383">
        <f t="shared" si="39"/>
        <v>30086.86239</v>
      </c>
      <c r="G165" s="414">
        <f t="shared" si="38"/>
        <v>5946.020234</v>
      </c>
      <c r="H165" s="439"/>
      <c r="I165" s="422"/>
      <c r="J165" s="423"/>
      <c r="K165" s="423"/>
      <c r="L165" s="440"/>
      <c r="M165" s="423"/>
      <c r="N165" s="423"/>
      <c r="O165" s="423"/>
      <c r="P165" s="423"/>
      <c r="Q165" s="423"/>
      <c r="R165" s="423"/>
      <c r="S165" s="423"/>
      <c r="T165" s="423"/>
      <c r="U165" s="423"/>
      <c r="V165" s="423"/>
      <c r="W165" s="423"/>
      <c r="X165" s="377"/>
      <c r="Y165" s="377"/>
      <c r="Z165" s="377"/>
      <c r="AA165" s="377"/>
      <c r="AB165" s="377"/>
    </row>
    <row r="166">
      <c r="A166" s="390" t="s">
        <v>835</v>
      </c>
      <c r="B166" s="390" t="s">
        <v>1462</v>
      </c>
      <c r="C166" s="390" t="s">
        <v>1491</v>
      </c>
      <c r="D166" s="427" t="s">
        <v>1492</v>
      </c>
      <c r="E166" s="383">
        <v>24454.59</v>
      </c>
      <c r="F166" s="383">
        <f t="shared" si="39"/>
        <v>22435.40367</v>
      </c>
      <c r="G166" s="414">
        <f t="shared" si="38"/>
        <v>4433.874243</v>
      </c>
      <c r="H166" s="439"/>
      <c r="I166" s="422"/>
      <c r="J166" s="423"/>
      <c r="K166" s="423"/>
      <c r="L166" s="440"/>
      <c r="M166" s="423"/>
      <c r="N166" s="423"/>
      <c r="O166" s="423"/>
      <c r="P166" s="423"/>
      <c r="Q166" s="423"/>
      <c r="R166" s="423"/>
      <c r="S166" s="423"/>
      <c r="T166" s="423"/>
      <c r="U166" s="423"/>
      <c r="V166" s="423"/>
      <c r="W166" s="423"/>
      <c r="X166" s="377"/>
      <c r="Y166" s="377"/>
      <c r="Z166" s="377"/>
      <c r="AA166" s="377"/>
      <c r="AB166" s="377"/>
    </row>
    <row r="167">
      <c r="A167" s="390" t="s">
        <v>835</v>
      </c>
      <c r="B167" s="390" t="s">
        <v>1462</v>
      </c>
      <c r="C167" s="390" t="s">
        <v>1493</v>
      </c>
      <c r="D167" s="427" t="s">
        <v>1494</v>
      </c>
      <c r="E167" s="383">
        <v>20575.71</v>
      </c>
      <c r="F167" s="383">
        <f t="shared" si="39"/>
        <v>18876.79817</v>
      </c>
      <c r="G167" s="414">
        <f t="shared" si="38"/>
        <v>3730.592523</v>
      </c>
      <c r="H167" s="439"/>
      <c r="I167" s="422"/>
      <c r="J167" s="423"/>
      <c r="K167" s="423"/>
      <c r="L167" s="440"/>
      <c r="M167" s="423"/>
      <c r="N167" s="423"/>
      <c r="O167" s="423"/>
      <c r="P167" s="423"/>
      <c r="Q167" s="423"/>
      <c r="R167" s="423"/>
      <c r="S167" s="423"/>
      <c r="T167" s="423"/>
      <c r="U167" s="423"/>
      <c r="V167" s="423"/>
      <c r="W167" s="423"/>
      <c r="X167" s="377"/>
      <c r="Y167" s="377"/>
      <c r="Z167" s="377"/>
      <c r="AA167" s="377"/>
      <c r="AB167" s="377"/>
    </row>
    <row r="168">
      <c r="A168" s="390" t="s">
        <v>835</v>
      </c>
      <c r="B168" s="390" t="s">
        <v>1462</v>
      </c>
      <c r="C168" s="390" t="s">
        <v>1495</v>
      </c>
      <c r="D168" s="427" t="s">
        <v>44</v>
      </c>
      <c r="E168" s="383">
        <v>22817.92</v>
      </c>
      <c r="F168" s="383">
        <f t="shared" si="39"/>
        <v>20933.87156</v>
      </c>
      <c r="G168" s="414">
        <f t="shared" si="38"/>
        <v>4137.128767</v>
      </c>
      <c r="H168" s="439"/>
      <c r="I168" s="422"/>
      <c r="J168" s="423"/>
      <c r="K168" s="423"/>
      <c r="L168" s="440"/>
      <c r="M168" s="423"/>
      <c r="N168" s="423"/>
      <c r="O168" s="423"/>
      <c r="P168" s="423"/>
      <c r="Q168" s="423"/>
      <c r="R168" s="423"/>
      <c r="S168" s="423"/>
      <c r="T168" s="423"/>
      <c r="U168" s="423"/>
      <c r="V168" s="423"/>
      <c r="W168" s="423"/>
      <c r="X168" s="377"/>
      <c r="Y168" s="377"/>
      <c r="Z168" s="377"/>
      <c r="AA168" s="377"/>
      <c r="AB168" s="377"/>
    </row>
    <row r="169">
      <c r="A169" s="390" t="s">
        <v>145</v>
      </c>
      <c r="B169" s="390" t="s">
        <v>1462</v>
      </c>
      <c r="C169" s="390" t="s">
        <v>1496</v>
      </c>
      <c r="D169" s="427" t="s">
        <v>1497</v>
      </c>
      <c r="E169" s="383">
        <v>31000.0</v>
      </c>
      <c r="F169" s="383">
        <f>E169/1.19</f>
        <v>26050.42017</v>
      </c>
      <c r="G169" s="414">
        <f t="shared" si="38"/>
        <v>5148.304381</v>
      </c>
      <c r="H169" s="425" t="s">
        <v>1498</v>
      </c>
      <c r="I169" s="422"/>
      <c r="J169" s="423"/>
      <c r="K169" s="423"/>
      <c r="L169" s="440"/>
      <c r="M169" s="424" t="s">
        <v>1006</v>
      </c>
      <c r="N169" s="423"/>
      <c r="O169" s="423"/>
      <c r="P169" s="423"/>
      <c r="Q169" s="423"/>
      <c r="R169" s="423"/>
      <c r="S169" s="423"/>
      <c r="T169" s="423"/>
      <c r="U169" s="423"/>
      <c r="V169" s="423"/>
      <c r="W169" s="423"/>
      <c r="X169" s="377"/>
      <c r="Y169" s="377"/>
      <c r="Z169" s="377"/>
      <c r="AA169" s="377"/>
      <c r="AB169" s="377"/>
    </row>
    <row r="170">
      <c r="A170" s="390" t="s">
        <v>839</v>
      </c>
      <c r="B170" s="390" t="s">
        <v>1462</v>
      </c>
      <c r="C170" s="390" t="s">
        <v>1499</v>
      </c>
      <c r="D170" s="427" t="s">
        <v>1500</v>
      </c>
      <c r="E170" s="383">
        <v>52501.0</v>
      </c>
      <c r="F170" s="383">
        <f t="shared" ref="F170:F174" si="40">E170/1.09</f>
        <v>48166.05505</v>
      </c>
      <c r="G170" s="414">
        <f>F170/5.069</f>
        <v>9502.082274</v>
      </c>
      <c r="H170" s="425"/>
      <c r="I170" s="422"/>
      <c r="J170" s="423"/>
      <c r="K170" s="423"/>
      <c r="L170" s="440"/>
      <c r="M170" s="423"/>
      <c r="N170" s="423"/>
      <c r="O170" s="423"/>
      <c r="P170" s="423"/>
      <c r="Q170" s="423"/>
      <c r="R170" s="423"/>
      <c r="S170" s="423"/>
      <c r="T170" s="423"/>
      <c r="U170" s="423"/>
      <c r="V170" s="423"/>
      <c r="W170" s="423"/>
      <c r="X170" s="377"/>
      <c r="Y170" s="377"/>
      <c r="Z170" s="377"/>
      <c r="AA170" s="377"/>
      <c r="AB170" s="377"/>
    </row>
    <row r="171">
      <c r="A171" s="390" t="s">
        <v>835</v>
      </c>
      <c r="B171" s="390" t="s">
        <v>1462</v>
      </c>
      <c r="C171" s="390" t="s">
        <v>1501</v>
      </c>
      <c r="D171" s="427" t="s">
        <v>1502</v>
      </c>
      <c r="E171" s="383">
        <v>44560.0</v>
      </c>
      <c r="F171" s="383">
        <f t="shared" si="40"/>
        <v>40880.73394</v>
      </c>
      <c r="G171" s="414">
        <v>8079.2</v>
      </c>
      <c r="H171" s="439"/>
      <c r="I171" s="422"/>
      <c r="J171" s="423"/>
      <c r="K171" s="423"/>
      <c r="L171" s="440"/>
      <c r="M171" s="423"/>
      <c r="N171" s="423"/>
      <c r="O171" s="423"/>
      <c r="P171" s="423"/>
      <c r="Q171" s="423"/>
      <c r="R171" s="423"/>
      <c r="S171" s="423"/>
      <c r="T171" s="423"/>
      <c r="U171" s="423"/>
      <c r="V171" s="423"/>
      <c r="W171" s="423"/>
      <c r="X171" s="377"/>
      <c r="Y171" s="377"/>
      <c r="Z171" s="377"/>
      <c r="AA171" s="377"/>
      <c r="AB171" s="377"/>
    </row>
    <row r="172">
      <c r="A172" s="390" t="s">
        <v>835</v>
      </c>
      <c r="B172" s="390" t="s">
        <v>1462</v>
      </c>
      <c r="C172" s="390" t="s">
        <v>1503</v>
      </c>
      <c r="D172" s="427" t="s">
        <v>1504</v>
      </c>
      <c r="E172" s="383">
        <v>19590.74</v>
      </c>
      <c r="F172" s="383">
        <f t="shared" si="40"/>
        <v>17973.15596</v>
      </c>
      <c r="G172" s="414">
        <f>F172/5.06</f>
        <v>3552.007107</v>
      </c>
      <c r="H172" s="425" t="s">
        <v>1475</v>
      </c>
      <c r="I172" s="422"/>
      <c r="J172" s="423"/>
      <c r="K172" s="423"/>
      <c r="L172" s="440"/>
      <c r="M172" s="424"/>
      <c r="N172" s="423"/>
      <c r="O172" s="423"/>
      <c r="P172" s="423"/>
      <c r="Q172" s="423"/>
      <c r="R172" s="423"/>
      <c r="S172" s="423"/>
      <c r="T172" s="423"/>
      <c r="U172" s="423"/>
      <c r="V172" s="423"/>
      <c r="W172" s="423"/>
      <c r="X172" s="377"/>
      <c r="Y172" s="377"/>
      <c r="Z172" s="377"/>
      <c r="AA172" s="377"/>
      <c r="AB172" s="377"/>
    </row>
    <row r="173">
      <c r="A173" s="390" t="s">
        <v>835</v>
      </c>
      <c r="B173" s="390" t="s">
        <v>1462</v>
      </c>
      <c r="C173" s="390" t="s">
        <v>1505</v>
      </c>
      <c r="D173" s="427" t="s">
        <v>1506</v>
      </c>
      <c r="E173" s="383">
        <v>34000.0</v>
      </c>
      <c r="F173" s="383">
        <f t="shared" si="40"/>
        <v>31192.66055</v>
      </c>
      <c r="G173" s="414">
        <v>6164.56</v>
      </c>
      <c r="H173" s="439"/>
      <c r="I173" s="422"/>
      <c r="J173" s="423"/>
      <c r="K173" s="423"/>
      <c r="L173" s="440"/>
      <c r="M173" s="423"/>
      <c r="N173" s="423"/>
      <c r="O173" s="423"/>
      <c r="P173" s="423"/>
      <c r="Q173" s="423"/>
      <c r="R173" s="423"/>
      <c r="S173" s="423"/>
      <c r="T173" s="423"/>
      <c r="U173" s="423"/>
      <c r="V173" s="423"/>
      <c r="W173" s="423"/>
      <c r="X173" s="377"/>
      <c r="Y173" s="377"/>
      <c r="Z173" s="377"/>
      <c r="AA173" s="377"/>
      <c r="AB173" s="377"/>
    </row>
    <row r="174">
      <c r="A174" s="390" t="s">
        <v>1086</v>
      </c>
      <c r="B174" s="390" t="s">
        <v>1462</v>
      </c>
      <c r="C174" s="390" t="s">
        <v>1507</v>
      </c>
      <c r="D174" s="427" t="s">
        <v>1508</v>
      </c>
      <c r="E174" s="383">
        <v>26176.41</v>
      </c>
      <c r="F174" s="383">
        <f t="shared" si="40"/>
        <v>24015.05505</v>
      </c>
      <c r="G174" s="414">
        <f t="shared" ref="G174:G175" si="41">F174/5.06</f>
        <v>4746.058309</v>
      </c>
      <c r="H174" s="425" t="s">
        <v>1509</v>
      </c>
      <c r="I174" s="422"/>
      <c r="J174" s="423"/>
      <c r="K174" s="423"/>
      <c r="L174" s="440"/>
      <c r="M174" s="423"/>
      <c r="N174" s="423"/>
      <c r="O174" s="423"/>
      <c r="P174" s="423"/>
      <c r="Q174" s="423"/>
      <c r="R174" s="423"/>
      <c r="S174" s="423"/>
      <c r="T174" s="423"/>
      <c r="U174" s="423"/>
      <c r="V174" s="423"/>
      <c r="W174" s="423"/>
      <c r="X174" s="377"/>
      <c r="Y174" s="377"/>
      <c r="Z174" s="377"/>
      <c r="AA174" s="377"/>
      <c r="AB174" s="377"/>
    </row>
    <row r="175">
      <c r="A175" s="390" t="s">
        <v>1086</v>
      </c>
      <c r="B175" s="390" t="s">
        <v>1462</v>
      </c>
      <c r="C175" s="390" t="s">
        <v>1510</v>
      </c>
      <c r="D175" s="427" t="s">
        <v>1511</v>
      </c>
      <c r="E175" s="383">
        <v>21369.78</v>
      </c>
      <c r="F175" s="383">
        <f>E175/1.21</f>
        <v>17660.97521</v>
      </c>
      <c r="G175" s="414">
        <f t="shared" si="41"/>
        <v>3490.311306</v>
      </c>
      <c r="H175" s="425" t="s">
        <v>1512</v>
      </c>
      <c r="I175" s="422"/>
      <c r="J175" s="423"/>
      <c r="K175" s="423"/>
      <c r="L175" s="440"/>
      <c r="M175" s="423"/>
      <c r="N175" s="423"/>
      <c r="O175" s="423"/>
      <c r="P175" s="423"/>
      <c r="Q175" s="423"/>
      <c r="R175" s="423"/>
      <c r="S175" s="423"/>
      <c r="T175" s="423"/>
      <c r="U175" s="423"/>
      <c r="V175" s="423"/>
      <c r="W175" s="423"/>
      <c r="X175" s="377"/>
      <c r="Y175" s="377"/>
      <c r="Z175" s="377"/>
      <c r="AA175" s="377"/>
      <c r="AB175" s="377"/>
    </row>
    <row r="176">
      <c r="A176" s="390" t="s">
        <v>369</v>
      </c>
      <c r="B176" s="390" t="s">
        <v>369</v>
      </c>
      <c r="C176" s="390" t="s">
        <v>369</v>
      </c>
      <c r="D176" s="427" t="s">
        <v>369</v>
      </c>
      <c r="E176" s="383" t="s">
        <v>369</v>
      </c>
      <c r="F176" s="383" t="s">
        <v>369</v>
      </c>
      <c r="G176" s="414" t="s">
        <v>369</v>
      </c>
      <c r="H176" s="439"/>
      <c r="I176" s="422"/>
      <c r="J176" s="423"/>
      <c r="K176" s="423"/>
      <c r="L176" s="440"/>
      <c r="M176" s="423"/>
      <c r="N176" s="423"/>
      <c r="O176" s="423"/>
      <c r="P176" s="423"/>
      <c r="Q176" s="423"/>
      <c r="R176" s="423"/>
      <c r="S176" s="423"/>
      <c r="T176" s="423"/>
      <c r="U176" s="423"/>
      <c r="V176" s="423"/>
      <c r="W176" s="423"/>
      <c r="X176" s="377"/>
      <c r="Y176" s="377"/>
      <c r="Z176" s="377"/>
      <c r="AA176" s="377"/>
      <c r="AB176" s="377"/>
    </row>
    <row r="177">
      <c r="A177" s="390" t="s">
        <v>1086</v>
      </c>
      <c r="B177" s="390" t="s">
        <v>1462</v>
      </c>
      <c r="C177" s="390" t="s">
        <v>1513</v>
      </c>
      <c r="D177" s="427" t="s">
        <v>1514</v>
      </c>
      <c r="E177" s="383">
        <v>50377.88</v>
      </c>
      <c r="F177" s="383">
        <f>E177/1.09</f>
        <v>46218.23853</v>
      </c>
      <c r="G177" s="414">
        <f>F177/5.06</f>
        <v>9134.039236</v>
      </c>
      <c r="H177" s="425" t="s">
        <v>1515</v>
      </c>
      <c r="I177" s="422"/>
      <c r="J177" s="423"/>
      <c r="K177" s="423"/>
      <c r="L177" s="440"/>
      <c r="M177" s="423"/>
      <c r="N177" s="423"/>
      <c r="O177" s="423"/>
      <c r="P177" s="423"/>
      <c r="Q177" s="423"/>
      <c r="R177" s="423"/>
      <c r="S177" s="423"/>
      <c r="T177" s="423"/>
      <c r="U177" s="423"/>
      <c r="V177" s="423"/>
      <c r="W177" s="423"/>
      <c r="X177" s="377"/>
      <c r="Y177" s="377"/>
      <c r="Z177" s="377"/>
      <c r="AA177" s="377"/>
      <c r="AB177" s="377"/>
    </row>
    <row r="178">
      <c r="A178" s="390" t="s">
        <v>826</v>
      </c>
      <c r="B178" s="390" t="s">
        <v>1462</v>
      </c>
      <c r="C178" s="390" t="s">
        <v>1516</v>
      </c>
      <c r="D178" s="427" t="s">
        <v>1517</v>
      </c>
      <c r="E178" s="383">
        <v>40764.0</v>
      </c>
      <c r="F178" s="383">
        <v>34255.46</v>
      </c>
      <c r="G178" s="414">
        <v>6770.0</v>
      </c>
      <c r="H178" s="439"/>
      <c r="I178" s="422"/>
      <c r="J178" s="423"/>
      <c r="K178" s="423"/>
      <c r="L178" s="440"/>
      <c r="M178" s="423"/>
      <c r="N178" s="423"/>
      <c r="O178" s="423"/>
      <c r="P178" s="423"/>
      <c r="Q178" s="423"/>
      <c r="R178" s="423"/>
      <c r="S178" s="423"/>
      <c r="T178" s="423"/>
      <c r="U178" s="423"/>
      <c r="V178" s="423"/>
      <c r="W178" s="423"/>
      <c r="X178" s="377"/>
      <c r="Y178" s="377"/>
      <c r="Z178" s="377"/>
      <c r="AA178" s="377"/>
      <c r="AB178" s="377"/>
    </row>
    <row r="179">
      <c r="A179" s="390" t="s">
        <v>145</v>
      </c>
      <c r="B179" s="390" t="s">
        <v>1518</v>
      </c>
      <c r="C179" s="390" t="s">
        <v>1519</v>
      </c>
      <c r="D179" s="427" t="s">
        <v>1520</v>
      </c>
      <c r="E179" s="383">
        <f>F179*1.21</f>
        <v>327961.1104</v>
      </c>
      <c r="F179" s="383">
        <v>271042.24</v>
      </c>
      <c r="G179" s="414">
        <v>53145.54</v>
      </c>
      <c r="H179" s="439"/>
      <c r="I179" s="422"/>
      <c r="J179" s="423"/>
      <c r="K179" s="423"/>
      <c r="L179" s="440"/>
      <c r="M179" s="424" t="s">
        <v>1006</v>
      </c>
      <c r="N179" s="423"/>
      <c r="O179" s="423"/>
      <c r="P179" s="423"/>
      <c r="Q179" s="423"/>
      <c r="R179" s="423"/>
      <c r="S179" s="423"/>
      <c r="T179" s="423"/>
      <c r="U179" s="423"/>
      <c r="V179" s="423"/>
      <c r="W179" s="423"/>
      <c r="X179" s="377"/>
      <c r="Y179" s="377"/>
      <c r="Z179" s="377"/>
      <c r="AA179" s="377"/>
      <c r="AB179" s="377"/>
    </row>
    <row r="180">
      <c r="A180" s="390" t="s">
        <v>1086</v>
      </c>
      <c r="B180" s="390" t="s">
        <v>1518</v>
      </c>
      <c r="C180" s="390" t="s">
        <v>1521</v>
      </c>
      <c r="D180" s="427" t="s">
        <v>1522</v>
      </c>
      <c r="E180" s="383">
        <v>28453.54</v>
      </c>
      <c r="F180" s="383">
        <f t="shared" ref="F180:F189" si="42">E180/1.21</f>
        <v>23515.32231</v>
      </c>
      <c r="G180" s="414">
        <f t="shared" ref="G180:G182" si="43">F180/5.07</f>
        <v>4638.130634</v>
      </c>
      <c r="H180" s="425" t="s">
        <v>1523</v>
      </c>
      <c r="I180" s="422"/>
      <c r="J180" s="423"/>
      <c r="K180" s="423"/>
      <c r="L180" s="440"/>
      <c r="M180" s="423"/>
      <c r="N180" s="423"/>
      <c r="O180" s="423"/>
      <c r="P180" s="423"/>
      <c r="Q180" s="423"/>
      <c r="R180" s="423"/>
      <c r="S180" s="423"/>
      <c r="T180" s="423"/>
      <c r="U180" s="423"/>
      <c r="V180" s="423"/>
      <c r="W180" s="423"/>
      <c r="X180" s="377"/>
      <c r="Y180" s="377"/>
      <c r="Z180" s="377"/>
      <c r="AA180" s="377"/>
      <c r="AB180" s="377"/>
    </row>
    <row r="181">
      <c r="A181" s="390" t="s">
        <v>1086</v>
      </c>
      <c r="B181" s="390" t="s">
        <v>1518</v>
      </c>
      <c r="C181" s="390" t="s">
        <v>1524</v>
      </c>
      <c r="D181" s="427" t="s">
        <v>1525</v>
      </c>
      <c r="E181" s="383">
        <v>4733.82</v>
      </c>
      <c r="F181" s="383">
        <f t="shared" si="42"/>
        <v>3912.247934</v>
      </c>
      <c r="G181" s="414">
        <f t="shared" si="43"/>
        <v>771.6465353</v>
      </c>
      <c r="H181" s="425" t="s">
        <v>1526</v>
      </c>
      <c r="I181" s="422"/>
      <c r="J181" s="423"/>
      <c r="K181" s="423"/>
      <c r="L181" s="440"/>
      <c r="M181" s="423"/>
      <c r="N181" s="423"/>
      <c r="O181" s="423"/>
      <c r="P181" s="423"/>
      <c r="Q181" s="423"/>
      <c r="R181" s="423"/>
      <c r="S181" s="423"/>
      <c r="T181" s="423"/>
      <c r="U181" s="423"/>
      <c r="V181" s="423"/>
      <c r="W181" s="423"/>
      <c r="X181" s="377"/>
      <c r="Y181" s="377"/>
      <c r="Z181" s="377"/>
      <c r="AA181" s="377"/>
      <c r="AB181" s="377"/>
    </row>
    <row r="182">
      <c r="A182" s="390" t="s">
        <v>835</v>
      </c>
      <c r="B182" s="390" t="s">
        <v>1518</v>
      </c>
      <c r="C182" s="390" t="s">
        <v>1527</v>
      </c>
      <c r="D182" s="427" t="s">
        <v>1528</v>
      </c>
      <c r="E182" s="383">
        <v>79950.0</v>
      </c>
      <c r="F182" s="383">
        <f t="shared" si="42"/>
        <v>66074.38017</v>
      </c>
      <c r="G182" s="414">
        <f t="shared" si="43"/>
        <v>13032.42212</v>
      </c>
      <c r="H182" s="439"/>
      <c r="I182" s="422"/>
      <c r="J182" s="423"/>
      <c r="K182" s="423"/>
      <c r="L182" s="440"/>
      <c r="M182" s="423"/>
      <c r="N182" s="423"/>
      <c r="O182" s="423"/>
      <c r="P182" s="423"/>
      <c r="Q182" s="423"/>
      <c r="R182" s="423"/>
      <c r="S182" s="423"/>
      <c r="T182" s="423"/>
      <c r="U182" s="423"/>
      <c r="V182" s="423"/>
      <c r="W182" s="423"/>
      <c r="X182" s="377"/>
      <c r="Y182" s="377"/>
      <c r="Z182" s="377"/>
      <c r="AA182" s="377"/>
      <c r="AB182" s="377"/>
    </row>
    <row r="183">
      <c r="A183" s="390" t="s">
        <v>835</v>
      </c>
      <c r="B183" s="390" t="s">
        <v>1518</v>
      </c>
      <c r="C183" s="390" t="s">
        <v>1529</v>
      </c>
      <c r="D183" s="427" t="s">
        <v>1530</v>
      </c>
      <c r="E183" s="383">
        <v>216152.84</v>
      </c>
      <c r="F183" s="383">
        <f t="shared" si="42"/>
        <v>178638.7107</v>
      </c>
      <c r="G183" s="414">
        <v>35165.0</v>
      </c>
      <c r="H183" s="439"/>
      <c r="I183" s="422"/>
      <c r="J183" s="423"/>
      <c r="K183" s="423"/>
      <c r="L183" s="440"/>
      <c r="M183" s="423"/>
      <c r="N183" s="423"/>
      <c r="O183" s="423"/>
      <c r="P183" s="423"/>
      <c r="Q183" s="423"/>
      <c r="R183" s="423"/>
      <c r="S183" s="423"/>
      <c r="T183" s="423"/>
      <c r="U183" s="423"/>
      <c r="V183" s="423"/>
      <c r="W183" s="423"/>
      <c r="X183" s="377"/>
      <c r="Y183" s="377"/>
      <c r="Z183" s="377"/>
      <c r="AA183" s="377"/>
      <c r="AB183" s="377"/>
    </row>
    <row r="184">
      <c r="A184" s="390" t="s">
        <v>1086</v>
      </c>
      <c r="B184" s="390" t="s">
        <v>1518</v>
      </c>
      <c r="C184" s="390" t="s">
        <v>1531</v>
      </c>
      <c r="D184" s="427" t="s">
        <v>1532</v>
      </c>
      <c r="E184" s="383">
        <v>30005.14</v>
      </c>
      <c r="F184" s="383">
        <f t="shared" si="42"/>
        <v>24797.63636</v>
      </c>
      <c r="G184" s="414">
        <f t="shared" ref="G184:G185" si="44">F184/5.07</f>
        <v>4891.052537</v>
      </c>
      <c r="H184" s="425" t="s">
        <v>1523</v>
      </c>
      <c r="I184" s="422"/>
      <c r="J184" s="423"/>
      <c r="K184" s="423"/>
      <c r="L184" s="440"/>
      <c r="M184" s="423"/>
      <c r="N184" s="423"/>
      <c r="O184" s="423"/>
      <c r="P184" s="423"/>
      <c r="Q184" s="423"/>
      <c r="R184" s="423"/>
      <c r="S184" s="423"/>
      <c r="T184" s="423"/>
      <c r="U184" s="423"/>
      <c r="V184" s="423"/>
      <c r="W184" s="423"/>
      <c r="X184" s="377"/>
      <c r="Y184" s="377"/>
      <c r="Z184" s="377"/>
      <c r="AA184" s="377"/>
      <c r="AB184" s="377"/>
    </row>
    <row r="185">
      <c r="A185" s="390" t="s">
        <v>1086</v>
      </c>
      <c r="B185" s="390" t="s">
        <v>1518</v>
      </c>
      <c r="C185" s="390" t="s">
        <v>1533</v>
      </c>
      <c r="D185" s="427" t="s">
        <v>1534</v>
      </c>
      <c r="E185" s="383">
        <v>11863.32</v>
      </c>
      <c r="F185" s="383">
        <f t="shared" si="42"/>
        <v>9804.396694</v>
      </c>
      <c r="G185" s="414">
        <f t="shared" si="44"/>
        <v>1933.806054</v>
      </c>
      <c r="H185" s="425" t="s">
        <v>1535</v>
      </c>
      <c r="I185" s="422"/>
      <c r="J185" s="423"/>
      <c r="K185" s="423"/>
      <c r="L185" s="440"/>
      <c r="M185" s="423"/>
      <c r="N185" s="423"/>
      <c r="O185" s="423"/>
      <c r="P185" s="423"/>
      <c r="Q185" s="423"/>
      <c r="R185" s="423"/>
      <c r="S185" s="423"/>
      <c r="T185" s="423"/>
      <c r="U185" s="423"/>
      <c r="V185" s="423"/>
      <c r="W185" s="423"/>
      <c r="X185" s="377"/>
      <c r="Y185" s="377"/>
      <c r="Z185" s="377"/>
      <c r="AA185" s="377"/>
      <c r="AB185" s="377"/>
    </row>
    <row r="186">
      <c r="A186" s="445" t="s">
        <v>835</v>
      </c>
      <c r="B186" s="390" t="s">
        <v>1518</v>
      </c>
      <c r="C186" s="390" t="s">
        <v>1536</v>
      </c>
      <c r="D186" s="427" t="s">
        <v>1537</v>
      </c>
      <c r="E186" s="383">
        <v>37019.05</v>
      </c>
      <c r="F186" s="383">
        <f t="shared" si="42"/>
        <v>30594.2562</v>
      </c>
      <c r="G186" s="414">
        <v>6046.27</v>
      </c>
      <c r="H186" s="439"/>
      <c r="I186" s="422"/>
      <c r="J186" s="423"/>
      <c r="K186" s="423"/>
      <c r="L186" s="440"/>
      <c r="M186" s="423"/>
      <c r="N186" s="423"/>
      <c r="O186" s="423"/>
      <c r="P186" s="423"/>
      <c r="Q186" s="423"/>
      <c r="R186" s="423"/>
      <c r="S186" s="423"/>
      <c r="T186" s="423"/>
      <c r="U186" s="423"/>
      <c r="V186" s="423"/>
      <c r="W186" s="423"/>
      <c r="X186" s="377"/>
      <c r="Y186" s="377"/>
      <c r="Z186" s="377"/>
      <c r="AA186" s="377"/>
      <c r="AB186" s="377"/>
    </row>
    <row r="187">
      <c r="A187" s="390" t="s">
        <v>1086</v>
      </c>
      <c r="B187" s="390" t="s">
        <v>1518</v>
      </c>
      <c r="C187" s="390" t="s">
        <v>1538</v>
      </c>
      <c r="D187" s="427" t="s">
        <v>1539</v>
      </c>
      <c r="E187" s="383">
        <v>21999.15</v>
      </c>
      <c r="F187" s="383">
        <f t="shared" si="42"/>
        <v>18181.1157</v>
      </c>
      <c r="G187" s="414">
        <f>F187/5.08</f>
        <v>3578.959784</v>
      </c>
      <c r="H187" s="425" t="s">
        <v>1540</v>
      </c>
      <c r="I187" s="422"/>
      <c r="J187" s="423"/>
      <c r="K187" s="423"/>
      <c r="L187" s="440"/>
      <c r="M187" s="423"/>
      <c r="N187" s="423"/>
      <c r="O187" s="423"/>
      <c r="P187" s="423"/>
      <c r="Q187" s="423"/>
      <c r="R187" s="423"/>
      <c r="S187" s="423"/>
      <c r="T187" s="423"/>
      <c r="U187" s="423"/>
      <c r="V187" s="423"/>
      <c r="W187" s="423"/>
      <c r="X187" s="377"/>
      <c r="Y187" s="377"/>
      <c r="Z187" s="377"/>
      <c r="AA187" s="377"/>
      <c r="AB187" s="377"/>
    </row>
    <row r="188">
      <c r="A188" s="390" t="s">
        <v>1541</v>
      </c>
      <c r="B188" s="390" t="s">
        <v>1518</v>
      </c>
      <c r="C188" s="390" t="s">
        <v>1542</v>
      </c>
      <c r="D188" s="427" t="s">
        <v>1543</v>
      </c>
      <c r="E188" s="383">
        <v>167809.24</v>
      </c>
      <c r="F188" s="383">
        <f t="shared" si="42"/>
        <v>138685.3223</v>
      </c>
      <c r="G188" s="414">
        <f t="shared" ref="G188:G189" si="45">F188/5.07</f>
        <v>27354.10697</v>
      </c>
      <c r="H188" s="425" t="s">
        <v>1544</v>
      </c>
      <c r="I188" s="422"/>
      <c r="J188" s="423"/>
      <c r="K188" s="423"/>
      <c r="L188" s="440"/>
      <c r="M188" s="423"/>
      <c r="N188" s="423"/>
      <c r="O188" s="423"/>
      <c r="P188" s="423"/>
      <c r="Q188" s="423"/>
      <c r="R188" s="423"/>
      <c r="S188" s="423"/>
      <c r="T188" s="423"/>
      <c r="U188" s="423"/>
      <c r="V188" s="423"/>
      <c r="W188" s="423"/>
      <c r="X188" s="377"/>
      <c r="Y188" s="377"/>
      <c r="Z188" s="377"/>
      <c r="AA188" s="377"/>
      <c r="AB188" s="377"/>
    </row>
    <row r="189">
      <c r="A189" s="390" t="s">
        <v>1149</v>
      </c>
      <c r="B189" s="390" t="s">
        <v>1518</v>
      </c>
      <c r="C189" s="390" t="s">
        <v>1545</v>
      </c>
      <c r="D189" s="427" t="s">
        <v>1546</v>
      </c>
      <c r="E189" s="383">
        <v>41700.0</v>
      </c>
      <c r="F189" s="383">
        <f t="shared" si="42"/>
        <v>34462.80992</v>
      </c>
      <c r="G189" s="414">
        <f t="shared" si="45"/>
        <v>6797.398406</v>
      </c>
      <c r="H189" s="425" t="s">
        <v>1547</v>
      </c>
      <c r="I189" s="422"/>
      <c r="J189" s="423"/>
      <c r="K189" s="423"/>
      <c r="L189" s="440"/>
      <c r="M189" s="423"/>
      <c r="N189" s="423"/>
      <c r="O189" s="423"/>
      <c r="P189" s="423"/>
      <c r="Q189" s="423"/>
      <c r="R189" s="423"/>
      <c r="S189" s="423"/>
      <c r="T189" s="423"/>
      <c r="U189" s="423"/>
      <c r="V189" s="423"/>
      <c r="W189" s="423"/>
      <c r="X189" s="377"/>
      <c r="Y189" s="377"/>
      <c r="Z189" s="377"/>
      <c r="AA189" s="377"/>
      <c r="AB189" s="377"/>
    </row>
    <row r="190">
      <c r="A190" s="390" t="s">
        <v>826</v>
      </c>
      <c r="B190" s="390" t="s">
        <v>1518</v>
      </c>
      <c r="C190" s="390" t="s">
        <v>1548</v>
      </c>
      <c r="D190" s="427" t="s">
        <v>1549</v>
      </c>
      <c r="E190" s="383" t="s">
        <v>369</v>
      </c>
      <c r="F190" s="383" t="s">
        <v>369</v>
      </c>
      <c r="G190" s="414" t="s">
        <v>369</v>
      </c>
      <c r="H190" s="439"/>
      <c r="I190" s="422"/>
      <c r="J190" s="423"/>
      <c r="K190" s="423"/>
      <c r="L190" s="440"/>
      <c r="M190" s="423"/>
      <c r="N190" s="423"/>
      <c r="O190" s="423"/>
      <c r="P190" s="423"/>
      <c r="Q190" s="423"/>
      <c r="R190" s="423"/>
      <c r="S190" s="423"/>
      <c r="T190" s="423"/>
      <c r="U190" s="423"/>
      <c r="V190" s="423"/>
      <c r="W190" s="423"/>
      <c r="X190" s="377"/>
      <c r="Y190" s="377"/>
      <c r="Z190" s="377"/>
      <c r="AA190" s="377"/>
      <c r="AB190" s="377"/>
    </row>
    <row r="191">
      <c r="A191" s="390" t="s">
        <v>1086</v>
      </c>
      <c r="B191" s="390" t="s">
        <v>1518</v>
      </c>
      <c r="C191" s="390" t="s">
        <v>1550</v>
      </c>
      <c r="D191" s="427" t="s">
        <v>1551</v>
      </c>
      <c r="E191" s="383">
        <v>9650.48</v>
      </c>
      <c r="F191" s="383">
        <f>E191/1.21</f>
        <v>7975.603306</v>
      </c>
      <c r="G191" s="414">
        <f>F191/5.07</f>
        <v>1573.097299</v>
      </c>
      <c r="H191" s="425" t="s">
        <v>1552</v>
      </c>
      <c r="I191" s="422"/>
      <c r="J191" s="423"/>
      <c r="K191" s="423"/>
      <c r="L191" s="440"/>
      <c r="M191" s="423"/>
      <c r="N191" s="423"/>
      <c r="O191" s="423"/>
      <c r="P191" s="423"/>
      <c r="Q191" s="423"/>
      <c r="R191" s="423"/>
      <c r="S191" s="423"/>
      <c r="T191" s="423"/>
      <c r="U191" s="423"/>
      <c r="V191" s="423"/>
      <c r="W191" s="423"/>
      <c r="X191" s="377"/>
      <c r="Y191" s="377"/>
      <c r="Z191" s="377"/>
      <c r="AA191" s="377"/>
      <c r="AB191" s="377"/>
    </row>
    <row r="192">
      <c r="A192" s="390" t="s">
        <v>145</v>
      </c>
      <c r="B192" s="390" t="s">
        <v>1518</v>
      </c>
      <c r="C192" s="390" t="s">
        <v>1553</v>
      </c>
      <c r="D192" s="427" t="s">
        <v>1554</v>
      </c>
      <c r="E192" s="383">
        <v>68870.52</v>
      </c>
      <c r="F192" s="383">
        <v>56917.79</v>
      </c>
      <c r="G192" s="414">
        <v>11230.82</v>
      </c>
      <c r="H192" s="425">
        <v>48.0</v>
      </c>
      <c r="I192" s="422"/>
      <c r="J192" s="423"/>
      <c r="K192" s="423"/>
      <c r="L192" s="440"/>
      <c r="M192" s="424" t="s">
        <v>1006</v>
      </c>
      <c r="N192" s="423"/>
      <c r="O192" s="423"/>
      <c r="P192" s="423"/>
      <c r="Q192" s="423"/>
      <c r="R192" s="423"/>
      <c r="S192" s="423"/>
      <c r="T192" s="423"/>
      <c r="U192" s="423"/>
      <c r="V192" s="423"/>
      <c r="W192" s="423"/>
      <c r="X192" s="377"/>
      <c r="Y192" s="377"/>
      <c r="Z192" s="377"/>
      <c r="AA192" s="377"/>
      <c r="AB192" s="377"/>
    </row>
    <row r="193">
      <c r="A193" s="390" t="s">
        <v>835</v>
      </c>
      <c r="B193" s="390" t="s">
        <v>1518</v>
      </c>
      <c r="C193" s="390" t="s">
        <v>1555</v>
      </c>
      <c r="D193" s="427" t="s">
        <v>1556</v>
      </c>
      <c r="E193" s="383">
        <v>33223.45</v>
      </c>
      <c r="F193" s="383">
        <f t="shared" ref="F193:F201" si="46">E193/1.21</f>
        <v>27457.39669</v>
      </c>
      <c r="G193" s="414">
        <f t="shared" ref="G193:G207" si="47">F193/5.07</f>
        <v>5415.660097</v>
      </c>
      <c r="H193" s="439"/>
      <c r="I193" s="422"/>
      <c r="J193" s="423"/>
      <c r="K193" s="423"/>
      <c r="L193" s="440"/>
      <c r="M193" s="423"/>
      <c r="N193" s="423"/>
      <c r="O193" s="423"/>
      <c r="P193" s="423"/>
      <c r="Q193" s="423"/>
      <c r="R193" s="423"/>
      <c r="S193" s="423"/>
      <c r="T193" s="423"/>
      <c r="U193" s="423"/>
      <c r="V193" s="423"/>
      <c r="W193" s="423"/>
      <c r="X193" s="377"/>
      <c r="Y193" s="377"/>
      <c r="Z193" s="377"/>
      <c r="AA193" s="377"/>
      <c r="AB193" s="377"/>
    </row>
    <row r="194">
      <c r="A194" s="390" t="s">
        <v>835</v>
      </c>
      <c r="B194" s="390" t="s">
        <v>1518</v>
      </c>
      <c r="C194" s="390" t="s">
        <v>1557</v>
      </c>
      <c r="D194" s="427" t="s">
        <v>1558</v>
      </c>
      <c r="E194" s="383">
        <v>55020.57</v>
      </c>
      <c r="F194" s="383">
        <f t="shared" si="46"/>
        <v>45471.54545</v>
      </c>
      <c r="G194" s="414">
        <f t="shared" si="47"/>
        <v>8968.746638</v>
      </c>
      <c r="H194" s="439"/>
      <c r="I194" s="422"/>
      <c r="J194" s="423"/>
      <c r="K194" s="423"/>
      <c r="L194" s="440"/>
      <c r="M194" s="423"/>
      <c r="N194" s="423"/>
      <c r="O194" s="423"/>
      <c r="P194" s="423"/>
      <c r="Q194" s="423"/>
      <c r="R194" s="423"/>
      <c r="S194" s="423"/>
      <c r="T194" s="423"/>
      <c r="U194" s="423"/>
      <c r="V194" s="423"/>
      <c r="W194" s="423"/>
      <c r="X194" s="377"/>
      <c r="Y194" s="377"/>
      <c r="Z194" s="377"/>
      <c r="AA194" s="377"/>
      <c r="AB194" s="377"/>
    </row>
    <row r="195">
      <c r="A195" s="390" t="s">
        <v>835</v>
      </c>
      <c r="B195" s="390" t="s">
        <v>1518</v>
      </c>
      <c r="C195" s="390" t="s">
        <v>1559</v>
      </c>
      <c r="D195" s="427" t="s">
        <v>1560</v>
      </c>
      <c r="E195" s="383">
        <v>191906.0</v>
      </c>
      <c r="F195" s="383">
        <f t="shared" si="46"/>
        <v>158600</v>
      </c>
      <c r="G195" s="414">
        <f t="shared" si="47"/>
        <v>31282.05128</v>
      </c>
      <c r="H195" s="439"/>
      <c r="I195" s="422"/>
      <c r="J195" s="423"/>
      <c r="K195" s="423"/>
      <c r="L195" s="440"/>
      <c r="M195" s="423"/>
      <c r="N195" s="423"/>
      <c r="O195" s="423"/>
      <c r="P195" s="423"/>
      <c r="Q195" s="423"/>
      <c r="R195" s="423"/>
      <c r="S195" s="423"/>
      <c r="T195" s="423"/>
      <c r="U195" s="423"/>
      <c r="V195" s="423"/>
      <c r="W195" s="423"/>
      <c r="X195" s="377"/>
      <c r="Y195" s="377"/>
      <c r="Z195" s="377"/>
      <c r="AA195" s="377"/>
      <c r="AB195" s="377"/>
    </row>
    <row r="196">
      <c r="A196" s="445" t="s">
        <v>835</v>
      </c>
      <c r="B196" s="390" t="s">
        <v>1518</v>
      </c>
      <c r="C196" s="390" t="s">
        <v>1561</v>
      </c>
      <c r="D196" s="427" t="s">
        <v>1562</v>
      </c>
      <c r="E196" s="383">
        <v>49850.38</v>
      </c>
      <c r="F196" s="383">
        <f t="shared" si="46"/>
        <v>41198.66116</v>
      </c>
      <c r="G196" s="414">
        <f t="shared" si="47"/>
        <v>8125.96867</v>
      </c>
      <c r="H196" s="439"/>
      <c r="I196" s="422"/>
      <c r="J196" s="423"/>
      <c r="K196" s="423"/>
      <c r="L196" s="440"/>
      <c r="M196" s="423"/>
      <c r="N196" s="423"/>
      <c r="O196" s="423"/>
      <c r="P196" s="423"/>
      <c r="Q196" s="423"/>
      <c r="R196" s="423"/>
      <c r="S196" s="423"/>
      <c r="T196" s="423"/>
      <c r="U196" s="423"/>
      <c r="V196" s="423"/>
      <c r="W196" s="423"/>
      <c r="X196" s="377"/>
      <c r="Y196" s="377"/>
      <c r="Z196" s="377"/>
      <c r="AA196" s="377"/>
      <c r="AB196" s="377"/>
    </row>
    <row r="197">
      <c r="A197" s="445" t="s">
        <v>835</v>
      </c>
      <c r="B197" s="390" t="s">
        <v>1518</v>
      </c>
      <c r="C197" s="390" t="s">
        <v>1563</v>
      </c>
      <c r="D197" s="427" t="s">
        <v>1564</v>
      </c>
      <c r="E197" s="383">
        <v>37999.67</v>
      </c>
      <c r="F197" s="383">
        <f t="shared" si="46"/>
        <v>31404.68595</v>
      </c>
      <c r="G197" s="414">
        <f t="shared" si="47"/>
        <v>6194.218136</v>
      </c>
      <c r="H197" s="439"/>
      <c r="I197" s="422"/>
      <c r="J197" s="423"/>
      <c r="K197" s="423"/>
      <c r="L197" s="440"/>
      <c r="M197" s="423"/>
      <c r="N197" s="423"/>
      <c r="O197" s="423"/>
      <c r="P197" s="423"/>
      <c r="Q197" s="423"/>
      <c r="R197" s="423"/>
      <c r="S197" s="423"/>
      <c r="T197" s="423"/>
      <c r="U197" s="423"/>
      <c r="V197" s="423"/>
      <c r="W197" s="423"/>
      <c r="X197" s="377"/>
      <c r="Y197" s="377"/>
      <c r="Z197" s="377"/>
      <c r="AA197" s="377"/>
      <c r="AB197" s="377"/>
    </row>
    <row r="198">
      <c r="A198" s="390" t="s">
        <v>835</v>
      </c>
      <c r="B198" s="390" t="s">
        <v>1518</v>
      </c>
      <c r="C198" s="390" t="s">
        <v>1565</v>
      </c>
      <c r="D198" s="427" t="s">
        <v>1566</v>
      </c>
      <c r="E198" s="383">
        <v>31780.65</v>
      </c>
      <c r="F198" s="383">
        <f t="shared" si="46"/>
        <v>26265</v>
      </c>
      <c r="G198" s="414">
        <f t="shared" si="47"/>
        <v>5180.473373</v>
      </c>
      <c r="H198" s="439"/>
      <c r="I198" s="422"/>
      <c r="J198" s="423"/>
      <c r="K198" s="423"/>
      <c r="L198" s="440"/>
      <c r="M198" s="423"/>
      <c r="N198" s="423"/>
      <c r="O198" s="423"/>
      <c r="P198" s="423"/>
      <c r="Q198" s="423"/>
      <c r="R198" s="423"/>
      <c r="S198" s="423"/>
      <c r="T198" s="423"/>
      <c r="U198" s="423"/>
      <c r="V198" s="423"/>
      <c r="W198" s="423"/>
      <c r="X198" s="377"/>
      <c r="Y198" s="377"/>
      <c r="Z198" s="377"/>
      <c r="AA198" s="377"/>
      <c r="AB198" s="377"/>
    </row>
    <row r="199">
      <c r="A199" s="390" t="s">
        <v>1567</v>
      </c>
      <c r="B199" s="390" t="s">
        <v>1518</v>
      </c>
      <c r="C199" s="390" t="s">
        <v>1568</v>
      </c>
      <c r="D199" s="427" t="s">
        <v>1268</v>
      </c>
      <c r="E199" s="383">
        <v>12416.54</v>
      </c>
      <c r="F199" s="383">
        <f t="shared" si="46"/>
        <v>10261.60331</v>
      </c>
      <c r="G199" s="414">
        <f t="shared" si="47"/>
        <v>2023.984873</v>
      </c>
      <c r="H199" s="439"/>
      <c r="I199" s="422"/>
      <c r="J199" s="423"/>
      <c r="K199" s="423"/>
      <c r="L199" s="440"/>
      <c r="M199" s="423"/>
      <c r="N199" s="423"/>
      <c r="O199" s="423"/>
      <c r="P199" s="423"/>
      <c r="Q199" s="423"/>
      <c r="R199" s="423"/>
      <c r="S199" s="423"/>
      <c r="T199" s="423"/>
      <c r="U199" s="423"/>
      <c r="V199" s="423"/>
      <c r="W199" s="423"/>
      <c r="X199" s="377"/>
      <c r="Y199" s="377"/>
      <c r="Z199" s="377"/>
      <c r="AA199" s="377"/>
      <c r="AB199" s="377"/>
    </row>
    <row r="200">
      <c r="A200" s="445" t="s">
        <v>835</v>
      </c>
      <c r="B200" s="390" t="s">
        <v>1518</v>
      </c>
      <c r="C200" s="390" t="s">
        <v>1569</v>
      </c>
      <c r="D200" s="427" t="s">
        <v>1570</v>
      </c>
      <c r="E200" s="383">
        <v>66045.31</v>
      </c>
      <c r="F200" s="383">
        <f t="shared" si="46"/>
        <v>54582.90083</v>
      </c>
      <c r="G200" s="414">
        <f t="shared" si="47"/>
        <v>10765.85815</v>
      </c>
      <c r="H200" s="439"/>
      <c r="I200" s="422"/>
      <c r="J200" s="423"/>
      <c r="K200" s="423"/>
      <c r="L200" s="440"/>
      <c r="M200" s="423"/>
      <c r="N200" s="423"/>
      <c r="O200" s="423"/>
      <c r="P200" s="423"/>
      <c r="Q200" s="423"/>
      <c r="R200" s="423"/>
      <c r="S200" s="423"/>
      <c r="T200" s="423"/>
      <c r="U200" s="423"/>
      <c r="V200" s="423"/>
      <c r="W200" s="423"/>
      <c r="X200" s="377"/>
      <c r="Y200" s="377"/>
      <c r="Z200" s="377"/>
      <c r="AA200" s="377"/>
      <c r="AB200" s="377"/>
    </row>
    <row r="201">
      <c r="A201" s="390" t="s">
        <v>1086</v>
      </c>
      <c r="B201" s="390" t="s">
        <v>1571</v>
      </c>
      <c r="C201" s="390" t="s">
        <v>1572</v>
      </c>
      <c r="D201" s="427" t="s">
        <v>1573</v>
      </c>
      <c r="E201" s="383">
        <v>22035.34</v>
      </c>
      <c r="F201" s="383">
        <f t="shared" si="46"/>
        <v>18211.02479</v>
      </c>
      <c r="G201" s="414">
        <f t="shared" si="47"/>
        <v>3591.918105</v>
      </c>
      <c r="H201" s="425" t="s">
        <v>1523</v>
      </c>
      <c r="I201" s="422"/>
      <c r="J201" s="423"/>
      <c r="K201" s="423"/>
      <c r="L201" s="440"/>
      <c r="M201" s="423"/>
      <c r="N201" s="423"/>
      <c r="O201" s="423"/>
      <c r="P201" s="423"/>
      <c r="Q201" s="423"/>
      <c r="R201" s="423"/>
      <c r="S201" s="423"/>
      <c r="T201" s="423"/>
      <c r="U201" s="423"/>
      <c r="V201" s="423"/>
      <c r="W201" s="423"/>
      <c r="X201" s="377"/>
      <c r="Y201" s="377"/>
      <c r="Z201" s="377"/>
      <c r="AA201" s="377"/>
      <c r="AB201" s="377"/>
    </row>
    <row r="202">
      <c r="A202" s="390" t="s">
        <v>826</v>
      </c>
      <c r="B202" s="390" t="s">
        <v>1571</v>
      </c>
      <c r="C202" s="390" t="s">
        <v>1574</v>
      </c>
      <c r="D202" s="427" t="s">
        <v>1575</v>
      </c>
      <c r="E202" s="383">
        <v>31944.0</v>
      </c>
      <c r="F202" s="383">
        <v>26400.0</v>
      </c>
      <c r="G202" s="414">
        <f t="shared" si="47"/>
        <v>5207.100592</v>
      </c>
      <c r="H202" s="439"/>
      <c r="I202" s="422"/>
      <c r="J202" s="423"/>
      <c r="K202" s="423"/>
      <c r="L202" s="440"/>
      <c r="M202" s="423"/>
      <c r="N202" s="423"/>
      <c r="O202" s="423"/>
      <c r="P202" s="423"/>
      <c r="Q202" s="423"/>
      <c r="R202" s="423"/>
      <c r="S202" s="423"/>
      <c r="T202" s="423"/>
      <c r="U202" s="423"/>
      <c r="V202" s="423"/>
      <c r="W202" s="423"/>
      <c r="X202" s="377"/>
      <c r="Y202" s="377"/>
      <c r="Z202" s="377"/>
      <c r="AA202" s="377"/>
      <c r="AB202" s="377"/>
    </row>
    <row r="203">
      <c r="A203" s="390" t="s">
        <v>1576</v>
      </c>
      <c r="B203" s="390" t="s">
        <v>1571</v>
      </c>
      <c r="C203" s="390" t="s">
        <v>1577</v>
      </c>
      <c r="D203" s="427" t="s">
        <v>1578</v>
      </c>
      <c r="E203" s="383">
        <v>13310.0</v>
      </c>
      <c r="F203" s="383">
        <v>11000.0</v>
      </c>
      <c r="G203" s="414">
        <f t="shared" si="47"/>
        <v>2169.625247</v>
      </c>
      <c r="H203" s="425"/>
      <c r="I203" s="422"/>
      <c r="J203" s="423"/>
      <c r="K203" s="423"/>
      <c r="L203" s="440"/>
      <c r="M203" s="424"/>
      <c r="N203" s="423"/>
      <c r="O203" s="423"/>
      <c r="P203" s="423"/>
      <c r="Q203" s="423"/>
      <c r="R203" s="423"/>
      <c r="S203" s="423"/>
      <c r="T203" s="423"/>
      <c r="U203" s="423"/>
      <c r="V203" s="423"/>
      <c r="W203" s="423"/>
      <c r="X203" s="377"/>
      <c r="Y203" s="377"/>
      <c r="Z203" s="377"/>
      <c r="AA203" s="377"/>
      <c r="AB203" s="377"/>
    </row>
    <row r="204">
      <c r="A204" s="390" t="s">
        <v>1086</v>
      </c>
      <c r="B204" s="390" t="s">
        <v>1571</v>
      </c>
      <c r="C204" s="390" t="s">
        <v>1579</v>
      </c>
      <c r="D204" s="427" t="s">
        <v>1580</v>
      </c>
      <c r="E204" s="383">
        <v>20100.04</v>
      </c>
      <c r="F204" s="383">
        <f t="shared" ref="F204:F207" si="48">E204/1.21</f>
        <v>16611.60331</v>
      </c>
      <c r="G204" s="414">
        <f t="shared" si="47"/>
        <v>3276.450356</v>
      </c>
      <c r="H204" s="425" t="s">
        <v>1523</v>
      </c>
      <c r="I204" s="422"/>
      <c r="J204" s="423"/>
      <c r="K204" s="423"/>
      <c r="L204" s="440"/>
      <c r="M204" s="423"/>
      <c r="N204" s="423"/>
      <c r="O204" s="423"/>
      <c r="P204" s="423"/>
      <c r="Q204" s="423"/>
      <c r="R204" s="423"/>
      <c r="S204" s="423"/>
      <c r="T204" s="423"/>
      <c r="U204" s="423"/>
      <c r="V204" s="423"/>
      <c r="W204" s="423"/>
      <c r="X204" s="377"/>
      <c r="Y204" s="377"/>
      <c r="Z204" s="377"/>
      <c r="AA204" s="377"/>
      <c r="AB204" s="377"/>
    </row>
    <row r="205">
      <c r="A205" s="390" t="s">
        <v>1086</v>
      </c>
      <c r="B205" s="390" t="s">
        <v>1571</v>
      </c>
      <c r="C205" s="390" t="s">
        <v>1581</v>
      </c>
      <c r="D205" s="427" t="s">
        <v>1582</v>
      </c>
      <c r="E205" s="383">
        <v>32089.2</v>
      </c>
      <c r="F205" s="383">
        <f t="shared" si="48"/>
        <v>26520</v>
      </c>
      <c r="G205" s="414">
        <f t="shared" si="47"/>
        <v>5230.769231</v>
      </c>
      <c r="H205" s="425" t="s">
        <v>1583</v>
      </c>
      <c r="I205" s="422"/>
      <c r="J205" s="423"/>
      <c r="K205" s="423"/>
      <c r="L205" s="440"/>
      <c r="M205" s="423"/>
      <c r="N205" s="423"/>
      <c r="O205" s="423"/>
      <c r="P205" s="423"/>
      <c r="Q205" s="423"/>
      <c r="R205" s="423"/>
      <c r="S205" s="423"/>
      <c r="T205" s="423"/>
      <c r="U205" s="423"/>
      <c r="V205" s="423"/>
      <c r="W205" s="423"/>
      <c r="X205" s="377"/>
      <c r="Y205" s="377"/>
      <c r="Z205" s="377"/>
      <c r="AA205" s="377"/>
      <c r="AB205" s="377"/>
    </row>
    <row r="206">
      <c r="A206" s="390" t="s">
        <v>1149</v>
      </c>
      <c r="B206" s="390" t="s">
        <v>1571</v>
      </c>
      <c r="C206" s="390" t="s">
        <v>1584</v>
      </c>
      <c r="D206" s="427" t="s">
        <v>1585</v>
      </c>
      <c r="E206" s="383">
        <v>35800.0</v>
      </c>
      <c r="F206" s="383">
        <f t="shared" si="48"/>
        <v>29586.77686</v>
      </c>
      <c r="G206" s="414">
        <f t="shared" si="47"/>
        <v>5835.656185</v>
      </c>
      <c r="H206" s="425" t="s">
        <v>1586</v>
      </c>
      <c r="I206" s="422"/>
      <c r="J206" s="423"/>
      <c r="K206" s="423"/>
      <c r="L206" s="440"/>
      <c r="M206" s="423"/>
      <c r="N206" s="423"/>
      <c r="O206" s="423"/>
      <c r="P206" s="423"/>
      <c r="Q206" s="423"/>
      <c r="R206" s="423"/>
      <c r="S206" s="423"/>
      <c r="T206" s="423"/>
      <c r="U206" s="423"/>
      <c r="V206" s="423"/>
      <c r="W206" s="423"/>
      <c r="X206" s="377"/>
      <c r="Y206" s="377"/>
      <c r="Z206" s="377"/>
      <c r="AA206" s="377"/>
      <c r="AB206" s="377"/>
    </row>
    <row r="207">
      <c r="A207" s="390" t="s">
        <v>1149</v>
      </c>
      <c r="B207" s="390" t="s">
        <v>1571</v>
      </c>
      <c r="C207" s="390" t="s">
        <v>1587</v>
      </c>
      <c r="D207" s="427" t="s">
        <v>1588</v>
      </c>
      <c r="E207" s="383">
        <v>28500.0</v>
      </c>
      <c r="F207" s="383">
        <f t="shared" si="48"/>
        <v>23553.71901</v>
      </c>
      <c r="G207" s="414">
        <f t="shared" si="47"/>
        <v>4645.703946</v>
      </c>
      <c r="H207" s="425" t="s">
        <v>1589</v>
      </c>
      <c r="I207" s="422"/>
      <c r="J207" s="423"/>
      <c r="K207" s="423"/>
      <c r="L207" s="440"/>
      <c r="M207" s="423"/>
      <c r="N207" s="423"/>
      <c r="O207" s="423"/>
      <c r="P207" s="423"/>
      <c r="Q207" s="423"/>
      <c r="R207" s="423"/>
      <c r="S207" s="423"/>
      <c r="T207" s="423"/>
      <c r="U207" s="423"/>
      <c r="V207" s="423"/>
      <c r="W207" s="423"/>
      <c r="X207" s="377"/>
      <c r="Y207" s="377"/>
      <c r="Z207" s="377"/>
      <c r="AA207" s="377"/>
      <c r="AB207" s="377"/>
    </row>
    <row r="208">
      <c r="A208" s="390" t="s">
        <v>826</v>
      </c>
      <c r="B208" s="390" t="s">
        <v>1571</v>
      </c>
      <c r="C208" s="390" t="s">
        <v>1590</v>
      </c>
      <c r="D208" s="427" t="s">
        <v>1591</v>
      </c>
      <c r="E208" s="383">
        <v>14694.24</v>
      </c>
      <c r="F208" s="383">
        <v>12144.0</v>
      </c>
      <c r="G208" s="414">
        <v>2400.0</v>
      </c>
      <c r="H208" s="439"/>
      <c r="I208" s="422"/>
      <c r="J208" s="423"/>
      <c r="K208" s="423"/>
      <c r="L208" s="440"/>
      <c r="M208" s="423"/>
      <c r="N208" s="423"/>
      <c r="O208" s="423"/>
      <c r="P208" s="423"/>
      <c r="Q208" s="423"/>
      <c r="R208" s="423"/>
      <c r="S208" s="423"/>
      <c r="T208" s="423"/>
      <c r="U208" s="423"/>
      <c r="V208" s="423"/>
      <c r="W208" s="423"/>
      <c r="X208" s="377"/>
      <c r="Y208" s="377"/>
      <c r="Z208" s="377"/>
      <c r="AA208" s="377"/>
      <c r="AB208" s="377"/>
    </row>
    <row r="209">
      <c r="A209" s="390" t="s">
        <v>826</v>
      </c>
      <c r="B209" s="390" t="s">
        <v>1571</v>
      </c>
      <c r="C209" s="390" t="s">
        <v>1592</v>
      </c>
      <c r="D209" s="427" t="s">
        <v>1593</v>
      </c>
      <c r="E209" s="383">
        <v>12245.2</v>
      </c>
      <c r="F209" s="383">
        <v>10120.0</v>
      </c>
      <c r="G209" s="414">
        <v>2000.0</v>
      </c>
      <c r="H209" s="439"/>
      <c r="I209" s="422"/>
      <c r="J209" s="423"/>
      <c r="K209" s="423"/>
      <c r="L209" s="440"/>
      <c r="M209" s="423"/>
      <c r="N209" s="423"/>
      <c r="O209" s="423"/>
      <c r="P209" s="423"/>
      <c r="Q209" s="423"/>
      <c r="R209" s="423"/>
      <c r="S209" s="423"/>
      <c r="T209" s="423"/>
      <c r="U209" s="423"/>
      <c r="V209" s="423"/>
      <c r="W209" s="423"/>
      <c r="X209" s="377"/>
      <c r="Y209" s="377"/>
      <c r="Z209" s="377"/>
      <c r="AA209" s="377"/>
      <c r="AB209" s="377"/>
    </row>
    <row r="210">
      <c r="A210" s="445" t="s">
        <v>835</v>
      </c>
      <c r="B210" s="390" t="s">
        <v>1571</v>
      </c>
      <c r="C210" s="390" t="s">
        <v>1594</v>
      </c>
      <c r="D210" s="427" t="s">
        <v>1595</v>
      </c>
      <c r="E210" s="383">
        <v>41911.81</v>
      </c>
      <c r="F210" s="383">
        <f t="shared" ref="F210:F215" si="49">E210/1.21</f>
        <v>34637.8595</v>
      </c>
      <c r="G210" s="414">
        <f t="shared" ref="G210:G215" si="50">F210/5.06</f>
        <v>6845.426779</v>
      </c>
      <c r="H210" s="439"/>
      <c r="I210" s="422"/>
      <c r="J210" s="423"/>
      <c r="K210" s="423"/>
      <c r="L210" s="440"/>
      <c r="M210" s="423"/>
      <c r="N210" s="423"/>
      <c r="O210" s="423"/>
      <c r="P210" s="423"/>
      <c r="Q210" s="423"/>
      <c r="R210" s="423"/>
      <c r="S210" s="423"/>
      <c r="T210" s="423"/>
      <c r="U210" s="423"/>
      <c r="V210" s="423"/>
      <c r="W210" s="423"/>
      <c r="X210" s="377"/>
      <c r="Y210" s="377"/>
      <c r="Z210" s="377"/>
      <c r="AA210" s="377"/>
      <c r="AB210" s="377"/>
    </row>
    <row r="211">
      <c r="A211" s="445" t="s">
        <v>835</v>
      </c>
      <c r="B211" s="390" t="s">
        <v>1571</v>
      </c>
      <c r="C211" s="390" t="s">
        <v>1596</v>
      </c>
      <c r="D211" s="427" t="s">
        <v>1597</v>
      </c>
      <c r="E211" s="383">
        <v>40557.38</v>
      </c>
      <c r="F211" s="383">
        <f t="shared" si="49"/>
        <v>33518.49587</v>
      </c>
      <c r="G211" s="414">
        <f t="shared" si="50"/>
        <v>6624.20867</v>
      </c>
      <c r="H211" s="439"/>
      <c r="I211" s="422"/>
      <c r="J211" s="423"/>
      <c r="K211" s="423"/>
      <c r="L211" s="440"/>
      <c r="M211" s="423"/>
      <c r="N211" s="423"/>
      <c r="O211" s="423"/>
      <c r="P211" s="423"/>
      <c r="Q211" s="423"/>
      <c r="R211" s="423"/>
      <c r="S211" s="423"/>
      <c r="T211" s="423"/>
      <c r="U211" s="423"/>
      <c r="V211" s="423"/>
      <c r="W211" s="423"/>
      <c r="X211" s="377"/>
      <c r="Y211" s="377"/>
      <c r="Z211" s="377"/>
      <c r="AA211" s="377"/>
      <c r="AB211" s="377"/>
    </row>
    <row r="212">
      <c r="A212" s="445" t="s">
        <v>835</v>
      </c>
      <c r="B212" s="390" t="s">
        <v>1571</v>
      </c>
      <c r="C212" s="390" t="s">
        <v>1598</v>
      </c>
      <c r="D212" s="427" t="s">
        <v>1599</v>
      </c>
      <c r="E212" s="383">
        <v>36973.19</v>
      </c>
      <c r="F212" s="383">
        <f t="shared" si="49"/>
        <v>30556.35537</v>
      </c>
      <c r="G212" s="414">
        <f t="shared" si="50"/>
        <v>6038.805409</v>
      </c>
      <c r="H212" s="439"/>
      <c r="I212" s="422"/>
      <c r="J212" s="423"/>
      <c r="K212" s="423"/>
      <c r="L212" s="440"/>
      <c r="M212" s="423"/>
      <c r="N212" s="423"/>
      <c r="O212" s="423"/>
      <c r="P212" s="423"/>
      <c r="Q212" s="423"/>
      <c r="R212" s="423"/>
      <c r="S212" s="423"/>
      <c r="T212" s="423"/>
      <c r="U212" s="423"/>
      <c r="V212" s="423"/>
      <c r="W212" s="423"/>
      <c r="X212" s="377"/>
      <c r="Y212" s="377"/>
      <c r="Z212" s="377"/>
      <c r="AA212" s="377"/>
      <c r="AB212" s="377"/>
    </row>
    <row r="213">
      <c r="A213" s="445" t="s">
        <v>835</v>
      </c>
      <c r="B213" s="390" t="s">
        <v>1571</v>
      </c>
      <c r="C213" s="390" t="s">
        <v>1600</v>
      </c>
      <c r="D213" s="427" t="s">
        <v>1601</v>
      </c>
      <c r="E213" s="383">
        <v>19095.0</v>
      </c>
      <c r="F213" s="383">
        <f t="shared" si="49"/>
        <v>15780.99174</v>
      </c>
      <c r="G213" s="414">
        <f t="shared" si="50"/>
        <v>3118.77307</v>
      </c>
      <c r="H213" s="439"/>
      <c r="I213" s="422"/>
      <c r="J213" s="423"/>
      <c r="K213" s="423"/>
      <c r="L213" s="440"/>
      <c r="M213" s="423"/>
      <c r="N213" s="423"/>
      <c r="O213" s="423"/>
      <c r="P213" s="423"/>
      <c r="Q213" s="423"/>
      <c r="R213" s="423"/>
      <c r="S213" s="423"/>
      <c r="T213" s="423"/>
      <c r="U213" s="423"/>
      <c r="V213" s="423"/>
      <c r="W213" s="423"/>
      <c r="X213" s="377"/>
      <c r="Y213" s="377"/>
      <c r="Z213" s="377"/>
      <c r="AA213" s="377"/>
      <c r="AB213" s="377"/>
    </row>
    <row r="214">
      <c r="A214" s="445" t="s">
        <v>835</v>
      </c>
      <c r="B214" s="390" t="s">
        <v>1571</v>
      </c>
      <c r="C214" s="390" t="s">
        <v>1602</v>
      </c>
      <c r="D214" s="427" t="s">
        <v>1603</v>
      </c>
      <c r="E214" s="383">
        <v>48000.0</v>
      </c>
      <c r="F214" s="383">
        <f t="shared" si="49"/>
        <v>39669.42149</v>
      </c>
      <c r="G214" s="414">
        <f t="shared" si="50"/>
        <v>7839.806618</v>
      </c>
      <c r="H214" s="439"/>
      <c r="I214" s="422"/>
      <c r="J214" s="423"/>
      <c r="K214" s="423"/>
      <c r="L214" s="440"/>
      <c r="M214" s="423"/>
      <c r="N214" s="423"/>
      <c r="O214" s="423"/>
      <c r="P214" s="423"/>
      <c r="Q214" s="423"/>
      <c r="R214" s="423"/>
      <c r="S214" s="423"/>
      <c r="T214" s="423"/>
      <c r="U214" s="423"/>
      <c r="V214" s="423"/>
      <c r="W214" s="423"/>
      <c r="X214" s="377"/>
      <c r="Y214" s="377"/>
      <c r="Z214" s="377"/>
      <c r="AA214" s="377"/>
      <c r="AB214" s="377"/>
    </row>
    <row r="215">
      <c r="A215" s="390" t="s">
        <v>826</v>
      </c>
      <c r="B215" s="390" t="s">
        <v>1571</v>
      </c>
      <c r="C215" s="390" t="s">
        <v>1604</v>
      </c>
      <c r="D215" s="427" t="s">
        <v>1392</v>
      </c>
      <c r="E215" s="383">
        <v>810632.24</v>
      </c>
      <c r="F215" s="383">
        <f t="shared" si="49"/>
        <v>669944</v>
      </c>
      <c r="G215" s="414">
        <f t="shared" si="50"/>
        <v>132400</v>
      </c>
      <c r="H215" s="439"/>
      <c r="I215" s="422"/>
      <c r="J215" s="423"/>
      <c r="K215" s="423"/>
      <c r="L215" s="440"/>
      <c r="M215" s="423"/>
      <c r="N215" s="423"/>
      <c r="O215" s="423"/>
      <c r="P215" s="423"/>
      <c r="Q215" s="423"/>
      <c r="R215" s="423"/>
      <c r="S215" s="423"/>
      <c r="T215" s="423"/>
      <c r="U215" s="423"/>
      <c r="V215" s="423"/>
      <c r="W215" s="423"/>
      <c r="X215" s="377"/>
      <c r="Y215" s="377"/>
      <c r="Z215" s="377"/>
      <c r="AA215" s="377"/>
      <c r="AB215" s="377"/>
    </row>
    <row r="216">
      <c r="A216" s="390" t="s">
        <v>826</v>
      </c>
      <c r="B216" s="390" t="s">
        <v>1571</v>
      </c>
      <c r="C216" s="390" t="s">
        <v>1605</v>
      </c>
      <c r="D216" s="427" t="s">
        <v>1606</v>
      </c>
      <c r="E216" s="383">
        <v>3340500.0</v>
      </c>
      <c r="F216" s="383">
        <v>2760743.8</v>
      </c>
      <c r="G216" s="414">
        <v>541322.31</v>
      </c>
      <c r="H216" s="439"/>
      <c r="I216" s="422"/>
      <c r="J216" s="423"/>
      <c r="K216" s="423"/>
      <c r="L216" s="440"/>
      <c r="M216" s="423"/>
      <c r="N216" s="423"/>
      <c r="O216" s="423"/>
      <c r="P216" s="423"/>
      <c r="Q216" s="423"/>
      <c r="R216" s="423"/>
      <c r="S216" s="423"/>
      <c r="T216" s="423"/>
      <c r="U216" s="423"/>
      <c r="V216" s="423"/>
      <c r="W216" s="423"/>
      <c r="X216" s="377"/>
      <c r="Y216" s="377"/>
      <c r="Z216" s="377"/>
      <c r="AA216" s="377"/>
      <c r="AB216" s="377"/>
    </row>
    <row r="217">
      <c r="A217" s="390" t="s">
        <v>826</v>
      </c>
      <c r="B217" s="390" t="s">
        <v>1571</v>
      </c>
      <c r="C217" s="390" t="s">
        <v>1607</v>
      </c>
      <c r="D217" s="427" t="s">
        <v>1606</v>
      </c>
      <c r="E217" s="383">
        <v>184041.0</v>
      </c>
      <c r="F217" s="383">
        <v>152100.0</v>
      </c>
      <c r="G217" s="414">
        <v>30000.0</v>
      </c>
      <c r="H217" s="439"/>
      <c r="I217" s="422"/>
      <c r="J217" s="423"/>
      <c r="K217" s="423"/>
      <c r="L217" s="440"/>
      <c r="M217" s="423"/>
      <c r="N217" s="423"/>
      <c r="O217" s="423"/>
      <c r="P217" s="423"/>
      <c r="Q217" s="423"/>
      <c r="R217" s="423"/>
      <c r="S217" s="423"/>
      <c r="T217" s="423"/>
      <c r="U217" s="423"/>
      <c r="V217" s="423"/>
      <c r="W217" s="423"/>
      <c r="X217" s="377"/>
      <c r="Y217" s="377"/>
      <c r="Z217" s="377"/>
      <c r="AA217" s="377"/>
      <c r="AB217" s="377"/>
    </row>
    <row r="218">
      <c r="A218" s="390" t="s">
        <v>1086</v>
      </c>
      <c r="B218" s="390" t="s">
        <v>1571</v>
      </c>
      <c r="C218" s="390" t="s">
        <v>1608</v>
      </c>
      <c r="D218" s="427" t="s">
        <v>1522</v>
      </c>
      <c r="E218" s="383">
        <v>14844.52</v>
      </c>
      <c r="F218" s="383">
        <f t="shared" ref="F218:F226" si="51">E218/1.21</f>
        <v>12268.19835</v>
      </c>
      <c r="G218" s="414">
        <f t="shared" ref="G218:G226" si="52">F218/5.06</f>
        <v>2424.545128</v>
      </c>
      <c r="H218" s="425" t="s">
        <v>1609</v>
      </c>
      <c r="I218" s="422"/>
      <c r="J218" s="423"/>
      <c r="K218" s="423"/>
      <c r="L218" s="440"/>
      <c r="M218" s="423"/>
      <c r="N218" s="423"/>
      <c r="O218" s="423"/>
      <c r="P218" s="423"/>
      <c r="Q218" s="423"/>
      <c r="R218" s="423"/>
      <c r="S218" s="423"/>
      <c r="T218" s="423"/>
      <c r="U218" s="423"/>
      <c r="V218" s="423"/>
      <c r="W218" s="424" t="s">
        <v>1610</v>
      </c>
      <c r="X218" s="377"/>
      <c r="Y218" s="377"/>
      <c r="Z218" s="377"/>
      <c r="AA218" s="377"/>
      <c r="AB218" s="377"/>
    </row>
    <row r="219">
      <c r="A219" s="390" t="s">
        <v>1086</v>
      </c>
      <c r="B219" s="390" t="s">
        <v>1571</v>
      </c>
      <c r="C219" s="390" t="s">
        <v>1611</v>
      </c>
      <c r="D219" s="427" t="s">
        <v>1612</v>
      </c>
      <c r="E219" s="383">
        <v>12293.6</v>
      </c>
      <c r="F219" s="383">
        <f t="shared" si="51"/>
        <v>10160</v>
      </c>
      <c r="G219" s="414">
        <f t="shared" si="52"/>
        <v>2007.905138</v>
      </c>
      <c r="H219" s="425" t="s">
        <v>1613</v>
      </c>
      <c r="I219" s="422"/>
      <c r="J219" s="423"/>
      <c r="K219" s="423"/>
      <c r="L219" s="440"/>
      <c r="M219" s="423"/>
      <c r="N219" s="423"/>
      <c r="O219" s="423"/>
      <c r="P219" s="423"/>
      <c r="Q219" s="423"/>
      <c r="R219" s="423"/>
      <c r="S219" s="423"/>
      <c r="T219" s="423"/>
      <c r="U219" s="423"/>
      <c r="V219" s="423"/>
      <c r="W219" s="423"/>
      <c r="X219" s="377"/>
      <c r="Y219" s="377"/>
      <c r="Z219" s="377"/>
      <c r="AA219" s="377"/>
      <c r="AB219" s="377"/>
    </row>
    <row r="220">
      <c r="A220" s="390" t="s">
        <v>1086</v>
      </c>
      <c r="B220" s="390" t="s">
        <v>1571</v>
      </c>
      <c r="C220" s="390" t="s">
        <v>1614</v>
      </c>
      <c r="D220" s="427" t="s">
        <v>1615</v>
      </c>
      <c r="E220" s="383">
        <v>28859.23</v>
      </c>
      <c r="F220" s="383">
        <f t="shared" si="51"/>
        <v>23850.60331</v>
      </c>
      <c r="G220" s="414">
        <f t="shared" si="52"/>
        <v>4713.557966</v>
      </c>
      <c r="H220" s="425" t="s">
        <v>1616</v>
      </c>
      <c r="I220" s="422"/>
      <c r="J220" s="423"/>
      <c r="K220" s="423"/>
      <c r="L220" s="440"/>
      <c r="M220" s="423"/>
      <c r="N220" s="423"/>
      <c r="O220" s="423"/>
      <c r="P220" s="423"/>
      <c r="Q220" s="423"/>
      <c r="R220" s="423"/>
      <c r="S220" s="423"/>
      <c r="T220" s="423"/>
      <c r="U220" s="423"/>
      <c r="V220" s="423"/>
      <c r="W220" s="423"/>
      <c r="X220" s="377"/>
      <c r="Y220" s="377"/>
      <c r="Z220" s="377"/>
      <c r="AA220" s="377"/>
      <c r="AB220" s="377"/>
    </row>
    <row r="221">
      <c r="A221" s="390" t="s">
        <v>835</v>
      </c>
      <c r="B221" s="390" t="s">
        <v>1571</v>
      </c>
      <c r="C221" s="390" t="s">
        <v>1617</v>
      </c>
      <c r="D221" s="427" t="s">
        <v>1618</v>
      </c>
      <c r="E221" s="383">
        <v>3666.3</v>
      </c>
      <c r="F221" s="383">
        <f t="shared" si="51"/>
        <v>3030</v>
      </c>
      <c r="G221" s="414">
        <f t="shared" si="52"/>
        <v>598.8142292</v>
      </c>
      <c r="H221" s="439"/>
      <c r="I221" s="422"/>
      <c r="J221" s="423"/>
      <c r="K221" s="423"/>
      <c r="L221" s="440"/>
      <c r="M221" s="423"/>
      <c r="N221" s="423"/>
      <c r="O221" s="423"/>
      <c r="P221" s="423"/>
      <c r="Q221" s="423"/>
      <c r="R221" s="423"/>
      <c r="S221" s="423"/>
      <c r="T221" s="423"/>
      <c r="U221" s="423"/>
      <c r="V221" s="423"/>
      <c r="W221" s="423"/>
      <c r="X221" s="377"/>
      <c r="Y221" s="377"/>
      <c r="Z221" s="377"/>
      <c r="AA221" s="377"/>
      <c r="AB221" s="377"/>
    </row>
    <row r="222">
      <c r="A222" s="390" t="s">
        <v>826</v>
      </c>
      <c r="B222" s="390" t="s">
        <v>1571</v>
      </c>
      <c r="C222" s="390" t="s">
        <v>1619</v>
      </c>
      <c r="D222" s="427" t="s">
        <v>1620</v>
      </c>
      <c r="E222" s="383">
        <v>19360.0</v>
      </c>
      <c r="F222" s="383">
        <f t="shared" si="51"/>
        <v>16000</v>
      </c>
      <c r="G222" s="414">
        <f t="shared" si="52"/>
        <v>3162.055336</v>
      </c>
      <c r="H222" s="439"/>
      <c r="I222" s="422"/>
      <c r="J222" s="423"/>
      <c r="K222" s="423"/>
      <c r="L222" s="440"/>
      <c r="M222" s="423"/>
      <c r="N222" s="423"/>
      <c r="O222" s="423"/>
      <c r="P222" s="423"/>
      <c r="Q222" s="423"/>
      <c r="R222" s="423"/>
      <c r="S222" s="423"/>
      <c r="T222" s="423"/>
      <c r="U222" s="423"/>
      <c r="V222" s="423"/>
      <c r="W222" s="423"/>
      <c r="X222" s="377"/>
      <c r="Y222" s="377"/>
      <c r="Z222" s="377"/>
      <c r="AA222" s="377"/>
      <c r="AB222" s="377"/>
    </row>
    <row r="223">
      <c r="A223" s="390" t="s">
        <v>835</v>
      </c>
      <c r="B223" s="390" t="s">
        <v>1571</v>
      </c>
      <c r="C223" s="390" t="s">
        <v>1621</v>
      </c>
      <c r="D223" s="427" t="s">
        <v>1622</v>
      </c>
      <c r="E223" s="383">
        <v>31219.36</v>
      </c>
      <c r="F223" s="383">
        <f t="shared" si="51"/>
        <v>25801.12397</v>
      </c>
      <c r="G223" s="414">
        <f t="shared" si="52"/>
        <v>5099.036357</v>
      </c>
      <c r="H223" s="439"/>
      <c r="I223" s="422"/>
      <c r="J223" s="423"/>
      <c r="K223" s="423"/>
      <c r="L223" s="440"/>
      <c r="M223" s="423"/>
      <c r="N223" s="423"/>
      <c r="O223" s="423"/>
      <c r="P223" s="423"/>
      <c r="Q223" s="423"/>
      <c r="R223" s="423"/>
      <c r="S223" s="423"/>
      <c r="T223" s="423"/>
      <c r="U223" s="423"/>
      <c r="V223" s="423"/>
      <c r="W223" s="423"/>
      <c r="X223" s="377"/>
      <c r="Y223" s="377"/>
      <c r="Z223" s="377"/>
      <c r="AA223" s="377"/>
      <c r="AB223" s="377"/>
    </row>
    <row r="224">
      <c r="A224" s="390" t="s">
        <v>155</v>
      </c>
      <c r="B224" s="390" t="s">
        <v>1571</v>
      </c>
      <c r="C224" s="390" t="s">
        <v>1623</v>
      </c>
      <c r="D224" s="427" t="s">
        <v>1624</v>
      </c>
      <c r="E224" s="383">
        <v>146168.0</v>
      </c>
      <c r="F224" s="383">
        <f t="shared" si="51"/>
        <v>120800</v>
      </c>
      <c r="G224" s="414">
        <f t="shared" si="52"/>
        <v>23873.51779</v>
      </c>
      <c r="H224" s="439"/>
      <c r="I224" s="422"/>
      <c r="J224" s="423"/>
      <c r="K224" s="423"/>
      <c r="L224" s="440"/>
      <c r="M224" s="423"/>
      <c r="N224" s="423"/>
      <c r="O224" s="423"/>
      <c r="P224" s="423"/>
      <c r="Q224" s="423"/>
      <c r="R224" s="423"/>
      <c r="S224" s="423"/>
      <c r="T224" s="423"/>
      <c r="U224" s="423"/>
      <c r="V224" s="423"/>
      <c r="W224" s="423"/>
      <c r="X224" s="377"/>
      <c r="Y224" s="377"/>
      <c r="Z224" s="377"/>
      <c r="AA224" s="377"/>
      <c r="AB224" s="377"/>
    </row>
    <row r="225">
      <c r="A225" s="390" t="s">
        <v>1086</v>
      </c>
      <c r="B225" s="390" t="s">
        <v>1571</v>
      </c>
      <c r="C225" s="390" t="s">
        <v>1625</v>
      </c>
      <c r="D225" s="427" t="s">
        <v>1089</v>
      </c>
      <c r="E225" s="383">
        <v>7809.47</v>
      </c>
      <c r="F225" s="383">
        <f t="shared" si="51"/>
        <v>6454.107438</v>
      </c>
      <c r="G225" s="414">
        <f t="shared" si="52"/>
        <v>1275.515304</v>
      </c>
      <c r="H225" s="390" t="s">
        <v>1626</v>
      </c>
      <c r="I225" s="422"/>
      <c r="J225" s="423"/>
      <c r="K225" s="423"/>
      <c r="L225" s="440"/>
      <c r="M225" s="423"/>
      <c r="N225" s="423"/>
      <c r="O225" s="423"/>
      <c r="P225" s="423"/>
      <c r="Q225" s="423"/>
      <c r="R225" s="423"/>
      <c r="S225" s="423"/>
      <c r="T225" s="423"/>
      <c r="U225" s="423"/>
      <c r="V225" s="423"/>
      <c r="W225" s="423"/>
      <c r="X225" s="377"/>
      <c r="Y225" s="377"/>
      <c r="Z225" s="377"/>
      <c r="AA225" s="377"/>
      <c r="AB225" s="377"/>
    </row>
    <row r="226">
      <c r="A226" s="390" t="s">
        <v>1149</v>
      </c>
      <c r="B226" s="390" t="s">
        <v>1571</v>
      </c>
      <c r="C226" s="390" t="s">
        <v>1627</v>
      </c>
      <c r="D226" s="427" t="s">
        <v>1628</v>
      </c>
      <c r="E226" s="383">
        <v>37000.0</v>
      </c>
      <c r="F226" s="383">
        <f t="shared" si="51"/>
        <v>30578.5124</v>
      </c>
      <c r="G226" s="414">
        <f t="shared" si="52"/>
        <v>6043.184268</v>
      </c>
      <c r="H226" s="390" t="s">
        <v>1629</v>
      </c>
      <c r="I226" s="422"/>
      <c r="J226" s="423"/>
      <c r="K226" s="423"/>
      <c r="L226" s="440"/>
      <c r="M226" s="423"/>
      <c r="N226" s="423"/>
      <c r="O226" s="423"/>
      <c r="P226" s="423"/>
      <c r="Q226" s="423"/>
      <c r="R226" s="423"/>
      <c r="S226" s="423"/>
      <c r="T226" s="423"/>
      <c r="U226" s="423"/>
      <c r="V226" s="423"/>
      <c r="W226" s="424" t="s">
        <v>1630</v>
      </c>
      <c r="X226" s="377"/>
      <c r="Y226" s="377"/>
      <c r="Z226" s="377"/>
      <c r="AA226" s="377"/>
      <c r="AB226" s="377"/>
    </row>
    <row r="227">
      <c r="A227" s="390" t="s">
        <v>826</v>
      </c>
      <c r="B227" s="390" t="s">
        <v>1571</v>
      </c>
      <c r="C227" s="390" t="s">
        <v>1631</v>
      </c>
      <c r="D227" s="427" t="s">
        <v>1632</v>
      </c>
      <c r="E227" s="383">
        <f>F227*1.21</f>
        <v>471331.3</v>
      </c>
      <c r="F227" s="383">
        <v>389530.0</v>
      </c>
      <c r="G227" s="414">
        <v>76680.0</v>
      </c>
      <c r="H227" s="390"/>
      <c r="I227" s="422"/>
      <c r="J227" s="423"/>
      <c r="K227" s="423"/>
      <c r="L227" s="440"/>
      <c r="M227" s="423"/>
      <c r="N227" s="423"/>
      <c r="O227" s="423"/>
      <c r="P227" s="423"/>
      <c r="Q227" s="423"/>
      <c r="R227" s="423"/>
      <c r="S227" s="423"/>
      <c r="T227" s="423"/>
      <c r="U227" s="423"/>
      <c r="V227" s="423"/>
      <c r="W227" s="423"/>
      <c r="X227" s="377"/>
      <c r="Y227" s="377"/>
      <c r="Z227" s="377"/>
      <c r="AA227" s="377"/>
      <c r="AB227" s="377"/>
    </row>
    <row r="228">
      <c r="A228" s="390" t="s">
        <v>835</v>
      </c>
      <c r="B228" s="390" t="s">
        <v>1100</v>
      </c>
      <c r="C228" s="390" t="s">
        <v>1633</v>
      </c>
      <c r="D228" s="427" t="s">
        <v>1634</v>
      </c>
      <c r="E228" s="383">
        <v>46415.36</v>
      </c>
      <c r="F228" s="383">
        <f t="shared" ref="F228:F240" si="53">E228/1.21</f>
        <v>38359.80165</v>
      </c>
      <c r="G228" s="414">
        <f>F228/5.1</f>
        <v>7521.529736</v>
      </c>
      <c r="H228" s="390"/>
      <c r="I228" s="422"/>
      <c r="J228" s="423"/>
      <c r="K228" s="423"/>
      <c r="L228" s="440"/>
      <c r="M228" s="423"/>
      <c r="N228" s="423"/>
      <c r="O228" s="423"/>
      <c r="P228" s="423"/>
      <c r="Q228" s="423"/>
      <c r="R228" s="423"/>
      <c r="S228" s="423"/>
      <c r="T228" s="423"/>
      <c r="U228" s="423"/>
      <c r="V228" s="423"/>
      <c r="W228" s="424" t="s">
        <v>1635</v>
      </c>
      <c r="X228" s="377"/>
      <c r="Y228" s="377"/>
      <c r="Z228" s="377"/>
      <c r="AA228" s="377"/>
      <c r="AB228" s="377"/>
    </row>
    <row r="229">
      <c r="A229" s="390" t="s">
        <v>835</v>
      </c>
      <c r="B229" s="390" t="s">
        <v>1100</v>
      </c>
      <c r="C229" s="390" t="s">
        <v>1636</v>
      </c>
      <c r="D229" s="427" t="s">
        <v>1634</v>
      </c>
      <c r="E229" s="383">
        <v>35115.28</v>
      </c>
      <c r="F229" s="383">
        <f t="shared" si="53"/>
        <v>29020.89256</v>
      </c>
      <c r="G229" s="414">
        <f t="shared" ref="G229:G230" si="54">F229/5.06</f>
        <v>5735.354261</v>
      </c>
      <c r="H229" s="390"/>
      <c r="I229" s="422"/>
      <c r="J229" s="423"/>
      <c r="K229" s="423"/>
      <c r="L229" s="440"/>
      <c r="M229" s="423"/>
      <c r="N229" s="423"/>
      <c r="O229" s="423"/>
      <c r="P229" s="423"/>
      <c r="Q229" s="423"/>
      <c r="R229" s="423"/>
      <c r="S229" s="423"/>
      <c r="T229" s="423"/>
      <c r="U229" s="423"/>
      <c r="V229" s="423"/>
      <c r="W229" s="424" t="s">
        <v>1637</v>
      </c>
      <c r="X229" s="377"/>
      <c r="Y229" s="377"/>
      <c r="Z229" s="377"/>
      <c r="AA229" s="377"/>
      <c r="AB229" s="377"/>
    </row>
    <row r="230">
      <c r="A230" s="390" t="s">
        <v>835</v>
      </c>
      <c r="B230" s="390" t="s">
        <v>1100</v>
      </c>
      <c r="C230" s="390" t="s">
        <v>1638</v>
      </c>
      <c r="D230" s="427" t="s">
        <v>1639</v>
      </c>
      <c r="E230" s="383">
        <v>37991.42</v>
      </c>
      <c r="F230" s="383">
        <f t="shared" si="53"/>
        <v>31397.86777</v>
      </c>
      <c r="G230" s="414">
        <f t="shared" si="54"/>
        <v>6205.112207</v>
      </c>
      <c r="H230" s="390"/>
      <c r="I230" s="422"/>
      <c r="J230" s="423"/>
      <c r="K230" s="423"/>
      <c r="L230" s="440"/>
      <c r="M230" s="423"/>
      <c r="N230" s="423"/>
      <c r="O230" s="423"/>
      <c r="P230" s="423"/>
      <c r="Q230" s="423"/>
      <c r="R230" s="423"/>
      <c r="S230" s="423"/>
      <c r="T230" s="423"/>
      <c r="U230" s="423"/>
      <c r="V230" s="423"/>
      <c r="W230" s="423"/>
      <c r="X230" s="377"/>
      <c r="Y230" s="377"/>
      <c r="Z230" s="377"/>
      <c r="AA230" s="377"/>
      <c r="AB230" s="377"/>
    </row>
    <row r="231">
      <c r="A231" s="390" t="s">
        <v>1149</v>
      </c>
      <c r="B231" s="390" t="s">
        <v>1100</v>
      </c>
      <c r="C231" s="390" t="s">
        <v>1640</v>
      </c>
      <c r="D231" s="427" t="s">
        <v>1641</v>
      </c>
      <c r="E231" s="383">
        <v>41700.0</v>
      </c>
      <c r="F231" s="383">
        <f t="shared" si="53"/>
        <v>34462.80992</v>
      </c>
      <c r="G231" s="414">
        <f t="shared" ref="G231:G232" si="55">F231/5.1</f>
        <v>6757.413709</v>
      </c>
      <c r="H231" s="390"/>
      <c r="I231" s="422"/>
      <c r="J231" s="423"/>
      <c r="K231" s="423"/>
      <c r="L231" s="440"/>
      <c r="M231" s="423"/>
      <c r="N231" s="423"/>
      <c r="O231" s="423"/>
      <c r="P231" s="423"/>
      <c r="Q231" s="423"/>
      <c r="R231" s="423"/>
      <c r="S231" s="423"/>
      <c r="T231" s="423"/>
      <c r="U231" s="423"/>
      <c r="V231" s="423"/>
      <c r="W231" s="423"/>
      <c r="X231" s="377"/>
      <c r="Y231" s="377"/>
      <c r="Z231" s="377"/>
      <c r="AA231" s="377"/>
      <c r="AB231" s="377"/>
    </row>
    <row r="232">
      <c r="A232" s="390" t="s">
        <v>1086</v>
      </c>
      <c r="B232" s="390" t="s">
        <v>1100</v>
      </c>
      <c r="C232" s="390" t="s">
        <v>1642</v>
      </c>
      <c r="D232" s="427" t="s">
        <v>1643</v>
      </c>
      <c r="E232" s="383">
        <v>35000.0</v>
      </c>
      <c r="F232" s="383">
        <f t="shared" si="53"/>
        <v>28925.61983</v>
      </c>
      <c r="G232" s="414">
        <f t="shared" si="55"/>
        <v>5671.690164</v>
      </c>
      <c r="H232" s="390" t="s">
        <v>1644</v>
      </c>
      <c r="I232" s="422"/>
      <c r="J232" s="423"/>
      <c r="K232" s="423"/>
      <c r="L232" s="440"/>
      <c r="M232" s="423"/>
      <c r="N232" s="423"/>
      <c r="O232" s="423"/>
      <c r="P232" s="423"/>
      <c r="Q232" s="423"/>
      <c r="R232" s="423"/>
      <c r="S232" s="423"/>
      <c r="T232" s="423"/>
      <c r="U232" s="423"/>
      <c r="V232" s="423"/>
      <c r="W232" s="423"/>
      <c r="X232" s="377"/>
      <c r="Y232" s="377"/>
      <c r="Z232" s="377"/>
      <c r="AA232" s="377"/>
      <c r="AB232" s="377"/>
    </row>
    <row r="233">
      <c r="A233" s="390" t="s">
        <v>826</v>
      </c>
      <c r="B233" s="390" t="s">
        <v>1100</v>
      </c>
      <c r="C233" s="390" t="s">
        <v>1645</v>
      </c>
      <c r="D233" s="427" t="s">
        <v>1646</v>
      </c>
      <c r="E233" s="383">
        <v>6310130.07</v>
      </c>
      <c r="F233" s="383">
        <f t="shared" si="53"/>
        <v>5214983.529</v>
      </c>
      <c r="G233" s="414">
        <v>1026571.56</v>
      </c>
      <c r="H233" s="390"/>
      <c r="I233" s="422"/>
      <c r="J233" s="423"/>
      <c r="K233" s="423"/>
      <c r="L233" s="440"/>
      <c r="M233" s="423"/>
      <c r="N233" s="423"/>
      <c r="O233" s="423"/>
      <c r="P233" s="423"/>
      <c r="Q233" s="423"/>
      <c r="R233" s="423"/>
      <c r="S233" s="423"/>
      <c r="T233" s="423"/>
      <c r="U233" s="423"/>
      <c r="V233" s="423"/>
      <c r="W233" s="423"/>
      <c r="X233" s="377"/>
      <c r="Y233" s="377"/>
      <c r="Z233" s="377"/>
      <c r="AA233" s="377"/>
      <c r="AB233" s="377"/>
    </row>
    <row r="234">
      <c r="A234" s="390" t="s">
        <v>835</v>
      </c>
      <c r="B234" s="390" t="s">
        <v>1100</v>
      </c>
      <c r="C234" s="390" t="s">
        <v>1647</v>
      </c>
      <c r="D234" s="427" t="s">
        <v>1109</v>
      </c>
      <c r="E234" s="383">
        <v>10500.0</v>
      </c>
      <c r="F234" s="383">
        <f t="shared" si="53"/>
        <v>8677.68595</v>
      </c>
      <c r="G234" s="414">
        <f t="shared" ref="G234:G240" si="56">F234/5.1</f>
        <v>1701.507049</v>
      </c>
      <c r="H234" s="390"/>
      <c r="I234" s="422"/>
      <c r="J234" s="423"/>
      <c r="K234" s="423"/>
      <c r="L234" s="440"/>
      <c r="M234" s="423"/>
      <c r="N234" s="423"/>
      <c r="O234" s="423"/>
      <c r="P234" s="423"/>
      <c r="Q234" s="423"/>
      <c r="R234" s="423"/>
      <c r="S234" s="423"/>
      <c r="T234" s="423"/>
      <c r="U234" s="423"/>
      <c r="V234" s="423"/>
      <c r="W234" s="423"/>
      <c r="X234" s="377"/>
      <c r="Y234" s="377"/>
      <c r="Z234" s="377"/>
      <c r="AA234" s="377"/>
      <c r="AB234" s="377"/>
    </row>
    <row r="235">
      <c r="A235" s="390" t="s">
        <v>1086</v>
      </c>
      <c r="B235" s="390" t="s">
        <v>1100</v>
      </c>
      <c r="C235" s="390" t="s">
        <v>1648</v>
      </c>
      <c r="D235" s="427" t="s">
        <v>1649</v>
      </c>
      <c r="E235" s="383">
        <v>33500.0</v>
      </c>
      <c r="F235" s="383">
        <f t="shared" si="53"/>
        <v>27685.95041</v>
      </c>
      <c r="G235" s="414">
        <f t="shared" si="56"/>
        <v>5428.617728</v>
      </c>
      <c r="H235" s="390" t="s">
        <v>1465</v>
      </c>
      <c r="I235" s="422"/>
      <c r="J235" s="423"/>
      <c r="K235" s="423"/>
      <c r="L235" s="440"/>
      <c r="M235" s="423"/>
      <c r="N235" s="423"/>
      <c r="O235" s="423"/>
      <c r="P235" s="423"/>
      <c r="Q235" s="423"/>
      <c r="R235" s="423"/>
      <c r="S235" s="423"/>
      <c r="T235" s="423"/>
      <c r="U235" s="423"/>
      <c r="V235" s="423"/>
      <c r="W235" s="423"/>
      <c r="X235" s="377"/>
      <c r="Y235" s="377"/>
      <c r="Z235" s="377"/>
      <c r="AA235" s="377"/>
      <c r="AB235" s="377"/>
    </row>
    <row r="236">
      <c r="A236" s="390" t="s">
        <v>1086</v>
      </c>
      <c r="B236" s="390" t="s">
        <v>1100</v>
      </c>
      <c r="C236" s="390" t="s">
        <v>1650</v>
      </c>
      <c r="D236" s="427" t="s">
        <v>1397</v>
      </c>
      <c r="E236" s="383">
        <v>4785.28</v>
      </c>
      <c r="F236" s="383">
        <f t="shared" si="53"/>
        <v>3954.77686</v>
      </c>
      <c r="G236" s="414">
        <f t="shared" si="56"/>
        <v>775.446443</v>
      </c>
      <c r="H236" s="390" t="s">
        <v>1651</v>
      </c>
      <c r="I236" s="422"/>
      <c r="J236" s="423"/>
      <c r="K236" s="423"/>
      <c r="L236" s="440"/>
      <c r="M236" s="423"/>
      <c r="N236" s="423"/>
      <c r="O236" s="423"/>
      <c r="P236" s="423"/>
      <c r="Q236" s="423"/>
      <c r="R236" s="423"/>
      <c r="S236" s="423"/>
      <c r="T236" s="423"/>
      <c r="U236" s="423"/>
      <c r="V236" s="423"/>
      <c r="W236" s="423"/>
      <c r="X236" s="377"/>
      <c r="Y236" s="377"/>
      <c r="Z236" s="377"/>
      <c r="AA236" s="377"/>
      <c r="AB236" s="377"/>
    </row>
    <row r="237">
      <c r="A237" s="390" t="s">
        <v>835</v>
      </c>
      <c r="B237" s="390" t="s">
        <v>1100</v>
      </c>
      <c r="C237" s="390" t="s">
        <v>1652</v>
      </c>
      <c r="D237" s="427" t="s">
        <v>1653</v>
      </c>
      <c r="E237" s="383">
        <v>22160.0</v>
      </c>
      <c r="F237" s="383">
        <f t="shared" si="53"/>
        <v>18314.04959</v>
      </c>
      <c r="G237" s="414">
        <f t="shared" si="56"/>
        <v>3590.990115</v>
      </c>
      <c r="H237" s="390"/>
      <c r="I237" s="422"/>
      <c r="J237" s="423"/>
      <c r="K237" s="423"/>
      <c r="L237" s="440"/>
      <c r="M237" s="423"/>
      <c r="N237" s="423"/>
      <c r="O237" s="423"/>
      <c r="P237" s="423"/>
      <c r="Q237" s="423"/>
      <c r="R237" s="423"/>
      <c r="S237" s="423"/>
      <c r="T237" s="423"/>
      <c r="U237" s="423"/>
      <c r="V237" s="423"/>
      <c r="W237" s="423"/>
      <c r="X237" s="377"/>
      <c r="Y237" s="377"/>
      <c r="Z237" s="377"/>
      <c r="AA237" s="377"/>
      <c r="AB237" s="377"/>
    </row>
    <row r="238">
      <c r="A238" s="390" t="s">
        <v>1023</v>
      </c>
      <c r="B238" s="390" t="s">
        <v>1100</v>
      </c>
      <c r="C238" s="390" t="s">
        <v>1654</v>
      </c>
      <c r="D238" s="427" t="s">
        <v>1655</v>
      </c>
      <c r="E238" s="383">
        <v>21000.0</v>
      </c>
      <c r="F238" s="383">
        <f t="shared" si="53"/>
        <v>17355.3719</v>
      </c>
      <c r="G238" s="414">
        <f t="shared" si="56"/>
        <v>3403.014098</v>
      </c>
      <c r="H238" s="390" t="s">
        <v>1656</v>
      </c>
      <c r="I238" s="422"/>
      <c r="J238" s="423"/>
      <c r="K238" s="423"/>
      <c r="L238" s="440"/>
      <c r="M238" s="423"/>
      <c r="N238" s="423"/>
      <c r="O238" s="423"/>
      <c r="P238" s="423"/>
      <c r="Q238" s="423"/>
      <c r="R238" s="423"/>
      <c r="S238" s="423"/>
      <c r="T238" s="423"/>
      <c r="U238" s="423"/>
      <c r="V238" s="423"/>
      <c r="W238" s="424" t="s">
        <v>1657</v>
      </c>
      <c r="X238" s="377"/>
      <c r="Y238" s="377"/>
      <c r="Z238" s="377"/>
      <c r="AA238" s="377"/>
      <c r="AB238" s="377"/>
    </row>
    <row r="239">
      <c r="A239" s="390" t="s">
        <v>1149</v>
      </c>
      <c r="B239" s="390" t="s">
        <v>1100</v>
      </c>
      <c r="C239" s="390" t="s">
        <v>1658</v>
      </c>
      <c r="D239" s="427" t="s">
        <v>1588</v>
      </c>
      <c r="E239" s="383">
        <v>11220.0</v>
      </c>
      <c r="F239" s="383">
        <f t="shared" si="53"/>
        <v>9272.727273</v>
      </c>
      <c r="G239" s="414">
        <f t="shared" si="56"/>
        <v>1818.181818</v>
      </c>
      <c r="H239" s="390" t="s">
        <v>1659</v>
      </c>
      <c r="I239" s="422"/>
      <c r="J239" s="423"/>
      <c r="K239" s="423"/>
      <c r="L239" s="440"/>
      <c r="M239" s="423"/>
      <c r="N239" s="423"/>
      <c r="O239" s="423"/>
      <c r="P239" s="423"/>
      <c r="Q239" s="423"/>
      <c r="R239" s="423"/>
      <c r="S239" s="423"/>
      <c r="T239" s="423"/>
      <c r="U239" s="423"/>
      <c r="V239" s="423"/>
      <c r="W239" s="423"/>
      <c r="X239" s="377"/>
      <c r="Y239" s="377"/>
      <c r="Z239" s="377"/>
      <c r="AA239" s="377"/>
      <c r="AB239" s="377"/>
    </row>
    <row r="240">
      <c r="A240" s="390" t="s">
        <v>1086</v>
      </c>
      <c r="B240" s="390" t="s">
        <v>1100</v>
      </c>
      <c r="C240" s="390" t="s">
        <v>1660</v>
      </c>
      <c r="D240" s="427" t="s">
        <v>1661</v>
      </c>
      <c r="E240" s="383">
        <v>20345.91</v>
      </c>
      <c r="F240" s="383">
        <f t="shared" si="53"/>
        <v>16814.80165</v>
      </c>
      <c r="G240" s="414">
        <f t="shared" si="56"/>
        <v>3297.019932</v>
      </c>
      <c r="H240" s="390" t="s">
        <v>1662</v>
      </c>
      <c r="I240" s="422"/>
      <c r="J240" s="423"/>
      <c r="K240" s="423"/>
      <c r="L240" s="440"/>
      <c r="M240" s="423"/>
      <c r="N240" s="423"/>
      <c r="O240" s="423"/>
      <c r="P240" s="423"/>
      <c r="Q240" s="423"/>
      <c r="R240" s="423"/>
      <c r="S240" s="423"/>
      <c r="T240" s="423"/>
      <c r="U240" s="423"/>
      <c r="V240" s="423"/>
      <c r="W240" s="423"/>
      <c r="X240" s="377"/>
      <c r="Y240" s="377"/>
      <c r="Z240" s="377"/>
      <c r="AA240" s="377"/>
      <c r="AB240" s="377"/>
    </row>
    <row r="241">
      <c r="A241" s="390" t="s">
        <v>826</v>
      </c>
      <c r="B241" s="390" t="s">
        <v>1100</v>
      </c>
      <c r="C241" s="390" t="s">
        <v>1663</v>
      </c>
      <c r="D241" s="427" t="s">
        <v>1428</v>
      </c>
      <c r="E241" s="383">
        <v>1.3545345E7</v>
      </c>
      <c r="F241" s="383">
        <v>1.11945E7</v>
      </c>
      <c r="G241" s="414">
        <v>2195000.0</v>
      </c>
      <c r="H241" s="390" t="s">
        <v>1664</v>
      </c>
      <c r="I241" s="422"/>
      <c r="J241" s="423"/>
      <c r="K241" s="423"/>
      <c r="L241" s="440"/>
      <c r="M241" s="423"/>
      <c r="N241" s="423"/>
      <c r="O241" s="423"/>
      <c r="P241" s="423"/>
      <c r="Q241" s="423"/>
      <c r="R241" s="423"/>
      <c r="S241" s="423"/>
      <c r="T241" s="423"/>
      <c r="U241" s="423"/>
      <c r="V241" s="423"/>
      <c r="W241" s="423"/>
      <c r="X241" s="377"/>
      <c r="Y241" s="377"/>
      <c r="Z241" s="377"/>
      <c r="AA241" s="377"/>
      <c r="AB241" s="377"/>
    </row>
    <row r="242">
      <c r="A242" s="390" t="s">
        <v>835</v>
      </c>
      <c r="B242" s="390" t="s">
        <v>1100</v>
      </c>
      <c r="C242" s="390" t="s">
        <v>1665</v>
      </c>
      <c r="D242" s="427" t="s">
        <v>1666</v>
      </c>
      <c r="E242" s="383">
        <v>119459.98</v>
      </c>
      <c r="F242" s="383">
        <f t="shared" ref="F242:F251" si="57">E242/1.21</f>
        <v>98727.2562</v>
      </c>
      <c r="G242" s="414">
        <f t="shared" ref="G242:G251" si="58">F242/5.1</f>
        <v>19358.28553</v>
      </c>
      <c r="H242" s="425" t="s">
        <v>1667</v>
      </c>
      <c r="I242" s="422"/>
      <c r="J242" s="423"/>
      <c r="K242" s="423"/>
      <c r="L242" s="440"/>
      <c r="M242" s="423"/>
      <c r="N242" s="423"/>
      <c r="O242" s="423"/>
      <c r="P242" s="423"/>
      <c r="Q242" s="423"/>
      <c r="R242" s="423"/>
      <c r="S242" s="423"/>
      <c r="T242" s="423"/>
      <c r="U242" s="423"/>
      <c r="V242" s="423"/>
      <c r="W242" s="423"/>
      <c r="X242" s="377"/>
      <c r="Y242" s="377"/>
      <c r="Z242" s="377"/>
      <c r="AA242" s="377"/>
      <c r="AB242" s="377"/>
    </row>
    <row r="243">
      <c r="A243" s="390" t="s">
        <v>835</v>
      </c>
      <c r="B243" s="390" t="s">
        <v>1100</v>
      </c>
      <c r="C243" s="390" t="s">
        <v>1668</v>
      </c>
      <c r="D243" s="427" t="s">
        <v>1669</v>
      </c>
      <c r="E243" s="383">
        <v>11706.39</v>
      </c>
      <c r="F243" s="383">
        <f t="shared" si="57"/>
        <v>9674.702479</v>
      </c>
      <c r="G243" s="414">
        <f t="shared" si="58"/>
        <v>1897.000486</v>
      </c>
      <c r="H243" s="439"/>
      <c r="I243" s="422"/>
      <c r="J243" s="423"/>
      <c r="K243" s="423"/>
      <c r="L243" s="440"/>
      <c r="M243" s="423"/>
      <c r="N243" s="423"/>
      <c r="O243" s="423"/>
      <c r="P243" s="423"/>
      <c r="Q243" s="423"/>
      <c r="R243" s="423"/>
      <c r="S243" s="423"/>
      <c r="T243" s="423"/>
      <c r="U243" s="423"/>
      <c r="V243" s="423"/>
      <c r="W243" s="423"/>
      <c r="X243" s="377"/>
      <c r="Y243" s="377"/>
      <c r="Z243" s="377"/>
      <c r="AA243" s="377"/>
      <c r="AB243" s="377"/>
    </row>
    <row r="244">
      <c r="A244" s="390" t="s">
        <v>835</v>
      </c>
      <c r="B244" s="390" t="s">
        <v>1100</v>
      </c>
      <c r="C244" s="390" t="s">
        <v>1670</v>
      </c>
      <c r="D244" s="427" t="s">
        <v>1671</v>
      </c>
      <c r="E244" s="383">
        <v>28379.61</v>
      </c>
      <c r="F244" s="383">
        <f t="shared" si="57"/>
        <v>23454.22314</v>
      </c>
      <c r="G244" s="414">
        <f t="shared" si="58"/>
        <v>4598.867282</v>
      </c>
      <c r="H244" s="439"/>
      <c r="I244" s="422"/>
      <c r="J244" s="423"/>
      <c r="K244" s="423"/>
      <c r="L244" s="440"/>
      <c r="M244" s="423"/>
      <c r="N244" s="423"/>
      <c r="O244" s="423"/>
      <c r="P244" s="423"/>
      <c r="Q244" s="423"/>
      <c r="R244" s="423"/>
      <c r="S244" s="423"/>
      <c r="T244" s="423"/>
      <c r="U244" s="423"/>
      <c r="V244" s="423"/>
      <c r="W244" s="423"/>
      <c r="X244" s="377"/>
      <c r="Y244" s="377"/>
      <c r="Z244" s="377"/>
      <c r="AA244" s="377"/>
      <c r="AB244" s="377"/>
    </row>
    <row r="245">
      <c r="A245" s="390" t="s">
        <v>1086</v>
      </c>
      <c r="B245" s="390" t="s">
        <v>1100</v>
      </c>
      <c r="C245" s="390" t="s">
        <v>1672</v>
      </c>
      <c r="D245" s="427" t="s">
        <v>1673</v>
      </c>
      <c r="E245" s="383">
        <v>21783.63</v>
      </c>
      <c r="F245" s="383">
        <f t="shared" si="57"/>
        <v>18003</v>
      </c>
      <c r="G245" s="414">
        <f t="shared" si="58"/>
        <v>3530</v>
      </c>
      <c r="H245" s="425" t="s">
        <v>1674</v>
      </c>
      <c r="I245" s="422"/>
      <c r="J245" s="423"/>
      <c r="K245" s="423"/>
      <c r="L245" s="440"/>
      <c r="M245" s="423"/>
      <c r="N245" s="423"/>
      <c r="O245" s="423"/>
      <c r="P245" s="423"/>
      <c r="Q245" s="423"/>
      <c r="R245" s="423"/>
      <c r="S245" s="423"/>
      <c r="T245" s="423"/>
      <c r="U245" s="423"/>
      <c r="V245" s="423"/>
      <c r="W245" s="423"/>
      <c r="X245" s="377"/>
      <c r="Y245" s="377"/>
      <c r="Z245" s="377"/>
      <c r="AA245" s="377"/>
      <c r="AB245" s="377"/>
    </row>
    <row r="246">
      <c r="A246" s="390" t="s">
        <v>1086</v>
      </c>
      <c r="B246" s="390" t="s">
        <v>1100</v>
      </c>
      <c r="C246" s="390" t="s">
        <v>1675</v>
      </c>
      <c r="D246" s="427" t="s">
        <v>1236</v>
      </c>
      <c r="E246" s="383">
        <v>4000.0</v>
      </c>
      <c r="F246" s="383">
        <f t="shared" si="57"/>
        <v>3305.785124</v>
      </c>
      <c r="G246" s="414">
        <f t="shared" si="58"/>
        <v>648.1931616</v>
      </c>
      <c r="H246" s="425" t="s">
        <v>1676</v>
      </c>
      <c r="I246" s="422"/>
      <c r="J246" s="423"/>
      <c r="K246" s="423"/>
      <c r="L246" s="440"/>
      <c r="M246" s="423"/>
      <c r="N246" s="423"/>
      <c r="O246" s="423"/>
      <c r="P246" s="423"/>
      <c r="Q246" s="423"/>
      <c r="R246" s="423"/>
      <c r="S246" s="423"/>
      <c r="T246" s="423"/>
      <c r="U246" s="423"/>
      <c r="V246" s="423"/>
      <c r="W246" s="423"/>
      <c r="X246" s="377"/>
      <c r="Y246" s="377"/>
      <c r="Z246" s="377"/>
      <c r="AA246" s="377"/>
      <c r="AB246" s="377"/>
    </row>
    <row r="247">
      <c r="A247" s="390" t="s">
        <v>1023</v>
      </c>
      <c r="B247" s="390" t="s">
        <v>1100</v>
      </c>
      <c r="C247" s="390" t="s">
        <v>1677</v>
      </c>
      <c r="D247" s="427" t="s">
        <v>1678</v>
      </c>
      <c r="E247" s="383">
        <v>18400.0</v>
      </c>
      <c r="F247" s="383">
        <f t="shared" si="57"/>
        <v>15206.61157</v>
      </c>
      <c r="G247" s="414">
        <f t="shared" si="58"/>
        <v>2981.688543</v>
      </c>
      <c r="H247" s="425" t="s">
        <v>1679</v>
      </c>
      <c r="I247" s="422"/>
      <c r="J247" s="423"/>
      <c r="K247" s="423"/>
      <c r="L247" s="440"/>
      <c r="M247" s="423"/>
      <c r="N247" s="423"/>
      <c r="O247" s="423"/>
      <c r="P247" s="423"/>
      <c r="Q247" s="423"/>
      <c r="R247" s="423"/>
      <c r="S247" s="423"/>
      <c r="T247" s="423"/>
      <c r="U247" s="423"/>
      <c r="V247" s="423"/>
      <c r="W247" s="424" t="s">
        <v>1680</v>
      </c>
      <c r="X247" s="377"/>
      <c r="Y247" s="377"/>
      <c r="Z247" s="377"/>
      <c r="AA247" s="377"/>
      <c r="AB247" s="377"/>
    </row>
    <row r="248">
      <c r="A248" s="390" t="s">
        <v>835</v>
      </c>
      <c r="B248" s="390" t="s">
        <v>1100</v>
      </c>
      <c r="C248" s="390" t="s">
        <v>1681</v>
      </c>
      <c r="D248" s="427" t="s">
        <v>1682</v>
      </c>
      <c r="E248" s="383">
        <v>38500.0</v>
      </c>
      <c r="F248" s="383">
        <f t="shared" si="57"/>
        <v>31818.18182</v>
      </c>
      <c r="G248" s="414">
        <f t="shared" si="58"/>
        <v>6238.85918</v>
      </c>
      <c r="H248" s="439"/>
      <c r="I248" s="422"/>
      <c r="J248" s="423"/>
      <c r="K248" s="423"/>
      <c r="L248" s="440"/>
      <c r="M248" s="423"/>
      <c r="N248" s="423"/>
      <c r="O248" s="423"/>
      <c r="P248" s="423"/>
      <c r="Q248" s="423"/>
      <c r="R248" s="423"/>
      <c r="S248" s="423"/>
      <c r="T248" s="423"/>
      <c r="U248" s="423"/>
      <c r="V248" s="423"/>
      <c r="W248" s="423"/>
      <c r="X248" s="377"/>
      <c r="Y248" s="377"/>
      <c r="Z248" s="377"/>
      <c r="AA248" s="377"/>
      <c r="AB248" s="377"/>
    </row>
    <row r="249">
      <c r="A249" s="390" t="s">
        <v>1086</v>
      </c>
      <c r="B249" s="390" t="s">
        <v>1100</v>
      </c>
      <c r="C249" s="390" t="s">
        <v>1683</v>
      </c>
      <c r="D249" s="427" t="s">
        <v>1684</v>
      </c>
      <c r="E249" s="383">
        <v>45200.0</v>
      </c>
      <c r="F249" s="383">
        <f t="shared" si="57"/>
        <v>37355.3719</v>
      </c>
      <c r="G249" s="414">
        <f t="shared" si="58"/>
        <v>7324.582726</v>
      </c>
      <c r="H249" s="425" t="s">
        <v>1685</v>
      </c>
      <c r="I249" s="422"/>
      <c r="J249" s="423"/>
      <c r="K249" s="423"/>
      <c r="L249" s="440"/>
      <c r="M249" s="423"/>
      <c r="N249" s="423"/>
      <c r="O249" s="423"/>
      <c r="P249" s="423"/>
      <c r="Q249" s="423"/>
      <c r="R249" s="423"/>
      <c r="S249" s="423"/>
      <c r="T249" s="423"/>
      <c r="U249" s="423"/>
      <c r="V249" s="423"/>
      <c r="W249" s="423"/>
      <c r="X249" s="377"/>
      <c r="Y249" s="377"/>
      <c r="Z249" s="377"/>
      <c r="AA249" s="377"/>
      <c r="AB249" s="377"/>
    </row>
    <row r="250">
      <c r="A250" s="390" t="s">
        <v>1023</v>
      </c>
      <c r="B250" s="390" t="s">
        <v>1100</v>
      </c>
      <c r="C250" s="390" t="s">
        <v>1686</v>
      </c>
      <c r="D250" s="427" t="s">
        <v>1687</v>
      </c>
      <c r="E250" s="383">
        <v>22524.0</v>
      </c>
      <c r="F250" s="383">
        <f t="shared" si="57"/>
        <v>18614.87603</v>
      </c>
      <c r="G250" s="414">
        <f t="shared" si="58"/>
        <v>3649.975693</v>
      </c>
      <c r="H250" s="425" t="s">
        <v>1656</v>
      </c>
      <c r="I250" s="422"/>
      <c r="J250" s="423"/>
      <c r="K250" s="423"/>
      <c r="L250" s="440"/>
      <c r="M250" s="423"/>
      <c r="N250" s="423"/>
      <c r="O250" s="423"/>
      <c r="P250" s="423"/>
      <c r="Q250" s="423"/>
      <c r="R250" s="423"/>
      <c r="S250" s="423"/>
      <c r="T250" s="423"/>
      <c r="U250" s="423"/>
      <c r="V250" s="423"/>
      <c r="W250" s="424" t="s">
        <v>1688</v>
      </c>
      <c r="X250" s="377"/>
      <c r="Y250" s="377"/>
      <c r="Z250" s="377"/>
      <c r="AA250" s="377"/>
      <c r="AB250" s="377"/>
    </row>
    <row r="251">
      <c r="A251" s="390" t="s">
        <v>835</v>
      </c>
      <c r="B251" s="390" t="s">
        <v>1050</v>
      </c>
      <c r="C251" s="390" t="s">
        <v>1689</v>
      </c>
      <c r="D251" s="427" t="s">
        <v>1690</v>
      </c>
      <c r="E251" s="383">
        <v>39628.42</v>
      </c>
      <c r="F251" s="383">
        <f t="shared" si="57"/>
        <v>32750.76033</v>
      </c>
      <c r="G251" s="414">
        <f t="shared" si="58"/>
        <v>6421.717712</v>
      </c>
      <c r="H251" s="439"/>
      <c r="I251" s="422"/>
      <c r="J251" s="423"/>
      <c r="K251" s="423"/>
      <c r="L251" s="440"/>
      <c r="M251" s="423"/>
      <c r="N251" s="423"/>
      <c r="O251" s="423"/>
      <c r="P251" s="423"/>
      <c r="Q251" s="423"/>
      <c r="R251" s="423"/>
      <c r="S251" s="423"/>
      <c r="T251" s="423"/>
      <c r="U251" s="423"/>
      <c r="V251" s="423"/>
      <c r="W251" s="423"/>
      <c r="X251" s="377"/>
      <c r="Y251" s="377"/>
      <c r="Z251" s="377"/>
      <c r="AA251" s="377"/>
      <c r="AB251" s="377"/>
    </row>
    <row r="252">
      <c r="A252" s="390" t="s">
        <v>835</v>
      </c>
      <c r="B252" s="390" t="s">
        <v>1050</v>
      </c>
      <c r="C252" s="390" t="s">
        <v>1691</v>
      </c>
      <c r="D252" s="427" t="s">
        <v>1692</v>
      </c>
      <c r="E252" s="383">
        <v>69843.02</v>
      </c>
      <c r="F252" s="383">
        <v>57721.5</v>
      </c>
      <c r="G252" s="414">
        <v>11318.0</v>
      </c>
      <c r="H252" s="439"/>
      <c r="I252" s="422"/>
      <c r="J252" s="423"/>
      <c r="K252" s="423"/>
      <c r="L252" s="440"/>
      <c r="M252" s="423"/>
      <c r="N252" s="423"/>
      <c r="O252" s="423"/>
      <c r="P252" s="423"/>
      <c r="Q252" s="423"/>
      <c r="R252" s="423"/>
      <c r="S252" s="423"/>
      <c r="T252" s="423"/>
      <c r="U252" s="423"/>
      <c r="V252" s="423"/>
      <c r="W252" s="423"/>
      <c r="X252" s="377"/>
      <c r="Y252" s="377"/>
      <c r="Z252" s="377"/>
      <c r="AA252" s="377"/>
      <c r="AB252" s="377"/>
    </row>
    <row r="253">
      <c r="A253" s="390" t="s">
        <v>835</v>
      </c>
      <c r="B253" s="390" t="s">
        <v>1050</v>
      </c>
      <c r="C253" s="390" t="s">
        <v>1693</v>
      </c>
      <c r="D253" s="427" t="s">
        <v>1694</v>
      </c>
      <c r="E253" s="383">
        <v>40000.0</v>
      </c>
      <c r="F253" s="383">
        <f t="shared" ref="F253:F262" si="59">E253/1.21</f>
        <v>33057.85124</v>
      </c>
      <c r="G253" s="414">
        <f t="shared" ref="G253:G254" si="60">F253/5.08</f>
        <v>6507.451031</v>
      </c>
      <c r="H253" s="390"/>
      <c r="I253" s="408"/>
      <c r="J253" s="397"/>
      <c r="K253" s="397"/>
      <c r="L253" s="428"/>
      <c r="M253" s="397"/>
      <c r="N253" s="397"/>
      <c r="O253" s="397"/>
      <c r="P253" s="397"/>
      <c r="Q253" s="397"/>
      <c r="R253" s="397"/>
      <c r="S253" s="397"/>
      <c r="T253" s="397"/>
      <c r="U253" s="397"/>
      <c r="V253" s="397"/>
      <c r="W253" s="397"/>
      <c r="X253" s="377"/>
      <c r="Y253" s="377"/>
      <c r="Z253" s="377"/>
      <c r="AA253" s="377"/>
      <c r="AB253" s="377"/>
    </row>
    <row r="254">
      <c r="A254" s="390" t="s">
        <v>1086</v>
      </c>
      <c r="B254" s="390" t="s">
        <v>1050</v>
      </c>
      <c r="C254" s="390" t="s">
        <v>1695</v>
      </c>
      <c r="D254" s="427" t="s">
        <v>1696</v>
      </c>
      <c r="E254" s="383">
        <v>32906.52</v>
      </c>
      <c r="F254" s="383">
        <f t="shared" si="59"/>
        <v>27195.47107</v>
      </c>
      <c r="G254" s="414">
        <f t="shared" si="60"/>
        <v>5353.439188</v>
      </c>
      <c r="H254" s="390" t="s">
        <v>1697</v>
      </c>
      <c r="I254" s="422"/>
      <c r="J254" s="423"/>
      <c r="K254" s="423"/>
      <c r="L254" s="440"/>
      <c r="M254" s="423"/>
      <c r="N254" s="423"/>
      <c r="O254" s="423"/>
      <c r="P254" s="423"/>
      <c r="Q254" s="423"/>
      <c r="R254" s="423"/>
      <c r="S254" s="423"/>
      <c r="T254" s="423"/>
      <c r="U254" s="423"/>
      <c r="V254" s="423"/>
      <c r="W254" s="423"/>
      <c r="X254" s="377"/>
      <c r="Y254" s="377"/>
      <c r="Z254" s="377"/>
      <c r="AA254" s="377"/>
      <c r="AB254" s="377"/>
    </row>
    <row r="255">
      <c r="A255" s="390" t="s">
        <v>1023</v>
      </c>
      <c r="B255" s="390" t="s">
        <v>1050</v>
      </c>
      <c r="C255" s="390" t="s">
        <v>1698</v>
      </c>
      <c r="D255" s="427" t="s">
        <v>1699</v>
      </c>
      <c r="E255" s="383">
        <v>44246.0</v>
      </c>
      <c r="F255" s="383">
        <f t="shared" si="59"/>
        <v>36566.94215</v>
      </c>
      <c r="G255" s="414">
        <f t="shared" ref="G255:G257" si="61">F255/5.1</f>
        <v>7169.988657</v>
      </c>
      <c r="H255" s="390" t="s">
        <v>1700</v>
      </c>
      <c r="I255" s="422"/>
      <c r="J255" s="423"/>
      <c r="K255" s="423"/>
      <c r="L255" s="440"/>
      <c r="M255" s="423"/>
      <c r="N255" s="423"/>
      <c r="O255" s="423"/>
      <c r="P255" s="423"/>
      <c r="Q255" s="423"/>
      <c r="R255" s="423"/>
      <c r="S255" s="423"/>
      <c r="T255" s="423"/>
      <c r="U255" s="423"/>
      <c r="V255" s="423"/>
      <c r="W255" s="424" t="s">
        <v>1701</v>
      </c>
      <c r="X255" s="377"/>
      <c r="Y255" s="377"/>
      <c r="Z255" s="377"/>
      <c r="AA255" s="377"/>
      <c r="AB255" s="377"/>
    </row>
    <row r="256">
      <c r="A256" s="390" t="s">
        <v>835</v>
      </c>
      <c r="B256" s="390" t="s">
        <v>1050</v>
      </c>
      <c r="C256" s="390" t="s">
        <v>1702</v>
      </c>
      <c r="D256" s="427" t="s">
        <v>1703</v>
      </c>
      <c r="E256" s="383">
        <v>21167.0</v>
      </c>
      <c r="F256" s="383">
        <f t="shared" si="59"/>
        <v>17493.38843</v>
      </c>
      <c r="G256" s="414">
        <f t="shared" si="61"/>
        <v>3430.076163</v>
      </c>
      <c r="H256" s="390"/>
      <c r="I256" s="422"/>
      <c r="J256" s="423"/>
      <c r="K256" s="423"/>
      <c r="L256" s="440"/>
      <c r="M256" s="423"/>
      <c r="N256" s="423"/>
      <c r="O256" s="423"/>
      <c r="P256" s="423"/>
      <c r="Q256" s="423"/>
      <c r="R256" s="423"/>
      <c r="S256" s="423"/>
      <c r="T256" s="423"/>
      <c r="U256" s="423"/>
      <c r="V256" s="423"/>
      <c r="W256" s="423"/>
      <c r="X256" s="377"/>
      <c r="Y256" s="377"/>
      <c r="Z256" s="377"/>
      <c r="AA256" s="377"/>
      <c r="AB256" s="377"/>
    </row>
    <row r="257">
      <c r="A257" s="390" t="s">
        <v>1023</v>
      </c>
      <c r="B257" s="390" t="s">
        <v>1050</v>
      </c>
      <c r="C257" s="390" t="s">
        <v>1704</v>
      </c>
      <c r="D257" s="427" t="s">
        <v>1705</v>
      </c>
      <c r="E257" s="383">
        <v>31219.0</v>
      </c>
      <c r="F257" s="383">
        <f t="shared" si="59"/>
        <v>25800.82645</v>
      </c>
      <c r="G257" s="414">
        <f t="shared" si="61"/>
        <v>5058.985578</v>
      </c>
      <c r="H257" s="390" t="s">
        <v>1706</v>
      </c>
      <c r="I257" s="422"/>
      <c r="J257" s="423"/>
      <c r="K257" s="423"/>
      <c r="L257" s="440"/>
      <c r="M257" s="423"/>
      <c r="N257" s="423"/>
      <c r="O257" s="423"/>
      <c r="P257" s="423"/>
      <c r="Q257" s="423"/>
      <c r="R257" s="423"/>
      <c r="S257" s="423"/>
      <c r="T257" s="423"/>
      <c r="U257" s="423"/>
      <c r="V257" s="423"/>
      <c r="W257" s="424" t="s">
        <v>1707</v>
      </c>
      <c r="X257" s="377"/>
      <c r="Y257" s="377"/>
      <c r="Z257" s="377"/>
      <c r="AA257" s="377"/>
      <c r="AB257" s="377"/>
    </row>
    <row r="258">
      <c r="A258" s="390" t="s">
        <v>835</v>
      </c>
      <c r="B258" s="390" t="s">
        <v>1050</v>
      </c>
      <c r="C258" s="390" t="s">
        <v>1708</v>
      </c>
      <c r="D258" s="427" t="s">
        <v>1709</v>
      </c>
      <c r="E258" s="383">
        <v>18962.0</v>
      </c>
      <c r="F258" s="383">
        <f t="shared" si="59"/>
        <v>15671.07438</v>
      </c>
      <c r="G258" s="414">
        <f t="shared" ref="G258:G261" si="62">F258/5.08</f>
        <v>3084.857161</v>
      </c>
      <c r="H258" s="390"/>
      <c r="I258" s="422"/>
      <c r="J258" s="423"/>
      <c r="K258" s="423"/>
      <c r="L258" s="440"/>
      <c r="M258" s="423"/>
      <c r="N258" s="423"/>
      <c r="O258" s="423"/>
      <c r="P258" s="423"/>
      <c r="Q258" s="423"/>
      <c r="R258" s="423"/>
      <c r="S258" s="423"/>
      <c r="T258" s="423"/>
      <c r="U258" s="423"/>
      <c r="V258" s="423"/>
      <c r="W258" s="423"/>
      <c r="X258" s="377"/>
      <c r="Y258" s="377"/>
      <c r="Z258" s="377"/>
      <c r="AA258" s="377"/>
      <c r="AB258" s="377"/>
    </row>
    <row r="259">
      <c r="A259" s="390" t="s">
        <v>835</v>
      </c>
      <c r="B259" s="390" t="s">
        <v>1050</v>
      </c>
      <c r="C259" s="390" t="s">
        <v>1710</v>
      </c>
      <c r="D259" s="427" t="s">
        <v>1195</v>
      </c>
      <c r="E259" s="383">
        <v>19977.0</v>
      </c>
      <c r="F259" s="383">
        <f t="shared" si="59"/>
        <v>16509.91736</v>
      </c>
      <c r="G259" s="414">
        <f t="shared" si="62"/>
        <v>3249.983731</v>
      </c>
      <c r="H259" s="390"/>
      <c r="I259" s="422"/>
      <c r="J259" s="423"/>
      <c r="K259" s="423"/>
      <c r="L259" s="440"/>
      <c r="M259" s="423"/>
      <c r="N259" s="423"/>
      <c r="O259" s="423"/>
      <c r="P259" s="423"/>
      <c r="Q259" s="423"/>
      <c r="R259" s="423"/>
      <c r="S259" s="423"/>
      <c r="T259" s="423"/>
      <c r="U259" s="423"/>
      <c r="V259" s="423"/>
      <c r="W259" s="423"/>
      <c r="X259" s="377"/>
      <c r="Y259" s="377"/>
      <c r="Z259" s="377"/>
      <c r="AA259" s="377"/>
      <c r="AB259" s="377"/>
    </row>
    <row r="260">
      <c r="A260" s="390" t="s">
        <v>835</v>
      </c>
      <c r="B260" s="390" t="s">
        <v>1050</v>
      </c>
      <c r="C260" s="390" t="s">
        <v>1711</v>
      </c>
      <c r="D260" s="427" t="s">
        <v>1712</v>
      </c>
      <c r="E260" s="383">
        <v>35500.0</v>
      </c>
      <c r="F260" s="383">
        <f t="shared" si="59"/>
        <v>29338.84298</v>
      </c>
      <c r="G260" s="414">
        <f t="shared" si="62"/>
        <v>5775.36279</v>
      </c>
      <c r="H260" s="390"/>
      <c r="I260" s="422"/>
      <c r="J260" s="423"/>
      <c r="K260" s="423"/>
      <c r="L260" s="440"/>
      <c r="M260" s="423"/>
      <c r="N260" s="423"/>
      <c r="O260" s="423"/>
      <c r="P260" s="423"/>
      <c r="Q260" s="423"/>
      <c r="R260" s="423"/>
      <c r="S260" s="423"/>
      <c r="T260" s="423"/>
      <c r="U260" s="423"/>
      <c r="V260" s="423"/>
      <c r="W260" s="423"/>
      <c r="X260" s="377"/>
      <c r="Y260" s="377"/>
      <c r="Z260" s="377"/>
      <c r="AA260" s="377"/>
      <c r="AB260" s="377"/>
    </row>
    <row r="261">
      <c r="A261" s="390" t="s">
        <v>835</v>
      </c>
      <c r="B261" s="390" t="s">
        <v>1050</v>
      </c>
      <c r="C261" s="390" t="s">
        <v>1713</v>
      </c>
      <c r="D261" s="427" t="s">
        <v>1714</v>
      </c>
      <c r="E261" s="383">
        <v>4873.48</v>
      </c>
      <c r="F261" s="383">
        <f t="shared" si="59"/>
        <v>4027.669421</v>
      </c>
      <c r="G261" s="414">
        <f t="shared" si="62"/>
        <v>792.8483113</v>
      </c>
      <c r="H261" s="390"/>
      <c r="I261" s="422"/>
      <c r="J261" s="423"/>
      <c r="K261" s="423"/>
      <c r="L261" s="440"/>
      <c r="M261" s="423"/>
      <c r="N261" s="423"/>
      <c r="O261" s="423"/>
      <c r="P261" s="423"/>
      <c r="Q261" s="423"/>
      <c r="R261" s="423"/>
      <c r="S261" s="423"/>
      <c r="T261" s="423"/>
      <c r="U261" s="423"/>
      <c r="V261" s="423"/>
      <c r="W261" s="423"/>
      <c r="X261" s="377"/>
      <c r="Y261" s="377"/>
      <c r="Z261" s="377"/>
      <c r="AA261" s="377"/>
      <c r="AB261" s="377"/>
    </row>
    <row r="262">
      <c r="A262" s="390" t="s">
        <v>1149</v>
      </c>
      <c r="B262" s="390" t="s">
        <v>1050</v>
      </c>
      <c r="C262" s="390" t="s">
        <v>1715</v>
      </c>
      <c r="D262" s="427" t="s">
        <v>1716</v>
      </c>
      <c r="E262" s="383">
        <v>35800.0</v>
      </c>
      <c r="F262" s="383">
        <f t="shared" si="59"/>
        <v>29586.77686</v>
      </c>
      <c r="G262" s="414">
        <f>F262/5.1</f>
        <v>5801.328796</v>
      </c>
      <c r="H262" s="390"/>
      <c r="I262" s="422"/>
      <c r="J262" s="423"/>
      <c r="K262" s="423"/>
      <c r="L262" s="440"/>
      <c r="M262" s="423"/>
      <c r="N262" s="423"/>
      <c r="O262" s="423"/>
      <c r="P262" s="423"/>
      <c r="Q262" s="423"/>
      <c r="R262" s="423"/>
      <c r="S262" s="423"/>
      <c r="T262" s="423"/>
      <c r="U262" s="423"/>
      <c r="V262" s="423"/>
      <c r="W262" s="423"/>
      <c r="X262" s="377"/>
      <c r="Y262" s="377"/>
      <c r="Z262" s="377"/>
      <c r="AA262" s="377"/>
      <c r="AB262" s="377"/>
    </row>
    <row r="263">
      <c r="A263" s="390" t="s">
        <v>826</v>
      </c>
      <c r="B263" s="390" t="s">
        <v>1050</v>
      </c>
      <c r="C263" s="390" t="s">
        <v>1717</v>
      </c>
      <c r="D263" s="427" t="s">
        <v>1718</v>
      </c>
      <c r="E263" s="425" t="s">
        <v>369</v>
      </c>
      <c r="F263" s="425" t="s">
        <v>369</v>
      </c>
      <c r="G263" s="425" t="s">
        <v>369</v>
      </c>
      <c r="H263" s="390"/>
      <c r="I263" s="422"/>
      <c r="J263" s="423"/>
      <c r="K263" s="423"/>
      <c r="L263" s="440"/>
      <c r="M263" s="423"/>
      <c r="N263" s="423"/>
      <c r="O263" s="423"/>
      <c r="P263" s="423"/>
      <c r="Q263" s="423"/>
      <c r="R263" s="423"/>
      <c r="S263" s="423"/>
      <c r="T263" s="423"/>
      <c r="U263" s="423"/>
      <c r="V263" s="423"/>
      <c r="W263" s="423"/>
      <c r="X263" s="377"/>
      <c r="Y263" s="377"/>
      <c r="Z263" s="377"/>
      <c r="AA263" s="377"/>
      <c r="AB263" s="377"/>
    </row>
    <row r="264">
      <c r="A264" s="390" t="s">
        <v>1023</v>
      </c>
      <c r="B264" s="390" t="s">
        <v>1050</v>
      </c>
      <c r="C264" s="390" t="s">
        <v>1719</v>
      </c>
      <c r="D264" s="427" t="s">
        <v>1720</v>
      </c>
      <c r="E264" s="383">
        <v>34866.0</v>
      </c>
      <c r="F264" s="383">
        <f t="shared" ref="F264:F283" si="63">E264/1.21</f>
        <v>28814.87603</v>
      </c>
      <c r="G264" s="414">
        <f t="shared" ref="G264:G265" si="64">F264/5.1</f>
        <v>5649.975693</v>
      </c>
      <c r="H264" s="390" t="s">
        <v>1721</v>
      </c>
      <c r="I264" s="422"/>
      <c r="J264" s="423"/>
      <c r="K264" s="423"/>
      <c r="L264" s="440"/>
      <c r="M264" s="423"/>
      <c r="N264" s="423"/>
      <c r="O264" s="423"/>
      <c r="P264" s="423"/>
      <c r="Q264" s="423"/>
      <c r="R264" s="423"/>
      <c r="S264" s="423"/>
      <c r="T264" s="423"/>
      <c r="U264" s="423"/>
      <c r="V264" s="423"/>
      <c r="W264" s="424" t="s">
        <v>74</v>
      </c>
      <c r="X264" s="377"/>
      <c r="Y264" s="377"/>
      <c r="Z264" s="377"/>
      <c r="AA264" s="377"/>
      <c r="AB264" s="377"/>
    </row>
    <row r="265">
      <c r="A265" s="390" t="s">
        <v>1086</v>
      </c>
      <c r="B265" s="390" t="s">
        <v>1050</v>
      </c>
      <c r="C265" s="390" t="s">
        <v>1722</v>
      </c>
      <c r="D265" s="427" t="s">
        <v>1723</v>
      </c>
      <c r="E265" s="383">
        <v>27018.26</v>
      </c>
      <c r="F265" s="383">
        <f t="shared" si="63"/>
        <v>22329.1405</v>
      </c>
      <c r="G265" s="414">
        <f t="shared" si="64"/>
        <v>4378.262842</v>
      </c>
      <c r="H265" s="390" t="s">
        <v>1724</v>
      </c>
      <c r="I265" s="422"/>
      <c r="J265" s="423"/>
      <c r="K265" s="423"/>
      <c r="L265" s="440"/>
      <c r="M265" s="423"/>
      <c r="N265" s="423"/>
      <c r="O265" s="423"/>
      <c r="P265" s="423"/>
      <c r="Q265" s="423"/>
      <c r="R265" s="423"/>
      <c r="S265" s="423"/>
      <c r="T265" s="423"/>
      <c r="U265" s="423"/>
      <c r="V265" s="423"/>
      <c r="W265" s="423"/>
      <c r="X265" s="377"/>
      <c r="Y265" s="377"/>
      <c r="Z265" s="377"/>
      <c r="AA265" s="377"/>
      <c r="AB265" s="377"/>
    </row>
    <row r="266">
      <c r="A266" s="390"/>
      <c r="B266" s="390" t="s">
        <v>1050</v>
      </c>
      <c r="C266" s="390" t="s">
        <v>1725</v>
      </c>
      <c r="D266" s="427" t="s">
        <v>1726</v>
      </c>
      <c r="E266" s="383">
        <v>239980.0</v>
      </c>
      <c r="F266" s="383">
        <f t="shared" si="63"/>
        <v>198330.5785</v>
      </c>
      <c r="G266" s="414">
        <v>39000.0</v>
      </c>
      <c r="H266" s="390" t="s">
        <v>1727</v>
      </c>
      <c r="I266" s="422"/>
      <c r="J266" s="423"/>
      <c r="K266" s="423"/>
      <c r="L266" s="440"/>
      <c r="M266" s="423"/>
      <c r="N266" s="423"/>
      <c r="O266" s="423"/>
      <c r="P266" s="423"/>
      <c r="Q266" s="423"/>
      <c r="R266" s="423"/>
      <c r="S266" s="423"/>
      <c r="T266" s="423"/>
      <c r="U266" s="423"/>
      <c r="V266" s="423"/>
      <c r="W266" s="423"/>
      <c r="X266" s="377"/>
      <c r="Y266" s="377"/>
      <c r="Z266" s="377"/>
      <c r="AA266" s="377"/>
      <c r="AB266" s="377"/>
    </row>
    <row r="267">
      <c r="A267" s="390" t="s">
        <v>1086</v>
      </c>
      <c r="B267" s="390" t="s">
        <v>1050</v>
      </c>
      <c r="C267" s="390" t="s">
        <v>1728</v>
      </c>
      <c r="D267" s="427" t="s">
        <v>1729</v>
      </c>
      <c r="E267" s="383">
        <v>38349.89</v>
      </c>
      <c r="F267" s="383">
        <f t="shared" si="63"/>
        <v>31694.12397</v>
      </c>
      <c r="G267" s="414">
        <f t="shared" ref="G267:G275" si="65">F267/5.1</f>
        <v>6214.534111</v>
      </c>
      <c r="H267" s="390" t="s">
        <v>1730</v>
      </c>
      <c r="I267" s="422"/>
      <c r="J267" s="423"/>
      <c r="K267" s="423"/>
      <c r="L267" s="440"/>
      <c r="M267" s="423"/>
      <c r="N267" s="423"/>
      <c r="O267" s="423"/>
      <c r="P267" s="423"/>
      <c r="Q267" s="423"/>
      <c r="R267" s="423"/>
      <c r="S267" s="423"/>
      <c r="T267" s="423"/>
      <c r="U267" s="423"/>
      <c r="V267" s="423"/>
      <c r="W267" s="423"/>
      <c r="X267" s="377"/>
      <c r="Y267" s="377"/>
      <c r="Z267" s="377"/>
      <c r="AA267" s="377"/>
      <c r="AB267" s="377"/>
    </row>
    <row r="268" ht="28.5" customHeight="1">
      <c r="A268" s="390" t="s">
        <v>1086</v>
      </c>
      <c r="B268" s="390" t="s">
        <v>1050</v>
      </c>
      <c r="C268" s="390" t="s">
        <v>1731</v>
      </c>
      <c r="D268" s="427" t="s">
        <v>1732</v>
      </c>
      <c r="E268" s="383">
        <v>78293.64</v>
      </c>
      <c r="F268" s="383">
        <f t="shared" si="63"/>
        <v>64705.4876</v>
      </c>
      <c r="G268" s="414">
        <f t="shared" si="65"/>
        <v>12687.35051</v>
      </c>
      <c r="H268" s="390" t="s">
        <v>1733</v>
      </c>
      <c r="I268" s="422"/>
      <c r="J268" s="423"/>
      <c r="K268" s="423"/>
      <c r="L268" s="440"/>
      <c r="M268" s="423"/>
      <c r="N268" s="423"/>
      <c r="O268" s="423"/>
      <c r="P268" s="423"/>
      <c r="Q268" s="423"/>
      <c r="R268" s="423"/>
      <c r="S268" s="423"/>
      <c r="T268" s="423"/>
      <c r="U268" s="423"/>
      <c r="V268" s="423"/>
      <c r="W268" s="424" t="s">
        <v>1734</v>
      </c>
      <c r="X268" s="377"/>
      <c r="Y268" s="377"/>
      <c r="Z268" s="377"/>
      <c r="AA268" s="377"/>
      <c r="AB268" s="377"/>
    </row>
    <row r="269">
      <c r="A269" s="390" t="s">
        <v>1086</v>
      </c>
      <c r="B269" s="390" t="s">
        <v>1050</v>
      </c>
      <c r="C269" s="390" t="s">
        <v>1735</v>
      </c>
      <c r="D269" s="427" t="s">
        <v>1736</v>
      </c>
      <c r="E269" s="383">
        <v>22752.13</v>
      </c>
      <c r="F269" s="383">
        <f t="shared" si="63"/>
        <v>18803.41322</v>
      </c>
      <c r="G269" s="414">
        <f t="shared" si="65"/>
        <v>3686.943769</v>
      </c>
      <c r="H269" s="390" t="s">
        <v>1737</v>
      </c>
      <c r="I269" s="422"/>
      <c r="J269" s="423"/>
      <c r="K269" s="423"/>
      <c r="L269" s="440"/>
      <c r="M269" s="423"/>
      <c r="N269" s="423"/>
      <c r="O269" s="423"/>
      <c r="P269" s="423"/>
      <c r="Q269" s="423"/>
      <c r="R269" s="423"/>
      <c r="S269" s="423"/>
      <c r="T269" s="423"/>
      <c r="U269" s="423"/>
      <c r="V269" s="423"/>
      <c r="W269" s="423"/>
      <c r="X269" s="377"/>
      <c r="Y269" s="377"/>
      <c r="Z269" s="377"/>
      <c r="AA269" s="377"/>
      <c r="AB269" s="377"/>
    </row>
    <row r="270">
      <c r="A270" s="390" t="s">
        <v>835</v>
      </c>
      <c r="B270" s="390" t="s">
        <v>1050</v>
      </c>
      <c r="C270" s="390" t="s">
        <v>1738</v>
      </c>
      <c r="D270" s="427" t="s">
        <v>1739</v>
      </c>
      <c r="E270" s="383">
        <v>42195.77</v>
      </c>
      <c r="F270" s="383">
        <f t="shared" si="63"/>
        <v>34872.53719</v>
      </c>
      <c r="G270" s="414">
        <f t="shared" si="65"/>
        <v>6837.75239</v>
      </c>
      <c r="H270" s="439"/>
      <c r="I270" s="422"/>
      <c r="J270" s="423"/>
      <c r="K270" s="423"/>
      <c r="L270" s="440"/>
      <c r="M270" s="423"/>
      <c r="N270" s="423"/>
      <c r="O270" s="423"/>
      <c r="P270" s="423"/>
      <c r="Q270" s="423"/>
      <c r="R270" s="423"/>
      <c r="S270" s="423"/>
      <c r="T270" s="423"/>
      <c r="U270" s="423"/>
      <c r="V270" s="423"/>
      <c r="W270" s="423"/>
      <c r="X270" s="377"/>
      <c r="Y270" s="377"/>
      <c r="Z270" s="377"/>
      <c r="AA270" s="377"/>
      <c r="AB270" s="377"/>
    </row>
    <row r="271">
      <c r="A271" s="390" t="s">
        <v>835</v>
      </c>
      <c r="B271" s="390" t="s">
        <v>1050</v>
      </c>
      <c r="C271" s="390" t="s">
        <v>1740</v>
      </c>
      <c r="D271" s="427" t="s">
        <v>1741</v>
      </c>
      <c r="E271" s="383">
        <v>0.0</v>
      </c>
      <c r="F271" s="383">
        <f t="shared" si="63"/>
        <v>0</v>
      </c>
      <c r="G271" s="414">
        <f t="shared" si="65"/>
        <v>0</v>
      </c>
      <c r="H271" s="439"/>
      <c r="I271" s="422"/>
      <c r="J271" s="423"/>
      <c r="K271" s="423"/>
      <c r="L271" s="440"/>
      <c r="M271" s="423"/>
      <c r="N271" s="423"/>
      <c r="O271" s="423"/>
      <c r="P271" s="423"/>
      <c r="Q271" s="423"/>
      <c r="R271" s="423"/>
      <c r="S271" s="423"/>
      <c r="T271" s="423"/>
      <c r="U271" s="423"/>
      <c r="V271" s="423"/>
      <c r="W271" s="423"/>
      <c r="X271" s="377"/>
      <c r="Y271" s="377"/>
      <c r="Z271" s="377"/>
      <c r="AA271" s="377"/>
      <c r="AB271" s="377"/>
    </row>
    <row r="272">
      <c r="A272" s="390" t="s">
        <v>835</v>
      </c>
      <c r="B272" s="390" t="s">
        <v>1050</v>
      </c>
      <c r="C272" s="390" t="s">
        <v>1742</v>
      </c>
      <c r="D272" s="427" t="s">
        <v>1743</v>
      </c>
      <c r="E272" s="383">
        <v>35855.98</v>
      </c>
      <c r="F272" s="383">
        <f t="shared" si="63"/>
        <v>29633.04132</v>
      </c>
      <c r="G272" s="414">
        <f t="shared" si="65"/>
        <v>5810.400259</v>
      </c>
      <c r="H272" s="439"/>
      <c r="I272" s="422"/>
      <c r="J272" s="423"/>
      <c r="K272" s="423"/>
      <c r="L272" s="440"/>
      <c r="M272" s="423"/>
      <c r="N272" s="423"/>
      <c r="O272" s="423"/>
      <c r="P272" s="423"/>
      <c r="Q272" s="423"/>
      <c r="R272" s="423"/>
      <c r="S272" s="423"/>
      <c r="T272" s="423"/>
      <c r="U272" s="423"/>
      <c r="V272" s="423"/>
      <c r="W272" s="423"/>
      <c r="X272" s="377"/>
      <c r="Y272" s="377"/>
      <c r="Z272" s="377"/>
      <c r="AA272" s="377"/>
      <c r="AB272" s="377"/>
    </row>
    <row r="273">
      <c r="A273" s="390" t="s">
        <v>1086</v>
      </c>
      <c r="B273" s="390" t="s">
        <v>1050</v>
      </c>
      <c r="C273" s="390" t="s">
        <v>1744</v>
      </c>
      <c r="D273" s="427" t="s">
        <v>1268</v>
      </c>
      <c r="E273" s="383">
        <v>9174.47</v>
      </c>
      <c r="F273" s="383">
        <f t="shared" si="63"/>
        <v>7582.206612</v>
      </c>
      <c r="G273" s="414">
        <f t="shared" si="65"/>
        <v>1486.707179</v>
      </c>
      <c r="H273" s="390" t="s">
        <v>1745</v>
      </c>
      <c r="I273" s="422"/>
      <c r="J273" s="423"/>
      <c r="K273" s="423"/>
      <c r="L273" s="440"/>
      <c r="M273" s="423"/>
      <c r="N273" s="423"/>
      <c r="O273" s="423"/>
      <c r="P273" s="423"/>
      <c r="Q273" s="423"/>
      <c r="R273" s="423"/>
      <c r="S273" s="423"/>
      <c r="T273" s="423"/>
      <c r="U273" s="423"/>
      <c r="V273" s="423"/>
      <c r="W273" s="423"/>
      <c r="X273" s="377"/>
      <c r="Y273" s="377"/>
      <c r="Z273" s="377"/>
      <c r="AA273" s="377"/>
      <c r="AB273" s="377"/>
    </row>
    <row r="274">
      <c r="A274" s="390" t="s">
        <v>835</v>
      </c>
      <c r="B274" s="390" t="s">
        <v>1050</v>
      </c>
      <c r="C274" s="390" t="s">
        <v>1746</v>
      </c>
      <c r="D274" s="427" t="s">
        <v>1747</v>
      </c>
      <c r="E274" s="383">
        <v>20068.78</v>
      </c>
      <c r="F274" s="383">
        <f t="shared" si="63"/>
        <v>16585.7686</v>
      </c>
      <c r="G274" s="414">
        <f t="shared" si="65"/>
        <v>3252.111489</v>
      </c>
      <c r="H274" s="390"/>
      <c r="I274" s="422"/>
      <c r="J274" s="423"/>
      <c r="K274" s="423"/>
      <c r="L274" s="440"/>
      <c r="M274" s="423"/>
      <c r="N274" s="423"/>
      <c r="O274" s="423"/>
      <c r="P274" s="423"/>
      <c r="Q274" s="423"/>
      <c r="R274" s="423"/>
      <c r="S274" s="423"/>
      <c r="T274" s="423"/>
      <c r="U274" s="423"/>
      <c r="V274" s="423"/>
      <c r="W274" s="423"/>
      <c r="X274" s="377"/>
      <c r="Y274" s="377"/>
      <c r="Z274" s="377"/>
      <c r="AA274" s="377"/>
      <c r="AB274" s="377"/>
    </row>
    <row r="275">
      <c r="A275" s="390" t="s">
        <v>835</v>
      </c>
      <c r="B275" s="390" t="s">
        <v>1050</v>
      </c>
      <c r="C275" s="390" t="s">
        <v>1748</v>
      </c>
      <c r="D275" s="427" t="s">
        <v>1749</v>
      </c>
      <c r="E275" s="383">
        <v>34279.21</v>
      </c>
      <c r="F275" s="383">
        <f t="shared" si="63"/>
        <v>28329.92562</v>
      </c>
      <c r="G275" s="414">
        <f t="shared" si="65"/>
        <v>5554.887376</v>
      </c>
      <c r="H275" s="390"/>
      <c r="I275" s="422"/>
      <c r="J275" s="423"/>
      <c r="K275" s="423"/>
      <c r="L275" s="440"/>
      <c r="M275" s="423"/>
      <c r="N275" s="423"/>
      <c r="O275" s="423"/>
      <c r="P275" s="423"/>
      <c r="Q275" s="423"/>
      <c r="R275" s="423"/>
      <c r="S275" s="423"/>
      <c r="T275" s="423"/>
      <c r="U275" s="423"/>
      <c r="V275" s="423"/>
      <c r="W275" s="423"/>
      <c r="X275" s="377"/>
      <c r="Y275" s="377"/>
      <c r="Z275" s="377"/>
      <c r="AA275" s="377"/>
      <c r="AB275" s="377"/>
    </row>
    <row r="276">
      <c r="A276" s="390" t="s">
        <v>1086</v>
      </c>
      <c r="B276" s="390" t="s">
        <v>1050</v>
      </c>
      <c r="C276" s="390" t="s">
        <v>1750</v>
      </c>
      <c r="D276" s="427" t="s">
        <v>1751</v>
      </c>
      <c r="E276" s="383">
        <v>30734.0</v>
      </c>
      <c r="F276" s="383">
        <f t="shared" si="63"/>
        <v>25400</v>
      </c>
      <c r="G276" s="414">
        <f>F276/5.08</f>
        <v>5000</v>
      </c>
      <c r="H276" s="390" t="s">
        <v>1752</v>
      </c>
      <c r="I276" s="422"/>
      <c r="J276" s="423"/>
      <c r="K276" s="423"/>
      <c r="L276" s="440"/>
      <c r="M276" s="423"/>
      <c r="N276" s="423"/>
      <c r="O276" s="423"/>
      <c r="P276" s="423"/>
      <c r="Q276" s="423"/>
      <c r="R276" s="423"/>
      <c r="S276" s="423"/>
      <c r="T276" s="423"/>
      <c r="U276" s="423"/>
      <c r="V276" s="423"/>
      <c r="W276" s="423"/>
      <c r="X276" s="377"/>
      <c r="Y276" s="377"/>
      <c r="Z276" s="377"/>
      <c r="AA276" s="377"/>
      <c r="AB276" s="377"/>
    </row>
    <row r="277">
      <c r="A277" s="390" t="s">
        <v>835</v>
      </c>
      <c r="B277" s="390" t="s">
        <v>1050</v>
      </c>
      <c r="C277" s="390" t="s">
        <v>1753</v>
      </c>
      <c r="D277" s="427" t="s">
        <v>1754</v>
      </c>
      <c r="E277" s="383">
        <v>32130.55</v>
      </c>
      <c r="F277" s="383">
        <f t="shared" si="63"/>
        <v>26554.17355</v>
      </c>
      <c r="G277" s="414">
        <v>5207.0</v>
      </c>
      <c r="H277" s="390"/>
      <c r="I277" s="422"/>
      <c r="J277" s="423"/>
      <c r="K277" s="423"/>
      <c r="L277" s="440"/>
      <c r="M277" s="423"/>
      <c r="N277" s="423"/>
      <c r="O277" s="423"/>
      <c r="P277" s="423"/>
      <c r="Q277" s="423"/>
      <c r="R277" s="423"/>
      <c r="S277" s="423"/>
      <c r="T277" s="423"/>
      <c r="U277" s="423"/>
      <c r="V277" s="423"/>
      <c r="W277" s="423"/>
      <c r="X277" s="377"/>
      <c r="Y277" s="377"/>
      <c r="Z277" s="377"/>
      <c r="AA277" s="377"/>
      <c r="AB277" s="377"/>
    </row>
    <row r="278">
      <c r="A278" s="390"/>
      <c r="B278" s="390" t="s">
        <v>1050</v>
      </c>
      <c r="C278" s="390" t="s">
        <v>1755</v>
      </c>
      <c r="D278" s="427" t="s">
        <v>1756</v>
      </c>
      <c r="E278" s="383">
        <v>0.0</v>
      </c>
      <c r="F278" s="383">
        <f t="shared" si="63"/>
        <v>0</v>
      </c>
      <c r="G278" s="414">
        <v>0.0</v>
      </c>
      <c r="H278" s="390"/>
      <c r="I278" s="408"/>
      <c r="J278" s="397"/>
      <c r="K278" s="397"/>
      <c r="L278" s="428"/>
      <c r="M278" s="397"/>
      <c r="N278" s="397"/>
      <c r="O278" s="397"/>
      <c r="P278" s="397"/>
      <c r="Q278" s="397"/>
      <c r="R278" s="397"/>
      <c r="S278" s="397"/>
      <c r="T278" s="397"/>
      <c r="U278" s="397"/>
      <c r="V278" s="397"/>
      <c r="W278" s="390" t="s">
        <v>1216</v>
      </c>
      <c r="X278" s="377"/>
      <c r="Y278" s="377"/>
      <c r="Z278" s="377"/>
      <c r="AA278" s="377"/>
      <c r="AB278" s="377"/>
    </row>
    <row r="279">
      <c r="A279" s="390" t="s">
        <v>1149</v>
      </c>
      <c r="B279" s="390" t="s">
        <v>1050</v>
      </c>
      <c r="C279" s="390" t="s">
        <v>1757</v>
      </c>
      <c r="D279" s="427" t="s">
        <v>1758</v>
      </c>
      <c r="E279" s="383">
        <v>11500.0</v>
      </c>
      <c r="F279" s="383">
        <f t="shared" si="63"/>
        <v>9504.132231</v>
      </c>
      <c r="G279" s="414">
        <v>5207.0</v>
      </c>
      <c r="H279" s="390"/>
      <c r="I279" s="408"/>
      <c r="J279" s="397"/>
      <c r="K279" s="397"/>
      <c r="L279" s="428"/>
      <c r="M279" s="397"/>
      <c r="N279" s="397"/>
      <c r="O279" s="397"/>
      <c r="P279" s="397"/>
      <c r="Q279" s="397"/>
      <c r="R279" s="397"/>
      <c r="S279" s="397"/>
      <c r="T279" s="397"/>
      <c r="U279" s="397"/>
      <c r="V279" s="397"/>
      <c r="W279" s="397"/>
      <c r="X279" s="377"/>
      <c r="Y279" s="377"/>
      <c r="Z279" s="377"/>
      <c r="AA279" s="377"/>
      <c r="AB279" s="377"/>
    </row>
    <row r="280">
      <c r="A280" s="390" t="s">
        <v>835</v>
      </c>
      <c r="B280" s="390" t="s">
        <v>1050</v>
      </c>
      <c r="C280" s="390" t="s">
        <v>1759</v>
      </c>
      <c r="D280" s="427" t="s">
        <v>1760</v>
      </c>
      <c r="E280" s="383">
        <v>50500.0</v>
      </c>
      <c r="F280" s="383">
        <f t="shared" si="63"/>
        <v>41735.53719</v>
      </c>
      <c r="G280" s="414">
        <f t="shared" ref="G280:G282" si="66">F280/5.1</f>
        <v>8183.438665</v>
      </c>
      <c r="H280" s="390"/>
      <c r="I280" s="408"/>
      <c r="J280" s="397"/>
      <c r="K280" s="397"/>
      <c r="L280" s="428"/>
      <c r="M280" s="397"/>
      <c r="N280" s="397"/>
      <c r="O280" s="397"/>
      <c r="P280" s="397"/>
      <c r="Q280" s="397"/>
      <c r="R280" s="397"/>
      <c r="S280" s="397"/>
      <c r="T280" s="397"/>
      <c r="U280" s="397"/>
      <c r="V280" s="397"/>
      <c r="W280" s="397"/>
      <c r="X280" s="377"/>
      <c r="Y280" s="377"/>
      <c r="Z280" s="377"/>
      <c r="AA280" s="377"/>
      <c r="AB280" s="377"/>
    </row>
    <row r="281">
      <c r="A281" s="390" t="s">
        <v>835</v>
      </c>
      <c r="B281" s="390" t="s">
        <v>1050</v>
      </c>
      <c r="C281" s="390" t="s">
        <v>1761</v>
      </c>
      <c r="D281" s="427" t="s">
        <v>1762</v>
      </c>
      <c r="E281" s="383">
        <v>47497.44</v>
      </c>
      <c r="F281" s="383">
        <f t="shared" si="63"/>
        <v>39254.08264</v>
      </c>
      <c r="G281" s="414">
        <f t="shared" si="66"/>
        <v>7696.87895</v>
      </c>
      <c r="H281" s="390"/>
      <c r="I281" s="408"/>
      <c r="J281" s="397"/>
      <c r="K281" s="397"/>
      <c r="L281" s="428"/>
      <c r="M281" s="397"/>
      <c r="N281" s="397"/>
      <c r="O281" s="397"/>
      <c r="P281" s="397"/>
      <c r="Q281" s="397"/>
      <c r="R281" s="397"/>
      <c r="S281" s="397"/>
      <c r="T281" s="397"/>
      <c r="U281" s="397"/>
      <c r="V281" s="397"/>
      <c r="W281" s="397"/>
      <c r="X281" s="377"/>
      <c r="Y281" s="377"/>
      <c r="Z281" s="377"/>
      <c r="AA281" s="377"/>
      <c r="AB281" s="377"/>
    </row>
    <row r="282">
      <c r="A282" s="390"/>
      <c r="B282" s="390" t="s">
        <v>1050</v>
      </c>
      <c r="C282" s="390" t="s">
        <v>1763</v>
      </c>
      <c r="D282" s="427" t="s">
        <v>1373</v>
      </c>
      <c r="E282" s="383">
        <v>0.0</v>
      </c>
      <c r="F282" s="383">
        <f t="shared" si="63"/>
        <v>0</v>
      </c>
      <c r="G282" s="414">
        <f t="shared" si="66"/>
        <v>0</v>
      </c>
      <c r="H282" s="390"/>
      <c r="I282" s="408"/>
      <c r="J282" s="397"/>
      <c r="K282" s="397"/>
      <c r="L282" s="428"/>
      <c r="M282" s="397"/>
      <c r="N282" s="397"/>
      <c r="O282" s="397"/>
      <c r="P282" s="397"/>
      <c r="Q282" s="397"/>
      <c r="R282" s="397"/>
      <c r="S282" s="397"/>
      <c r="T282" s="397"/>
      <c r="U282" s="397"/>
      <c r="V282" s="397"/>
      <c r="W282" s="390" t="s">
        <v>1764</v>
      </c>
      <c r="X282" s="377"/>
      <c r="Y282" s="377"/>
      <c r="Z282" s="377"/>
      <c r="AA282" s="377"/>
      <c r="AB282" s="377"/>
    </row>
    <row r="283">
      <c r="A283" s="390" t="s">
        <v>1086</v>
      </c>
      <c r="B283" s="390" t="s">
        <v>1107</v>
      </c>
      <c r="C283" s="390" t="s">
        <v>1765</v>
      </c>
      <c r="D283" s="427" t="s">
        <v>1766</v>
      </c>
      <c r="E283" s="383">
        <v>35089.89</v>
      </c>
      <c r="F283" s="383">
        <f t="shared" si="63"/>
        <v>28999.90909</v>
      </c>
      <c r="G283" s="414">
        <f>F283/5.09</f>
        <v>5697.428112</v>
      </c>
      <c r="H283" s="390" t="s">
        <v>1767</v>
      </c>
      <c r="I283" s="408"/>
      <c r="J283" s="397"/>
      <c r="K283" s="397"/>
      <c r="L283" s="428"/>
      <c r="M283" s="397"/>
      <c r="N283" s="397"/>
      <c r="O283" s="397"/>
      <c r="P283" s="397"/>
      <c r="Q283" s="397"/>
      <c r="R283" s="397"/>
      <c r="S283" s="397"/>
      <c r="T283" s="397"/>
      <c r="U283" s="397"/>
      <c r="V283" s="397"/>
      <c r="W283" s="397"/>
      <c r="X283" s="377"/>
      <c r="Y283" s="377"/>
      <c r="Z283" s="377"/>
      <c r="AA283" s="377"/>
      <c r="AB283" s="377"/>
    </row>
    <row r="284">
      <c r="A284" s="390" t="s">
        <v>1768</v>
      </c>
      <c r="B284" s="390" t="s">
        <v>1107</v>
      </c>
      <c r="C284" s="390" t="s">
        <v>1769</v>
      </c>
      <c r="D284" s="427" t="s">
        <v>1770</v>
      </c>
      <c r="E284" s="383">
        <v>38920.0</v>
      </c>
      <c r="F284" s="383">
        <v>31644.62</v>
      </c>
      <c r="G284" s="414">
        <f t="shared" ref="G284:G286" si="67">F284/5.1</f>
        <v>6204.827451</v>
      </c>
      <c r="H284" s="390" t="s">
        <v>1771</v>
      </c>
      <c r="I284" s="408"/>
      <c r="J284" s="397"/>
      <c r="K284" s="397"/>
      <c r="L284" s="428"/>
      <c r="M284" s="397"/>
      <c r="N284" s="397"/>
      <c r="O284" s="397"/>
      <c r="P284" s="397"/>
      <c r="Q284" s="397"/>
      <c r="R284" s="397"/>
      <c r="S284" s="397"/>
      <c r="T284" s="397"/>
      <c r="U284" s="397"/>
      <c r="V284" s="397"/>
      <c r="W284" s="397"/>
      <c r="X284" s="377"/>
      <c r="Y284" s="377"/>
      <c r="Z284" s="377"/>
      <c r="AA284" s="377"/>
      <c r="AB284" s="377"/>
    </row>
    <row r="285">
      <c r="A285" s="390" t="s">
        <v>835</v>
      </c>
      <c r="B285" s="390" t="s">
        <v>1107</v>
      </c>
      <c r="C285" s="390" t="s">
        <v>1772</v>
      </c>
      <c r="D285" s="427" t="s">
        <v>1773</v>
      </c>
      <c r="E285" s="383">
        <v>65331.15</v>
      </c>
      <c r="F285" s="383">
        <f t="shared" ref="F285:F315" si="68">E285/1.21</f>
        <v>53992.68595</v>
      </c>
      <c r="G285" s="414">
        <f t="shared" si="67"/>
        <v>10586.80117</v>
      </c>
      <c r="H285" s="390"/>
      <c r="I285" s="408"/>
      <c r="J285" s="397"/>
      <c r="K285" s="397"/>
      <c r="L285" s="428"/>
      <c r="M285" s="397"/>
      <c r="N285" s="397"/>
      <c r="O285" s="397"/>
      <c r="P285" s="397"/>
      <c r="Q285" s="397"/>
      <c r="R285" s="397"/>
      <c r="S285" s="397"/>
      <c r="T285" s="397"/>
      <c r="U285" s="397"/>
      <c r="V285" s="397"/>
      <c r="W285" s="397"/>
      <c r="X285" s="377"/>
      <c r="Y285" s="377"/>
      <c r="Z285" s="377"/>
      <c r="AA285" s="377"/>
      <c r="AB285" s="377"/>
    </row>
    <row r="286">
      <c r="A286" s="390" t="s">
        <v>1023</v>
      </c>
      <c r="B286" s="390" t="s">
        <v>1107</v>
      </c>
      <c r="C286" s="390" t="s">
        <v>1774</v>
      </c>
      <c r="D286" s="427" t="s">
        <v>1705</v>
      </c>
      <c r="E286" s="383">
        <v>32953.0</v>
      </c>
      <c r="F286" s="383">
        <f t="shared" si="68"/>
        <v>27233.8843</v>
      </c>
      <c r="G286" s="414">
        <f t="shared" si="67"/>
        <v>5339.977313</v>
      </c>
      <c r="H286" s="390" t="s">
        <v>1706</v>
      </c>
      <c r="I286" s="408"/>
      <c r="J286" s="397"/>
      <c r="K286" s="397"/>
      <c r="L286" s="428"/>
      <c r="M286" s="397"/>
      <c r="N286" s="397"/>
      <c r="O286" s="397"/>
      <c r="P286" s="397"/>
      <c r="Q286" s="397"/>
      <c r="R286" s="397"/>
      <c r="S286" s="397"/>
      <c r="T286" s="397"/>
      <c r="U286" s="397"/>
      <c r="V286" s="397"/>
      <c r="W286" s="390" t="s">
        <v>1775</v>
      </c>
      <c r="X286" s="377"/>
      <c r="Y286" s="377"/>
      <c r="Z286" s="377"/>
      <c r="AA286" s="377"/>
      <c r="AB286" s="377"/>
    </row>
    <row r="287">
      <c r="A287" s="390" t="s">
        <v>1086</v>
      </c>
      <c r="B287" s="390" t="s">
        <v>1107</v>
      </c>
      <c r="C287" s="390" t="s">
        <v>1776</v>
      </c>
      <c r="D287" s="427" t="s">
        <v>1751</v>
      </c>
      <c r="E287" s="383">
        <v>33192.72</v>
      </c>
      <c r="F287" s="383">
        <f t="shared" si="68"/>
        <v>27432</v>
      </c>
      <c r="G287" s="414">
        <f>F287/5.09</f>
        <v>5389.390963</v>
      </c>
      <c r="H287" s="390" t="s">
        <v>1752</v>
      </c>
      <c r="I287" s="408"/>
      <c r="J287" s="397"/>
      <c r="K287" s="397"/>
      <c r="L287" s="428"/>
      <c r="M287" s="397"/>
      <c r="N287" s="397"/>
      <c r="O287" s="397"/>
      <c r="P287" s="397"/>
      <c r="Q287" s="397"/>
      <c r="R287" s="397"/>
      <c r="S287" s="397"/>
      <c r="T287" s="397"/>
      <c r="U287" s="397"/>
      <c r="V287" s="397"/>
      <c r="W287" s="397"/>
      <c r="X287" s="377"/>
      <c r="Y287" s="377"/>
      <c r="Z287" s="377"/>
      <c r="AA287" s="377"/>
      <c r="AB287" s="377"/>
    </row>
    <row r="288">
      <c r="A288" s="390" t="s">
        <v>835</v>
      </c>
      <c r="B288" s="390" t="s">
        <v>1107</v>
      </c>
      <c r="C288" s="390" t="s">
        <v>1777</v>
      </c>
      <c r="D288" s="427" t="s">
        <v>1778</v>
      </c>
      <c r="E288" s="383">
        <v>34999.0</v>
      </c>
      <c r="F288" s="383">
        <f t="shared" si="68"/>
        <v>28924.79339</v>
      </c>
      <c r="G288" s="414">
        <f t="shared" ref="G288:G289" si="69">F288/5.1</f>
        <v>5671.528115</v>
      </c>
      <c r="H288" s="390" t="s">
        <v>1779</v>
      </c>
      <c r="I288" s="408"/>
      <c r="J288" s="397"/>
      <c r="K288" s="397"/>
      <c r="L288" s="428"/>
      <c r="M288" s="397"/>
      <c r="N288" s="397"/>
      <c r="O288" s="397"/>
      <c r="P288" s="397"/>
      <c r="Q288" s="397"/>
      <c r="R288" s="397"/>
      <c r="S288" s="397"/>
      <c r="T288" s="397"/>
      <c r="U288" s="397"/>
      <c r="V288" s="397"/>
      <c r="W288" s="397"/>
      <c r="X288" s="377"/>
      <c r="Y288" s="377"/>
      <c r="Z288" s="377"/>
      <c r="AA288" s="377"/>
      <c r="AB288" s="377"/>
    </row>
    <row r="289">
      <c r="A289" s="390" t="s">
        <v>835</v>
      </c>
      <c r="B289" s="390" t="s">
        <v>1107</v>
      </c>
      <c r="C289" s="390" t="s">
        <v>1780</v>
      </c>
      <c r="D289" s="427" t="s">
        <v>1781</v>
      </c>
      <c r="E289" s="383">
        <v>38759.81</v>
      </c>
      <c r="F289" s="383">
        <f t="shared" si="68"/>
        <v>32032.90083</v>
      </c>
      <c r="G289" s="414">
        <f t="shared" si="69"/>
        <v>6280.960946</v>
      </c>
      <c r="H289" s="390" t="s">
        <v>1782</v>
      </c>
      <c r="I289" s="408"/>
      <c r="J289" s="397"/>
      <c r="K289" s="397"/>
      <c r="L289" s="428"/>
      <c r="M289" s="397"/>
      <c r="N289" s="397"/>
      <c r="O289" s="397"/>
      <c r="P289" s="397"/>
      <c r="Q289" s="397"/>
      <c r="R289" s="397"/>
      <c r="S289" s="397"/>
      <c r="T289" s="397"/>
      <c r="U289" s="397"/>
      <c r="V289" s="397"/>
      <c r="W289" s="397"/>
      <c r="X289" s="377"/>
      <c r="Y289" s="377"/>
      <c r="Z289" s="377"/>
      <c r="AA289" s="377"/>
      <c r="AB289" s="377"/>
    </row>
    <row r="290">
      <c r="A290" s="390" t="s">
        <v>826</v>
      </c>
      <c r="B290" s="390" t="s">
        <v>1107</v>
      </c>
      <c r="C290" s="390" t="s">
        <v>1783</v>
      </c>
      <c r="D290" s="427" t="s">
        <v>1457</v>
      </c>
      <c r="E290" s="383">
        <v>0.0</v>
      </c>
      <c r="F290" s="383">
        <f t="shared" si="68"/>
        <v>0</v>
      </c>
      <c r="G290" s="414">
        <v>2500.0</v>
      </c>
      <c r="H290" s="390"/>
      <c r="I290" s="422"/>
      <c r="J290" s="423"/>
      <c r="K290" s="423"/>
      <c r="L290" s="440"/>
      <c r="M290" s="423"/>
      <c r="N290" s="423"/>
      <c r="O290" s="423"/>
      <c r="P290" s="423"/>
      <c r="Q290" s="423"/>
      <c r="R290" s="423"/>
      <c r="S290" s="423"/>
      <c r="T290" s="423"/>
      <c r="U290" s="423"/>
      <c r="V290" s="423"/>
      <c r="W290" s="423"/>
      <c r="X290" s="377"/>
      <c r="Y290" s="377"/>
      <c r="Z290" s="377"/>
      <c r="AA290" s="377"/>
      <c r="AB290" s="377"/>
    </row>
    <row r="291">
      <c r="A291" s="390" t="s">
        <v>145</v>
      </c>
      <c r="B291" s="390" t="s">
        <v>1107</v>
      </c>
      <c r="C291" s="390" t="s">
        <v>1784</v>
      </c>
      <c r="D291" s="427" t="s">
        <v>1751</v>
      </c>
      <c r="E291" s="383">
        <v>151142.794</v>
      </c>
      <c r="F291" s="383">
        <f t="shared" si="68"/>
        <v>124911.4</v>
      </c>
      <c r="G291" s="414">
        <f t="shared" ref="G291:G325" si="70">F291/5.1</f>
        <v>24492.43137</v>
      </c>
      <c r="H291" s="390" t="s">
        <v>1785</v>
      </c>
      <c r="I291" s="422"/>
      <c r="J291" s="423"/>
      <c r="K291" s="423"/>
      <c r="L291" s="440"/>
      <c r="M291" s="424" t="s">
        <v>1786</v>
      </c>
      <c r="N291" s="423"/>
      <c r="O291" s="423"/>
      <c r="P291" s="423"/>
      <c r="Q291" s="423"/>
      <c r="R291" s="423"/>
      <c r="S291" s="423"/>
      <c r="T291" s="423"/>
      <c r="U291" s="423"/>
      <c r="V291" s="423"/>
      <c r="W291" s="423"/>
      <c r="X291" s="377"/>
      <c r="Y291" s="377"/>
      <c r="Z291" s="377"/>
      <c r="AA291" s="377"/>
      <c r="AB291" s="377"/>
    </row>
    <row r="292">
      <c r="A292" s="390" t="s">
        <v>1023</v>
      </c>
      <c r="B292" s="390" t="s">
        <v>1107</v>
      </c>
      <c r="C292" s="390" t="s">
        <v>1787</v>
      </c>
      <c r="D292" s="427" t="s">
        <v>1788</v>
      </c>
      <c r="E292" s="383">
        <v>58630.0</v>
      </c>
      <c r="F292" s="383">
        <f t="shared" si="68"/>
        <v>48454.54545</v>
      </c>
      <c r="G292" s="414">
        <f t="shared" si="70"/>
        <v>9500.891266</v>
      </c>
      <c r="H292" s="390"/>
      <c r="I292" s="422"/>
      <c r="J292" s="423"/>
      <c r="K292" s="423"/>
      <c r="L292" s="440"/>
      <c r="M292" s="423"/>
      <c r="N292" s="423"/>
      <c r="O292" s="423"/>
      <c r="P292" s="423"/>
      <c r="Q292" s="423"/>
      <c r="R292" s="423"/>
      <c r="S292" s="423"/>
      <c r="T292" s="423"/>
      <c r="U292" s="423"/>
      <c r="V292" s="423"/>
      <c r="W292" s="423"/>
      <c r="X292" s="377"/>
      <c r="Y292" s="377"/>
      <c r="Z292" s="377"/>
      <c r="AA292" s="377"/>
      <c r="AB292" s="377"/>
    </row>
    <row r="293">
      <c r="A293" s="390" t="s">
        <v>1086</v>
      </c>
      <c r="B293" s="390" t="s">
        <v>1107</v>
      </c>
      <c r="C293" s="390" t="s">
        <v>1789</v>
      </c>
      <c r="D293" s="427" t="s">
        <v>1522</v>
      </c>
      <c r="E293" s="383">
        <v>11270.79</v>
      </c>
      <c r="F293" s="383">
        <f t="shared" si="68"/>
        <v>9314.702479</v>
      </c>
      <c r="G293" s="414">
        <f t="shared" si="70"/>
        <v>1826.412251</v>
      </c>
      <c r="H293" s="390" t="s">
        <v>1659</v>
      </c>
      <c r="I293" s="422"/>
      <c r="J293" s="423"/>
      <c r="K293" s="423"/>
      <c r="L293" s="440"/>
      <c r="M293" s="423"/>
      <c r="N293" s="423"/>
      <c r="O293" s="423"/>
      <c r="P293" s="423"/>
      <c r="Q293" s="423"/>
      <c r="R293" s="423"/>
      <c r="S293" s="423"/>
      <c r="T293" s="423"/>
      <c r="U293" s="423"/>
      <c r="V293" s="423"/>
      <c r="W293" s="423"/>
      <c r="X293" s="377"/>
      <c r="Y293" s="377"/>
      <c r="Z293" s="377"/>
      <c r="AA293" s="377"/>
      <c r="AB293" s="377"/>
    </row>
    <row r="294">
      <c r="A294" s="390" t="s">
        <v>1167</v>
      </c>
      <c r="B294" s="390" t="s">
        <v>1107</v>
      </c>
      <c r="C294" s="390" t="s">
        <v>1790</v>
      </c>
      <c r="D294" s="427" t="s">
        <v>1791</v>
      </c>
      <c r="E294" s="383">
        <v>34932.7</v>
      </c>
      <c r="F294" s="383">
        <f t="shared" si="68"/>
        <v>28870</v>
      </c>
      <c r="G294" s="414">
        <f t="shared" si="70"/>
        <v>5660.784314</v>
      </c>
      <c r="H294" s="390"/>
      <c r="I294" s="422"/>
      <c r="J294" s="423"/>
      <c r="K294" s="423"/>
      <c r="L294" s="440"/>
      <c r="M294" s="423"/>
      <c r="N294" s="423"/>
      <c r="O294" s="423"/>
      <c r="P294" s="423"/>
      <c r="Q294" s="423"/>
      <c r="R294" s="423"/>
      <c r="S294" s="423"/>
      <c r="T294" s="423"/>
      <c r="U294" s="423"/>
      <c r="V294" s="423"/>
      <c r="W294" s="423"/>
      <c r="X294" s="377"/>
      <c r="Y294" s="377"/>
      <c r="Z294" s="377"/>
      <c r="AA294" s="377"/>
      <c r="AB294" s="377"/>
    </row>
    <row r="295">
      <c r="A295" s="390" t="s">
        <v>826</v>
      </c>
      <c r="B295" s="390" t="s">
        <v>1107</v>
      </c>
      <c r="C295" s="390" t="s">
        <v>1792</v>
      </c>
      <c r="D295" s="427" t="s">
        <v>1793</v>
      </c>
      <c r="E295" s="383">
        <v>46920.0</v>
      </c>
      <c r="F295" s="383">
        <f t="shared" si="68"/>
        <v>38776.8595</v>
      </c>
      <c r="G295" s="414">
        <f t="shared" si="70"/>
        <v>7603.305785</v>
      </c>
      <c r="H295" s="390"/>
      <c r="I295" s="390"/>
      <c r="J295" s="390"/>
      <c r="K295" s="390"/>
      <c r="L295" s="440"/>
      <c r="M295" s="390"/>
      <c r="N295" s="390"/>
      <c r="O295" s="390"/>
      <c r="P295" s="390"/>
      <c r="Q295" s="390"/>
      <c r="R295" s="390"/>
      <c r="S295" s="390"/>
      <c r="T295" s="390"/>
      <c r="U295" s="390"/>
      <c r="V295" s="390"/>
      <c r="W295" s="390"/>
      <c r="X295" s="377"/>
      <c r="Y295" s="377"/>
      <c r="Z295" s="377"/>
      <c r="AA295" s="377"/>
      <c r="AB295" s="377"/>
    </row>
    <row r="296">
      <c r="A296" s="390" t="s">
        <v>1149</v>
      </c>
      <c r="B296" s="390" t="s">
        <v>1055</v>
      </c>
      <c r="C296" s="390" t="s">
        <v>1794</v>
      </c>
      <c r="D296" s="427" t="s">
        <v>1795</v>
      </c>
      <c r="E296" s="383">
        <v>49428.5</v>
      </c>
      <c r="F296" s="383">
        <f t="shared" si="68"/>
        <v>40850</v>
      </c>
      <c r="G296" s="414">
        <f t="shared" si="70"/>
        <v>8009.803922</v>
      </c>
      <c r="H296" s="390"/>
      <c r="I296" s="390"/>
      <c r="J296" s="390"/>
      <c r="K296" s="390"/>
      <c r="L296" s="440"/>
      <c r="M296" s="390"/>
      <c r="N296" s="390"/>
      <c r="O296" s="390"/>
      <c r="P296" s="390"/>
      <c r="Q296" s="390"/>
      <c r="R296" s="390"/>
      <c r="S296" s="390"/>
      <c r="T296" s="390"/>
      <c r="U296" s="390"/>
      <c r="V296" s="390"/>
      <c r="W296" s="390"/>
      <c r="X296" s="377"/>
      <c r="Y296" s="377"/>
      <c r="Z296" s="377"/>
      <c r="AA296" s="377"/>
      <c r="AB296" s="377"/>
    </row>
    <row r="297">
      <c r="A297" s="390" t="s">
        <v>1149</v>
      </c>
      <c r="B297" s="390" t="s">
        <v>1055</v>
      </c>
      <c r="C297" s="390" t="s">
        <v>1796</v>
      </c>
      <c r="D297" s="427" t="s">
        <v>1797</v>
      </c>
      <c r="E297" s="383">
        <v>80544.0</v>
      </c>
      <c r="F297" s="383">
        <f t="shared" si="68"/>
        <v>66565.28926</v>
      </c>
      <c r="G297" s="414">
        <f t="shared" si="70"/>
        <v>13052.0175</v>
      </c>
      <c r="H297" s="390"/>
      <c r="I297" s="390"/>
      <c r="J297" s="390"/>
      <c r="K297" s="390"/>
      <c r="L297" s="440"/>
      <c r="M297" s="390"/>
      <c r="N297" s="390"/>
      <c r="O297" s="390"/>
      <c r="P297" s="390"/>
      <c r="Q297" s="390"/>
      <c r="R297" s="390"/>
      <c r="S297" s="390"/>
      <c r="T297" s="390"/>
      <c r="U297" s="390"/>
      <c r="V297" s="390"/>
      <c r="W297" s="390"/>
      <c r="X297" s="377"/>
      <c r="Y297" s="377"/>
      <c r="Z297" s="377"/>
      <c r="AA297" s="377"/>
      <c r="AB297" s="377"/>
    </row>
    <row r="298">
      <c r="A298" s="390" t="s">
        <v>1086</v>
      </c>
      <c r="B298" s="390" t="s">
        <v>1055</v>
      </c>
      <c r="C298" s="390" t="s">
        <v>1798</v>
      </c>
      <c r="D298" s="427" t="s">
        <v>1799</v>
      </c>
      <c r="E298" s="383">
        <v>1354.96</v>
      </c>
      <c r="F298" s="383">
        <f t="shared" si="68"/>
        <v>1119.801653</v>
      </c>
      <c r="G298" s="414">
        <f t="shared" si="70"/>
        <v>219.5689515</v>
      </c>
      <c r="H298" s="390" t="s">
        <v>1800</v>
      </c>
      <c r="I298" s="390"/>
      <c r="J298" s="390"/>
      <c r="K298" s="390"/>
      <c r="L298" s="44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0"/>
      <c r="W298" s="390"/>
      <c r="X298" s="377"/>
      <c r="Y298" s="377"/>
      <c r="Z298" s="377"/>
      <c r="AA298" s="377"/>
      <c r="AB298" s="377"/>
    </row>
    <row r="299">
      <c r="A299" s="390" t="s">
        <v>145</v>
      </c>
      <c r="B299" s="390" t="s">
        <v>1055</v>
      </c>
      <c r="C299" s="390" t="s">
        <v>1801</v>
      </c>
      <c r="D299" s="427" t="s">
        <v>1802</v>
      </c>
      <c r="E299" s="383">
        <v>1452.0</v>
      </c>
      <c r="F299" s="383">
        <f t="shared" si="68"/>
        <v>1200</v>
      </c>
      <c r="G299" s="414">
        <f t="shared" si="70"/>
        <v>235.2941176</v>
      </c>
      <c r="H299" s="390"/>
      <c r="I299" s="390"/>
      <c r="J299" s="390"/>
      <c r="K299" s="390"/>
      <c r="L299" s="440"/>
      <c r="M299" s="424" t="s">
        <v>1786</v>
      </c>
      <c r="N299" s="390"/>
      <c r="O299" s="390"/>
      <c r="P299" s="390"/>
      <c r="Q299" s="390"/>
      <c r="R299" s="390"/>
      <c r="S299" s="390"/>
      <c r="T299" s="390"/>
      <c r="U299" s="390"/>
      <c r="V299" s="390"/>
      <c r="W299" s="390" t="s">
        <v>1803</v>
      </c>
      <c r="X299" s="377"/>
      <c r="Y299" s="377"/>
      <c r="Z299" s="377"/>
      <c r="AA299" s="377"/>
      <c r="AB299" s="377"/>
    </row>
    <row r="300">
      <c r="A300" s="390" t="s">
        <v>1768</v>
      </c>
      <c r="B300" s="390" t="s">
        <v>1055</v>
      </c>
      <c r="C300" s="390" t="s">
        <v>1804</v>
      </c>
      <c r="D300" s="427" t="s">
        <v>1805</v>
      </c>
      <c r="E300" s="383">
        <v>41953.59</v>
      </c>
      <c r="F300" s="383">
        <f t="shared" si="68"/>
        <v>34672.38843</v>
      </c>
      <c r="G300" s="414">
        <f t="shared" si="70"/>
        <v>6798.507535</v>
      </c>
      <c r="H300" s="390" t="s">
        <v>1806</v>
      </c>
      <c r="I300" s="390"/>
      <c r="J300" s="390"/>
      <c r="K300" s="390"/>
      <c r="L300" s="440"/>
      <c r="M300" s="390"/>
      <c r="N300" s="390"/>
      <c r="O300" s="390"/>
      <c r="P300" s="390"/>
      <c r="Q300" s="390"/>
      <c r="R300" s="390"/>
      <c r="S300" s="390"/>
      <c r="T300" s="390"/>
      <c r="U300" s="390"/>
      <c r="V300" s="390"/>
      <c r="W300" s="390"/>
      <c r="X300" s="377"/>
      <c r="Y300" s="377"/>
      <c r="Z300" s="377"/>
      <c r="AA300" s="377"/>
      <c r="AB300" s="377"/>
    </row>
    <row r="301">
      <c r="A301" s="390" t="s">
        <v>835</v>
      </c>
      <c r="B301" s="390" t="s">
        <v>1055</v>
      </c>
      <c r="C301" s="390" t="s">
        <v>1807</v>
      </c>
      <c r="D301" s="427" t="s">
        <v>1808</v>
      </c>
      <c r="E301" s="383">
        <v>19998.0</v>
      </c>
      <c r="F301" s="383">
        <f t="shared" si="68"/>
        <v>16527.27273</v>
      </c>
      <c r="G301" s="414">
        <f t="shared" si="70"/>
        <v>3240.641711</v>
      </c>
      <c r="H301" s="390" t="s">
        <v>1809</v>
      </c>
      <c r="I301" s="390"/>
      <c r="J301" s="390"/>
      <c r="K301" s="390"/>
      <c r="L301" s="440"/>
      <c r="M301" s="390"/>
      <c r="N301" s="390"/>
      <c r="O301" s="390"/>
      <c r="P301" s="390"/>
      <c r="Q301" s="390"/>
      <c r="R301" s="390"/>
      <c r="S301" s="390"/>
      <c r="T301" s="390"/>
      <c r="U301" s="390"/>
      <c r="V301" s="390"/>
      <c r="W301" s="390"/>
      <c r="X301" s="377"/>
      <c r="Y301" s="377"/>
      <c r="Z301" s="377"/>
      <c r="AA301" s="377"/>
      <c r="AB301" s="377"/>
    </row>
    <row r="302">
      <c r="A302" s="390" t="s">
        <v>835</v>
      </c>
      <c r="B302" s="390" t="s">
        <v>1055</v>
      </c>
      <c r="C302" s="390" t="s">
        <v>1810</v>
      </c>
      <c r="D302" s="427" t="s">
        <v>1811</v>
      </c>
      <c r="E302" s="383">
        <v>65679.62</v>
      </c>
      <c r="F302" s="383">
        <f t="shared" si="68"/>
        <v>54280.67769</v>
      </c>
      <c r="G302" s="414">
        <f t="shared" si="70"/>
        <v>10643.27013</v>
      </c>
      <c r="H302" s="390"/>
      <c r="I302" s="390"/>
      <c r="J302" s="390"/>
      <c r="K302" s="390"/>
      <c r="L302" s="440"/>
      <c r="M302" s="390"/>
      <c r="N302" s="390"/>
      <c r="O302" s="390"/>
      <c r="P302" s="390"/>
      <c r="Q302" s="390"/>
      <c r="R302" s="390"/>
      <c r="S302" s="390"/>
      <c r="T302" s="390"/>
      <c r="U302" s="390"/>
      <c r="V302" s="390"/>
      <c r="W302" s="390"/>
      <c r="X302" s="377"/>
      <c r="Y302" s="377"/>
      <c r="Z302" s="377"/>
      <c r="AA302" s="377"/>
      <c r="AB302" s="377"/>
    </row>
    <row r="303">
      <c r="A303" s="390" t="s">
        <v>1149</v>
      </c>
      <c r="B303" s="390" t="s">
        <v>1055</v>
      </c>
      <c r="C303" s="390" t="s">
        <v>1812</v>
      </c>
      <c r="D303" s="427" t="s">
        <v>1813</v>
      </c>
      <c r="E303" s="383">
        <v>37000.0</v>
      </c>
      <c r="F303" s="383">
        <f t="shared" si="68"/>
        <v>30578.5124</v>
      </c>
      <c r="G303" s="414">
        <f t="shared" si="70"/>
        <v>5995.786744</v>
      </c>
      <c r="H303" s="390"/>
      <c r="I303" s="390"/>
      <c r="J303" s="390"/>
      <c r="K303" s="390"/>
      <c r="L303" s="428"/>
      <c r="M303" s="390"/>
      <c r="N303" s="390"/>
      <c r="O303" s="390"/>
      <c r="P303" s="390"/>
      <c r="Q303" s="390"/>
      <c r="R303" s="390"/>
      <c r="S303" s="390"/>
      <c r="T303" s="390"/>
      <c r="U303" s="390"/>
      <c r="V303" s="390"/>
      <c r="W303" s="390"/>
      <c r="X303" s="376"/>
      <c r="Y303" s="376"/>
      <c r="Z303" s="376"/>
      <c r="AA303" s="376"/>
      <c r="AB303" s="376"/>
    </row>
    <row r="304">
      <c r="A304" s="390"/>
      <c r="B304" s="390" t="s">
        <v>1055</v>
      </c>
      <c r="C304" s="390" t="s">
        <v>1814</v>
      </c>
      <c r="D304" s="427" t="s">
        <v>1815</v>
      </c>
      <c r="E304" s="383">
        <v>0.0</v>
      </c>
      <c r="F304" s="383">
        <f t="shared" si="68"/>
        <v>0</v>
      </c>
      <c r="G304" s="414">
        <f t="shared" si="70"/>
        <v>0</v>
      </c>
      <c r="H304" s="390"/>
      <c r="I304" s="390"/>
      <c r="J304" s="390"/>
      <c r="K304" s="390"/>
      <c r="L304" s="440"/>
      <c r="M304" s="390"/>
      <c r="N304" s="390"/>
      <c r="O304" s="390"/>
      <c r="P304" s="390"/>
      <c r="Q304" s="390"/>
      <c r="R304" s="390"/>
      <c r="S304" s="390"/>
      <c r="T304" s="390"/>
      <c r="U304" s="390"/>
      <c r="V304" s="390"/>
      <c r="W304" s="390" t="s">
        <v>1764</v>
      </c>
      <c r="X304" s="377"/>
      <c r="Y304" s="377"/>
      <c r="Z304" s="377"/>
      <c r="AA304" s="377"/>
      <c r="AB304" s="377"/>
    </row>
    <row r="305">
      <c r="A305" s="390" t="s">
        <v>835</v>
      </c>
      <c r="B305" s="390" t="s">
        <v>1055</v>
      </c>
      <c r="C305" s="390" t="s">
        <v>1816</v>
      </c>
      <c r="D305" s="427" t="s">
        <v>1817</v>
      </c>
      <c r="E305" s="383">
        <v>26675.0</v>
      </c>
      <c r="F305" s="383">
        <f t="shared" si="68"/>
        <v>22045.45455</v>
      </c>
      <c r="G305" s="414">
        <f t="shared" si="70"/>
        <v>4322.638146</v>
      </c>
      <c r="H305" s="390"/>
      <c r="I305" s="390"/>
      <c r="J305" s="390"/>
      <c r="K305" s="390"/>
      <c r="L305" s="440"/>
      <c r="M305" s="390"/>
      <c r="N305" s="390"/>
      <c r="O305" s="390"/>
      <c r="P305" s="390"/>
      <c r="Q305" s="390"/>
      <c r="R305" s="390"/>
      <c r="S305" s="390"/>
      <c r="T305" s="390"/>
      <c r="U305" s="390"/>
      <c r="V305" s="390"/>
      <c r="W305" s="390"/>
      <c r="X305" s="377"/>
      <c r="Y305" s="377"/>
      <c r="Z305" s="377"/>
      <c r="AA305" s="377"/>
      <c r="AB305" s="377"/>
    </row>
    <row r="306">
      <c r="A306" s="390" t="s">
        <v>835</v>
      </c>
      <c r="B306" s="390" t="s">
        <v>1055</v>
      </c>
      <c r="C306" s="390" t="s">
        <v>1818</v>
      </c>
      <c r="D306" s="427" t="s">
        <v>1819</v>
      </c>
      <c r="E306" s="383">
        <v>68937.0</v>
      </c>
      <c r="F306" s="383">
        <f t="shared" si="68"/>
        <v>56972.72727</v>
      </c>
      <c r="G306" s="414">
        <f t="shared" si="70"/>
        <v>11171.12299</v>
      </c>
      <c r="H306" s="390"/>
      <c r="I306" s="390"/>
      <c r="J306" s="390"/>
      <c r="K306" s="390"/>
      <c r="L306" s="440"/>
      <c r="M306" s="390"/>
      <c r="N306" s="390"/>
      <c r="O306" s="390"/>
      <c r="P306" s="390"/>
      <c r="Q306" s="390"/>
      <c r="R306" s="390"/>
      <c r="S306" s="390"/>
      <c r="T306" s="390"/>
      <c r="U306" s="390"/>
      <c r="V306" s="390"/>
      <c r="W306" s="390"/>
      <c r="X306" s="377"/>
      <c r="Y306" s="377"/>
      <c r="Z306" s="377"/>
      <c r="AA306" s="377"/>
      <c r="AB306" s="377"/>
    </row>
    <row r="307">
      <c r="A307" s="390" t="s">
        <v>1086</v>
      </c>
      <c r="B307" s="390" t="s">
        <v>1055</v>
      </c>
      <c r="C307" s="390" t="s">
        <v>1820</v>
      </c>
      <c r="D307" s="427" t="s">
        <v>1821</v>
      </c>
      <c r="E307" s="383">
        <v>51665.47</v>
      </c>
      <c r="F307" s="383">
        <f t="shared" si="68"/>
        <v>42698.73554</v>
      </c>
      <c r="G307" s="414">
        <f t="shared" si="70"/>
        <v>8372.301086</v>
      </c>
      <c r="H307" s="390" t="s">
        <v>1822</v>
      </c>
      <c r="I307" s="422"/>
      <c r="J307" s="423"/>
      <c r="K307" s="423"/>
      <c r="L307" s="440"/>
      <c r="M307" s="423"/>
      <c r="N307" s="423"/>
      <c r="O307" s="423"/>
      <c r="P307" s="423"/>
      <c r="Q307" s="423"/>
      <c r="R307" s="423"/>
      <c r="S307" s="423"/>
      <c r="T307" s="423"/>
      <c r="U307" s="423"/>
      <c r="V307" s="423"/>
      <c r="W307" s="423"/>
      <c r="X307" s="377"/>
      <c r="Y307" s="377"/>
      <c r="Z307" s="377"/>
      <c r="AA307" s="377"/>
      <c r="AB307" s="377"/>
    </row>
    <row r="308">
      <c r="A308" s="390" t="s">
        <v>1023</v>
      </c>
      <c r="B308" s="390" t="s">
        <v>1060</v>
      </c>
      <c r="C308" s="390" t="s">
        <v>1823</v>
      </c>
      <c r="D308" s="427" t="s">
        <v>1824</v>
      </c>
      <c r="E308" s="383">
        <v>11000.0</v>
      </c>
      <c r="F308" s="383">
        <f t="shared" si="68"/>
        <v>9090.909091</v>
      </c>
      <c r="G308" s="414">
        <f t="shared" si="70"/>
        <v>1782.531194</v>
      </c>
      <c r="H308" s="390" t="s">
        <v>1825</v>
      </c>
      <c r="I308" s="422"/>
      <c r="J308" s="423"/>
      <c r="K308" s="423"/>
      <c r="L308" s="440"/>
      <c r="M308" s="423"/>
      <c r="N308" s="423"/>
      <c r="O308" s="423"/>
      <c r="P308" s="423"/>
      <c r="Q308" s="423"/>
      <c r="R308" s="423"/>
      <c r="S308" s="423"/>
      <c r="T308" s="423"/>
      <c r="U308" s="423"/>
      <c r="V308" s="423"/>
      <c r="W308" s="423"/>
      <c r="X308" s="377"/>
      <c r="Y308" s="377"/>
      <c r="Z308" s="377"/>
      <c r="AA308" s="377"/>
      <c r="AB308" s="377"/>
    </row>
    <row r="309">
      <c r="A309" s="390" t="s">
        <v>1086</v>
      </c>
      <c r="B309" s="390" t="s">
        <v>1060</v>
      </c>
      <c r="C309" s="390" t="s">
        <v>1826</v>
      </c>
      <c r="D309" s="427" t="s">
        <v>1827</v>
      </c>
      <c r="E309" s="383">
        <v>71591.05</v>
      </c>
      <c r="F309" s="383">
        <f t="shared" si="68"/>
        <v>59166.15702</v>
      </c>
      <c r="G309" s="414">
        <f t="shared" si="70"/>
        <v>11601.20726</v>
      </c>
      <c r="H309" s="390" t="s">
        <v>1828</v>
      </c>
      <c r="I309" s="422"/>
      <c r="J309" s="423"/>
      <c r="K309" s="423"/>
      <c r="L309" s="440"/>
      <c r="M309" s="423"/>
      <c r="N309" s="423"/>
      <c r="O309" s="423"/>
      <c r="P309" s="423"/>
      <c r="Q309" s="423"/>
      <c r="R309" s="423"/>
      <c r="S309" s="423"/>
      <c r="T309" s="423"/>
      <c r="U309" s="423"/>
      <c r="V309" s="423"/>
      <c r="W309" s="423"/>
      <c r="X309" s="377"/>
      <c r="Y309" s="377"/>
      <c r="Z309" s="377"/>
      <c r="AA309" s="377"/>
      <c r="AB309" s="377"/>
    </row>
    <row r="310">
      <c r="A310" s="390" t="s">
        <v>1149</v>
      </c>
      <c r="B310" s="390" t="s">
        <v>1060</v>
      </c>
      <c r="C310" s="390" t="s">
        <v>1829</v>
      </c>
      <c r="D310" s="427" t="s">
        <v>1830</v>
      </c>
      <c r="E310" s="383">
        <v>0.0</v>
      </c>
      <c r="F310" s="383">
        <f t="shared" si="68"/>
        <v>0</v>
      </c>
      <c r="G310" s="414">
        <f t="shared" si="70"/>
        <v>0</v>
      </c>
      <c r="H310" s="390"/>
      <c r="I310" s="422"/>
      <c r="J310" s="423"/>
      <c r="K310" s="423"/>
      <c r="L310" s="440"/>
      <c r="M310" s="423"/>
      <c r="N310" s="423"/>
      <c r="O310" s="423"/>
      <c r="P310" s="423"/>
      <c r="Q310" s="423"/>
      <c r="R310" s="423"/>
      <c r="S310" s="423"/>
      <c r="T310" s="423"/>
      <c r="U310" s="423"/>
      <c r="V310" s="423"/>
      <c r="W310" s="423"/>
      <c r="X310" s="377"/>
      <c r="Y310" s="377"/>
      <c r="Z310" s="377"/>
      <c r="AA310" s="377"/>
      <c r="AB310" s="377"/>
    </row>
    <row r="311">
      <c r="A311" s="390" t="s">
        <v>835</v>
      </c>
      <c r="B311" s="390" t="s">
        <v>1060</v>
      </c>
      <c r="C311" s="390" t="s">
        <v>1831</v>
      </c>
      <c r="D311" s="427" t="s">
        <v>1832</v>
      </c>
      <c r="E311" s="383">
        <v>20000.0</v>
      </c>
      <c r="F311" s="383">
        <f t="shared" si="68"/>
        <v>16528.92562</v>
      </c>
      <c r="G311" s="414">
        <f t="shared" si="70"/>
        <v>3240.965808</v>
      </c>
      <c r="H311" s="390" t="s">
        <v>1809</v>
      </c>
      <c r="I311" s="422"/>
      <c r="J311" s="423"/>
      <c r="K311" s="423"/>
      <c r="L311" s="440"/>
      <c r="M311" s="423"/>
      <c r="N311" s="423"/>
      <c r="O311" s="423"/>
      <c r="P311" s="423"/>
      <c r="Q311" s="423"/>
      <c r="R311" s="423"/>
      <c r="S311" s="423"/>
      <c r="T311" s="423"/>
      <c r="U311" s="423"/>
      <c r="V311" s="423"/>
      <c r="W311" s="423"/>
      <c r="X311" s="377"/>
      <c r="Y311" s="377"/>
      <c r="Z311" s="377"/>
      <c r="AA311" s="377"/>
      <c r="AB311" s="377"/>
    </row>
    <row r="312">
      <c r="A312" s="390" t="s">
        <v>835</v>
      </c>
      <c r="B312" s="390" t="s">
        <v>1060</v>
      </c>
      <c r="C312" s="390" t="s">
        <v>1833</v>
      </c>
      <c r="D312" s="427" t="s">
        <v>1834</v>
      </c>
      <c r="E312" s="383">
        <v>40823.65</v>
      </c>
      <c r="F312" s="383">
        <f t="shared" si="68"/>
        <v>33738.55372</v>
      </c>
      <c r="G312" s="414">
        <f t="shared" si="70"/>
        <v>6615.40269</v>
      </c>
      <c r="H312" s="390" t="s">
        <v>1835</v>
      </c>
      <c r="I312" s="422"/>
      <c r="J312" s="423"/>
      <c r="K312" s="423"/>
      <c r="L312" s="440"/>
      <c r="M312" s="423"/>
      <c r="N312" s="423"/>
      <c r="O312" s="423"/>
      <c r="P312" s="423"/>
      <c r="Q312" s="423"/>
      <c r="R312" s="423"/>
      <c r="S312" s="423"/>
      <c r="T312" s="423"/>
      <c r="U312" s="423"/>
      <c r="V312" s="423"/>
      <c r="W312" s="423"/>
      <c r="X312" s="377"/>
      <c r="Y312" s="377"/>
      <c r="Z312" s="377"/>
      <c r="AA312" s="377"/>
      <c r="AB312" s="377"/>
    </row>
    <row r="313">
      <c r="A313" s="390" t="s">
        <v>835</v>
      </c>
      <c r="B313" s="390" t="s">
        <v>1060</v>
      </c>
      <c r="C313" s="390" t="s">
        <v>1836</v>
      </c>
      <c r="D313" s="427" t="s">
        <v>1837</v>
      </c>
      <c r="E313" s="383">
        <v>72568.47</v>
      </c>
      <c r="F313" s="383">
        <f t="shared" si="68"/>
        <v>59973.94215</v>
      </c>
      <c r="G313" s="414">
        <f t="shared" si="70"/>
        <v>11759.5965</v>
      </c>
      <c r="H313" s="390" t="s">
        <v>1838</v>
      </c>
      <c r="I313" s="422"/>
      <c r="J313" s="423"/>
      <c r="K313" s="423"/>
      <c r="L313" s="440"/>
      <c r="M313" s="423"/>
      <c r="N313" s="423"/>
      <c r="O313" s="423"/>
      <c r="P313" s="423"/>
      <c r="Q313" s="423"/>
      <c r="R313" s="423"/>
      <c r="S313" s="423"/>
      <c r="T313" s="423"/>
      <c r="U313" s="423"/>
      <c r="V313" s="423"/>
      <c r="W313" s="423"/>
      <c r="X313" s="377"/>
      <c r="Y313" s="377"/>
      <c r="Z313" s="377"/>
      <c r="AA313" s="377"/>
      <c r="AB313" s="377"/>
    </row>
    <row r="314">
      <c r="A314" s="390" t="s">
        <v>835</v>
      </c>
      <c r="B314" s="390" t="s">
        <v>1060</v>
      </c>
      <c r="C314" s="390" t="s">
        <v>1839</v>
      </c>
      <c r="D314" s="427" t="s">
        <v>1840</v>
      </c>
      <c r="E314" s="383">
        <v>57878.88</v>
      </c>
      <c r="F314" s="383">
        <f t="shared" si="68"/>
        <v>47833.78512</v>
      </c>
      <c r="G314" s="414">
        <f t="shared" si="70"/>
        <v>9379.173554</v>
      </c>
      <c r="H314" s="390" t="s">
        <v>1841</v>
      </c>
      <c r="I314" s="422"/>
      <c r="J314" s="423"/>
      <c r="K314" s="423"/>
      <c r="L314" s="440"/>
      <c r="M314" s="423"/>
      <c r="N314" s="423"/>
      <c r="O314" s="423"/>
      <c r="P314" s="423"/>
      <c r="Q314" s="423"/>
      <c r="R314" s="423"/>
      <c r="S314" s="423"/>
      <c r="T314" s="423"/>
      <c r="U314" s="423"/>
      <c r="V314" s="423"/>
      <c r="W314" s="423"/>
      <c r="X314" s="377"/>
      <c r="Y314" s="377"/>
      <c r="Z314" s="377"/>
      <c r="AA314" s="377"/>
      <c r="AB314" s="377"/>
    </row>
    <row r="315">
      <c r="A315" s="390" t="s">
        <v>835</v>
      </c>
      <c r="B315" s="390" t="s">
        <v>1060</v>
      </c>
      <c r="C315" s="390" t="s">
        <v>1842</v>
      </c>
      <c r="D315" s="427" t="s">
        <v>1843</v>
      </c>
      <c r="E315" s="383">
        <v>28473.0</v>
      </c>
      <c r="F315" s="383">
        <f t="shared" si="68"/>
        <v>23531.40496</v>
      </c>
      <c r="G315" s="414">
        <f t="shared" si="70"/>
        <v>4614.000972</v>
      </c>
      <c r="H315" s="390" t="s">
        <v>1844</v>
      </c>
      <c r="I315" s="422"/>
      <c r="J315" s="423"/>
      <c r="K315" s="423"/>
      <c r="L315" s="440"/>
      <c r="M315" s="423"/>
      <c r="N315" s="423"/>
      <c r="O315" s="423"/>
      <c r="P315" s="423"/>
      <c r="Q315" s="423"/>
      <c r="R315" s="423"/>
      <c r="S315" s="423"/>
      <c r="T315" s="423"/>
      <c r="U315" s="423"/>
      <c r="V315" s="423"/>
      <c r="W315" s="423"/>
      <c r="X315" s="377"/>
      <c r="Y315" s="377"/>
      <c r="Z315" s="377"/>
      <c r="AA315" s="377"/>
      <c r="AB315" s="377"/>
    </row>
    <row r="316">
      <c r="A316" s="390" t="s">
        <v>826</v>
      </c>
      <c r="B316" s="390" t="s">
        <v>1060</v>
      </c>
      <c r="C316" s="390" t="s">
        <v>1845</v>
      </c>
      <c r="D316" s="427" t="s">
        <v>1846</v>
      </c>
      <c r="E316" s="383">
        <f>F316*1.21</f>
        <v>12100</v>
      </c>
      <c r="F316" s="383">
        <v>10000.0</v>
      </c>
      <c r="G316" s="414">
        <f t="shared" si="70"/>
        <v>1960.784314</v>
      </c>
      <c r="H316" s="425"/>
      <c r="I316" s="422"/>
      <c r="J316" s="423"/>
      <c r="K316" s="423"/>
      <c r="L316" s="440"/>
      <c r="M316" s="423"/>
      <c r="N316" s="423"/>
      <c r="O316" s="423"/>
      <c r="P316" s="423"/>
      <c r="Q316" s="423"/>
      <c r="R316" s="423"/>
      <c r="S316" s="423"/>
      <c r="T316" s="423"/>
      <c r="U316" s="423"/>
      <c r="V316" s="423"/>
      <c r="W316" s="423"/>
      <c r="X316" s="377"/>
      <c r="Y316" s="377"/>
      <c r="Z316" s="377"/>
      <c r="AA316" s="377"/>
      <c r="AB316" s="377"/>
    </row>
    <row r="317">
      <c r="A317" s="390" t="s">
        <v>1086</v>
      </c>
      <c r="B317" s="390" t="s">
        <v>1847</v>
      </c>
      <c r="C317" s="390" t="s">
        <v>1848</v>
      </c>
      <c r="D317" s="427" t="s">
        <v>1849</v>
      </c>
      <c r="E317" s="383">
        <v>320555.62</v>
      </c>
      <c r="F317" s="383">
        <f t="shared" ref="F317:F325" si="71">E317/1.21</f>
        <v>264922</v>
      </c>
      <c r="G317" s="414">
        <f t="shared" si="70"/>
        <v>51945.4902</v>
      </c>
      <c r="H317" s="390" t="s">
        <v>1850</v>
      </c>
      <c r="I317" s="422"/>
      <c r="J317" s="423"/>
      <c r="K317" s="423"/>
      <c r="L317" s="440"/>
      <c r="M317" s="423"/>
      <c r="N317" s="423"/>
      <c r="O317" s="423"/>
      <c r="P317" s="423"/>
      <c r="Q317" s="423"/>
      <c r="R317" s="423"/>
      <c r="S317" s="423"/>
      <c r="T317" s="423"/>
      <c r="U317" s="423"/>
      <c r="V317" s="423"/>
      <c r="W317" s="423"/>
      <c r="X317" s="377"/>
      <c r="Y317" s="377"/>
      <c r="Z317" s="377"/>
      <c r="AA317" s="377"/>
      <c r="AB317" s="377"/>
    </row>
    <row r="318">
      <c r="A318" s="390" t="s">
        <v>1149</v>
      </c>
      <c r="B318" s="390" t="s">
        <v>1847</v>
      </c>
      <c r="C318" s="390" t="s">
        <v>1851</v>
      </c>
      <c r="D318" s="427" t="s">
        <v>1852</v>
      </c>
      <c r="E318" s="383">
        <v>2680.0</v>
      </c>
      <c r="F318" s="383">
        <f t="shared" si="71"/>
        <v>2214.876033</v>
      </c>
      <c r="G318" s="414">
        <f t="shared" si="70"/>
        <v>434.2894182</v>
      </c>
      <c r="H318" s="390" t="s">
        <v>1853</v>
      </c>
      <c r="I318" s="422"/>
      <c r="J318" s="423"/>
      <c r="K318" s="423"/>
      <c r="L318" s="440"/>
      <c r="M318" s="423"/>
      <c r="N318" s="423"/>
      <c r="O318" s="423"/>
      <c r="P318" s="423"/>
      <c r="Q318" s="423"/>
      <c r="R318" s="423"/>
      <c r="S318" s="423"/>
      <c r="T318" s="423"/>
      <c r="U318" s="423"/>
      <c r="V318" s="423"/>
      <c r="W318" s="423"/>
      <c r="X318" s="377"/>
      <c r="Y318" s="377"/>
      <c r="Z318" s="377"/>
      <c r="AA318" s="377"/>
      <c r="AB318" s="377"/>
    </row>
    <row r="319">
      <c r="A319" s="390" t="s">
        <v>835</v>
      </c>
      <c r="B319" s="390" t="s">
        <v>1847</v>
      </c>
      <c r="C319" s="390" t="s">
        <v>1854</v>
      </c>
      <c r="D319" s="427" t="s">
        <v>1855</v>
      </c>
      <c r="E319" s="383">
        <v>3000.0</v>
      </c>
      <c r="F319" s="383">
        <f t="shared" si="71"/>
        <v>2479.338843</v>
      </c>
      <c r="G319" s="414">
        <f t="shared" si="70"/>
        <v>486.1448712</v>
      </c>
      <c r="H319" s="390" t="s">
        <v>1856</v>
      </c>
      <c r="I319" s="422"/>
      <c r="J319" s="423"/>
      <c r="K319" s="423"/>
      <c r="L319" s="440"/>
      <c r="M319" s="423"/>
      <c r="N319" s="423"/>
      <c r="O319" s="423"/>
      <c r="P319" s="423"/>
      <c r="Q319" s="423"/>
      <c r="R319" s="423"/>
      <c r="S319" s="423"/>
      <c r="T319" s="423"/>
      <c r="U319" s="423"/>
      <c r="V319" s="423"/>
      <c r="W319" s="423"/>
      <c r="X319" s="377"/>
      <c r="Y319" s="377"/>
      <c r="Z319" s="377"/>
      <c r="AA319" s="377"/>
      <c r="AB319" s="377"/>
    </row>
    <row r="320">
      <c r="A320" s="390" t="s">
        <v>1149</v>
      </c>
      <c r="B320" s="390" t="s">
        <v>1847</v>
      </c>
      <c r="C320" s="390" t="s">
        <v>1857</v>
      </c>
      <c r="D320" s="427" t="s">
        <v>184</v>
      </c>
      <c r="E320" s="383">
        <v>37500.0</v>
      </c>
      <c r="F320" s="383">
        <f t="shared" si="71"/>
        <v>30991.73554</v>
      </c>
      <c r="G320" s="414">
        <f t="shared" si="70"/>
        <v>6076.81089</v>
      </c>
      <c r="H320" s="390" t="s">
        <v>1858</v>
      </c>
      <c r="I320" s="422"/>
      <c r="J320" s="423"/>
      <c r="K320" s="423"/>
      <c r="L320" s="440"/>
      <c r="M320" s="423"/>
      <c r="N320" s="423"/>
      <c r="O320" s="423"/>
      <c r="P320" s="423"/>
      <c r="Q320" s="423"/>
      <c r="R320" s="423"/>
      <c r="S320" s="423"/>
      <c r="T320" s="423"/>
      <c r="U320" s="423"/>
      <c r="V320" s="423"/>
      <c r="W320" s="423"/>
      <c r="X320" s="377"/>
      <c r="Y320" s="377"/>
      <c r="Z320" s="377"/>
      <c r="AA320" s="377"/>
      <c r="AB320" s="377"/>
    </row>
    <row r="321">
      <c r="A321" s="390" t="s">
        <v>835</v>
      </c>
      <c r="B321" s="390" t="s">
        <v>1847</v>
      </c>
      <c r="C321" s="390" t="s">
        <v>1859</v>
      </c>
      <c r="D321" s="427" t="s">
        <v>1860</v>
      </c>
      <c r="E321" s="383">
        <v>72301.17</v>
      </c>
      <c r="F321" s="383">
        <f t="shared" si="71"/>
        <v>59753.03306</v>
      </c>
      <c r="G321" s="414">
        <f t="shared" si="70"/>
        <v>11716.28099</v>
      </c>
      <c r="H321" s="390" t="s">
        <v>1861</v>
      </c>
      <c r="I321" s="422"/>
      <c r="J321" s="423"/>
      <c r="K321" s="423"/>
      <c r="L321" s="440"/>
      <c r="M321" s="423"/>
      <c r="N321" s="423"/>
      <c r="O321" s="423"/>
      <c r="P321" s="423"/>
      <c r="Q321" s="423"/>
      <c r="R321" s="423"/>
      <c r="S321" s="423"/>
      <c r="T321" s="423"/>
      <c r="U321" s="423"/>
      <c r="V321" s="423"/>
      <c r="W321" s="423"/>
      <c r="X321" s="377"/>
      <c r="Y321" s="377"/>
      <c r="Z321" s="377"/>
      <c r="AA321" s="377"/>
      <c r="AB321" s="377"/>
    </row>
    <row r="322">
      <c r="A322" s="446" t="s">
        <v>835</v>
      </c>
      <c r="B322" s="446" t="s">
        <v>1847</v>
      </c>
      <c r="C322" s="446" t="s">
        <v>1862</v>
      </c>
      <c r="D322" s="427" t="s">
        <v>1863</v>
      </c>
      <c r="E322" s="383">
        <v>0.0</v>
      </c>
      <c r="F322" s="383">
        <f t="shared" si="71"/>
        <v>0</v>
      </c>
      <c r="G322" s="414">
        <f t="shared" si="70"/>
        <v>0</v>
      </c>
      <c r="H322" s="390"/>
      <c r="I322" s="422"/>
      <c r="J322" s="423"/>
      <c r="K322" s="423"/>
      <c r="L322" s="440"/>
      <c r="M322" s="423"/>
      <c r="N322" s="423"/>
      <c r="O322" s="423"/>
      <c r="P322" s="423"/>
      <c r="Q322" s="423"/>
      <c r="R322" s="423"/>
      <c r="S322" s="423"/>
      <c r="T322" s="423"/>
      <c r="U322" s="423"/>
      <c r="V322" s="423"/>
      <c r="W322" s="423"/>
      <c r="X322" s="377"/>
      <c r="Y322" s="377"/>
      <c r="Z322" s="377"/>
      <c r="AA322" s="377"/>
      <c r="AB322" s="377"/>
    </row>
    <row r="323">
      <c r="A323" s="390" t="s">
        <v>1864</v>
      </c>
      <c r="B323" s="390" t="s">
        <v>1847</v>
      </c>
      <c r="C323" s="390" t="s">
        <v>1865</v>
      </c>
      <c r="D323" s="427" t="s">
        <v>1866</v>
      </c>
      <c r="E323" s="383">
        <v>15427.5</v>
      </c>
      <c r="F323" s="383">
        <f t="shared" si="71"/>
        <v>12750</v>
      </c>
      <c r="G323" s="414">
        <f t="shared" si="70"/>
        <v>2500</v>
      </c>
      <c r="H323" s="390"/>
      <c r="I323" s="422"/>
      <c r="J323" s="423"/>
      <c r="K323" s="423"/>
      <c r="L323" s="440"/>
      <c r="M323" s="423"/>
      <c r="N323" s="423"/>
      <c r="O323" s="423"/>
      <c r="P323" s="423"/>
      <c r="Q323" s="423"/>
      <c r="R323" s="423"/>
      <c r="S323" s="423"/>
      <c r="T323" s="423"/>
      <c r="U323" s="423"/>
      <c r="V323" s="423"/>
      <c r="W323" s="423"/>
      <c r="X323" s="377"/>
      <c r="Y323" s="377"/>
      <c r="Z323" s="377"/>
      <c r="AA323" s="377"/>
      <c r="AB323" s="377"/>
    </row>
    <row r="324">
      <c r="A324" s="390" t="s">
        <v>145</v>
      </c>
      <c r="B324" s="390" t="s">
        <v>1847</v>
      </c>
      <c r="C324" s="390" t="s">
        <v>1867</v>
      </c>
      <c r="D324" s="427" t="s">
        <v>1868</v>
      </c>
      <c r="E324" s="383">
        <v>300556.3044</v>
      </c>
      <c r="F324" s="383">
        <f t="shared" si="71"/>
        <v>248393.64</v>
      </c>
      <c r="G324" s="414">
        <f t="shared" si="70"/>
        <v>48704.63529</v>
      </c>
      <c r="H324" s="390" t="s">
        <v>369</v>
      </c>
      <c r="I324" s="422"/>
      <c r="J324" s="423"/>
      <c r="K324" s="423"/>
      <c r="L324" s="440"/>
      <c r="M324" s="424" t="s">
        <v>1786</v>
      </c>
      <c r="N324" s="423"/>
      <c r="O324" s="423"/>
      <c r="P324" s="423"/>
      <c r="Q324" s="423"/>
      <c r="R324" s="423"/>
      <c r="S324" s="423"/>
      <c r="T324" s="423"/>
      <c r="U324" s="423"/>
      <c r="V324" s="423"/>
      <c r="W324" s="424" t="s">
        <v>1869</v>
      </c>
      <c r="X324" s="377"/>
      <c r="Y324" s="377"/>
      <c r="Z324" s="377"/>
      <c r="AA324" s="377"/>
      <c r="AB324" s="377"/>
    </row>
    <row r="325">
      <c r="A325" s="390" t="s">
        <v>1086</v>
      </c>
      <c r="B325" s="390" t="s">
        <v>1847</v>
      </c>
      <c r="C325" s="390" t="s">
        <v>1870</v>
      </c>
      <c r="D325" s="427" t="s">
        <v>1871</v>
      </c>
      <c r="E325" s="383">
        <v>35095.26</v>
      </c>
      <c r="F325" s="383">
        <f t="shared" si="71"/>
        <v>29004.34711</v>
      </c>
      <c r="G325" s="414">
        <f t="shared" si="70"/>
        <v>5687.126884</v>
      </c>
      <c r="H325" s="390" t="s">
        <v>1872</v>
      </c>
      <c r="I325" s="422"/>
      <c r="J325" s="423"/>
      <c r="K325" s="423"/>
      <c r="L325" s="440"/>
      <c r="M325" s="423"/>
      <c r="N325" s="423"/>
      <c r="O325" s="423"/>
      <c r="P325" s="423"/>
      <c r="Q325" s="423"/>
      <c r="R325" s="423"/>
      <c r="S325" s="423"/>
      <c r="T325" s="423"/>
      <c r="U325" s="423"/>
      <c r="V325" s="423"/>
      <c r="W325" s="423"/>
      <c r="X325" s="377"/>
      <c r="Y325" s="377"/>
      <c r="Z325" s="377"/>
      <c r="AA325" s="377"/>
      <c r="AB325" s="377"/>
    </row>
    <row r="326">
      <c r="A326" s="390" t="s">
        <v>826</v>
      </c>
      <c r="B326" s="390" t="s">
        <v>1847</v>
      </c>
      <c r="C326" s="390" t="s">
        <v>1873</v>
      </c>
      <c r="D326" s="427" t="s">
        <v>1874</v>
      </c>
      <c r="E326" s="383">
        <v>836047.08</v>
      </c>
      <c r="F326" s="383">
        <v>690948.0</v>
      </c>
      <c r="G326" s="414">
        <v>135480.0</v>
      </c>
      <c r="H326" s="390"/>
      <c r="I326" s="422"/>
      <c r="J326" s="423"/>
      <c r="K326" s="423"/>
      <c r="L326" s="440"/>
      <c r="M326" s="423"/>
      <c r="N326" s="423"/>
      <c r="O326" s="423"/>
      <c r="P326" s="423"/>
      <c r="Q326" s="423"/>
      <c r="R326" s="423"/>
      <c r="S326" s="423"/>
      <c r="T326" s="423"/>
      <c r="U326" s="423"/>
      <c r="V326" s="423"/>
      <c r="W326" s="423"/>
      <c r="X326" s="377"/>
      <c r="Y326" s="377"/>
      <c r="Z326" s="377"/>
      <c r="AA326" s="377"/>
      <c r="AB326" s="377"/>
    </row>
    <row r="327">
      <c r="A327" s="390" t="s">
        <v>1086</v>
      </c>
      <c r="B327" s="390" t="s">
        <v>1847</v>
      </c>
      <c r="C327" s="390" t="s">
        <v>1875</v>
      </c>
      <c r="D327" s="427" t="s">
        <v>1876</v>
      </c>
      <c r="E327" s="383">
        <v>8000.0</v>
      </c>
      <c r="F327" s="383">
        <f t="shared" ref="F327:F410" si="72">E327/1.21</f>
        <v>6611.570248</v>
      </c>
      <c r="G327" s="414">
        <f t="shared" ref="G327:G392" si="73">F327/5.1</f>
        <v>1296.386323</v>
      </c>
      <c r="H327" s="390" t="s">
        <v>1877</v>
      </c>
      <c r="I327" s="422"/>
      <c r="J327" s="423"/>
      <c r="K327" s="423"/>
      <c r="L327" s="440"/>
      <c r="M327" s="423"/>
      <c r="N327" s="423"/>
      <c r="O327" s="423"/>
      <c r="P327" s="423"/>
      <c r="Q327" s="423"/>
      <c r="R327" s="423"/>
      <c r="S327" s="423"/>
      <c r="T327" s="423"/>
      <c r="U327" s="423"/>
      <c r="V327" s="423"/>
      <c r="W327" s="423"/>
      <c r="X327" s="377"/>
      <c r="Y327" s="377"/>
      <c r="Z327" s="377"/>
      <c r="AA327" s="377"/>
      <c r="AB327" s="377"/>
    </row>
    <row r="328">
      <c r="A328" s="390" t="s">
        <v>835</v>
      </c>
      <c r="B328" s="390" t="s">
        <v>1847</v>
      </c>
      <c r="C328" s="390" t="s">
        <v>1878</v>
      </c>
      <c r="D328" s="427" t="s">
        <v>1879</v>
      </c>
      <c r="E328" s="383">
        <v>38683.99</v>
      </c>
      <c r="F328" s="383">
        <f t="shared" si="72"/>
        <v>31970.23967</v>
      </c>
      <c r="G328" s="414">
        <f t="shared" si="73"/>
        <v>6268.674445</v>
      </c>
      <c r="H328" s="390" t="s">
        <v>1880</v>
      </c>
      <c r="I328" s="422"/>
      <c r="J328" s="423"/>
      <c r="K328" s="423"/>
      <c r="L328" s="440"/>
      <c r="M328" s="423"/>
      <c r="N328" s="423"/>
      <c r="O328" s="423"/>
      <c r="P328" s="423"/>
      <c r="Q328" s="423"/>
      <c r="R328" s="423"/>
      <c r="S328" s="423"/>
      <c r="T328" s="423"/>
      <c r="U328" s="423"/>
      <c r="V328" s="423"/>
      <c r="W328" s="423"/>
      <c r="X328" s="377"/>
      <c r="Y328" s="377"/>
      <c r="Z328" s="377"/>
      <c r="AA328" s="377"/>
      <c r="AB328" s="377"/>
    </row>
    <row r="329">
      <c r="A329" s="390" t="s">
        <v>1086</v>
      </c>
      <c r="B329" s="390" t="s">
        <v>1847</v>
      </c>
      <c r="C329" s="390" t="s">
        <v>1881</v>
      </c>
      <c r="D329" s="427" t="s">
        <v>1882</v>
      </c>
      <c r="E329" s="383">
        <v>44047.28</v>
      </c>
      <c r="F329" s="383">
        <f t="shared" si="72"/>
        <v>36402.71074</v>
      </c>
      <c r="G329" s="414">
        <f t="shared" si="73"/>
        <v>7137.78642</v>
      </c>
      <c r="H329" s="390" t="s">
        <v>1685</v>
      </c>
      <c r="I329" s="422"/>
      <c r="J329" s="423"/>
      <c r="K329" s="423"/>
      <c r="L329" s="440"/>
      <c r="M329" s="423"/>
      <c r="N329" s="423"/>
      <c r="O329" s="423"/>
      <c r="P329" s="423"/>
      <c r="Q329" s="423"/>
      <c r="R329" s="423"/>
      <c r="S329" s="423"/>
      <c r="T329" s="423"/>
      <c r="U329" s="423"/>
      <c r="V329" s="423"/>
      <c r="W329" s="423"/>
      <c r="X329" s="377"/>
      <c r="Y329" s="377"/>
      <c r="Z329" s="377"/>
      <c r="AA329" s="377"/>
      <c r="AB329" s="377"/>
    </row>
    <row r="330">
      <c r="A330" s="390" t="s">
        <v>1086</v>
      </c>
      <c r="B330" s="390" t="s">
        <v>1847</v>
      </c>
      <c r="C330" s="390" t="s">
        <v>1883</v>
      </c>
      <c r="D330" s="427" t="s">
        <v>1551</v>
      </c>
      <c r="E330" s="383">
        <v>9607.88</v>
      </c>
      <c r="F330" s="383">
        <f t="shared" si="72"/>
        <v>7940.396694</v>
      </c>
      <c r="G330" s="414">
        <f t="shared" si="73"/>
        <v>1556.940528</v>
      </c>
      <c r="H330" s="390" t="s">
        <v>1884</v>
      </c>
      <c r="I330" s="422"/>
      <c r="J330" s="423"/>
      <c r="K330" s="423"/>
      <c r="L330" s="440"/>
      <c r="M330" s="423"/>
      <c r="N330" s="423"/>
      <c r="O330" s="423"/>
      <c r="P330" s="423"/>
      <c r="Q330" s="423"/>
      <c r="R330" s="423"/>
      <c r="S330" s="423"/>
      <c r="T330" s="423"/>
      <c r="U330" s="423"/>
      <c r="V330" s="423"/>
      <c r="W330" s="423"/>
      <c r="X330" s="377"/>
      <c r="Y330" s="377"/>
      <c r="Z330" s="377"/>
      <c r="AA330" s="377"/>
      <c r="AB330" s="377"/>
    </row>
    <row r="331" ht="30.0" customHeight="1">
      <c r="A331" s="390" t="s">
        <v>835</v>
      </c>
      <c r="B331" s="390" t="s">
        <v>1847</v>
      </c>
      <c r="C331" s="390" t="s">
        <v>1885</v>
      </c>
      <c r="D331" s="427" t="s">
        <v>1886</v>
      </c>
      <c r="E331" s="383">
        <v>9000.0</v>
      </c>
      <c r="F331" s="383">
        <f t="shared" si="72"/>
        <v>7438.016529</v>
      </c>
      <c r="G331" s="414">
        <f t="shared" si="73"/>
        <v>1458.434614</v>
      </c>
      <c r="H331" s="390" t="s">
        <v>1887</v>
      </c>
      <c r="I331" s="422"/>
      <c r="J331" s="423"/>
      <c r="K331" s="423"/>
      <c r="L331" s="440"/>
      <c r="M331" s="423"/>
      <c r="N331" s="423"/>
      <c r="O331" s="423"/>
      <c r="P331" s="423"/>
      <c r="Q331" s="423"/>
      <c r="R331" s="423"/>
      <c r="S331" s="423"/>
      <c r="T331" s="423"/>
      <c r="U331" s="423"/>
      <c r="V331" s="423"/>
      <c r="W331" s="423"/>
      <c r="X331" s="377"/>
      <c r="Y331" s="377"/>
      <c r="Z331" s="377"/>
      <c r="AA331" s="377"/>
      <c r="AB331" s="377"/>
    </row>
    <row r="332">
      <c r="A332" s="390" t="s">
        <v>835</v>
      </c>
      <c r="B332" s="390" t="s">
        <v>1068</v>
      </c>
      <c r="C332" s="390" t="s">
        <v>1888</v>
      </c>
      <c r="D332" s="427" t="s">
        <v>1889</v>
      </c>
      <c r="E332" s="383">
        <v>14500.0</v>
      </c>
      <c r="F332" s="383">
        <f t="shared" si="72"/>
        <v>11983.47107</v>
      </c>
      <c r="G332" s="414">
        <f t="shared" si="73"/>
        <v>2349.700211</v>
      </c>
      <c r="H332" s="390"/>
      <c r="I332" s="422"/>
      <c r="J332" s="423"/>
      <c r="K332" s="423"/>
      <c r="L332" s="440"/>
      <c r="M332" s="423"/>
      <c r="N332" s="423"/>
      <c r="O332" s="423"/>
      <c r="P332" s="423"/>
      <c r="Q332" s="423"/>
      <c r="R332" s="423"/>
      <c r="S332" s="423"/>
      <c r="T332" s="423"/>
      <c r="U332" s="423"/>
      <c r="V332" s="423"/>
      <c r="W332" s="423"/>
      <c r="X332" s="377"/>
      <c r="Y332" s="377"/>
      <c r="Z332" s="377"/>
      <c r="AA332" s="377"/>
      <c r="AB332" s="377"/>
    </row>
    <row r="333">
      <c r="A333" s="390" t="s">
        <v>826</v>
      </c>
      <c r="B333" s="390" t="s">
        <v>1068</v>
      </c>
      <c r="C333" s="390" t="s">
        <v>1890</v>
      </c>
      <c r="D333" s="427" t="s">
        <v>1891</v>
      </c>
      <c r="E333" s="383">
        <v>2867108.31</v>
      </c>
      <c r="F333" s="383">
        <f t="shared" si="72"/>
        <v>2369511</v>
      </c>
      <c r="G333" s="414">
        <f t="shared" si="73"/>
        <v>464610</v>
      </c>
      <c r="H333" s="390"/>
      <c r="I333" s="422"/>
      <c r="J333" s="423"/>
      <c r="K333" s="423"/>
      <c r="L333" s="440"/>
      <c r="M333" s="423"/>
      <c r="N333" s="423"/>
      <c r="O333" s="423"/>
      <c r="P333" s="423"/>
      <c r="Q333" s="423"/>
      <c r="R333" s="423"/>
      <c r="S333" s="423"/>
      <c r="T333" s="423"/>
      <c r="U333" s="423"/>
      <c r="V333" s="423"/>
      <c r="W333" s="423"/>
      <c r="X333" s="377"/>
      <c r="Y333" s="377"/>
      <c r="Z333" s="377"/>
      <c r="AA333" s="377"/>
      <c r="AB333" s="377"/>
    </row>
    <row r="334">
      <c r="A334" s="390" t="s">
        <v>826</v>
      </c>
      <c r="B334" s="390" t="s">
        <v>1068</v>
      </c>
      <c r="C334" s="390" t="s">
        <v>1892</v>
      </c>
      <c r="D334" s="427" t="s">
        <v>1893</v>
      </c>
      <c r="E334" s="383">
        <v>24992.55</v>
      </c>
      <c r="F334" s="383">
        <f t="shared" si="72"/>
        <v>20655</v>
      </c>
      <c r="G334" s="414">
        <f t="shared" si="73"/>
        <v>4050</v>
      </c>
      <c r="H334" s="390"/>
      <c r="I334" s="422"/>
      <c r="J334" s="423"/>
      <c r="K334" s="423"/>
      <c r="L334" s="440"/>
      <c r="M334" s="423"/>
      <c r="N334" s="423"/>
      <c r="O334" s="423"/>
      <c r="P334" s="423"/>
      <c r="Q334" s="423"/>
      <c r="R334" s="423"/>
      <c r="S334" s="423"/>
      <c r="T334" s="423"/>
      <c r="U334" s="423"/>
      <c r="V334" s="423"/>
      <c r="W334" s="423"/>
      <c r="X334" s="377"/>
      <c r="Y334" s="377"/>
      <c r="Z334" s="377"/>
      <c r="AA334" s="377"/>
      <c r="AB334" s="377"/>
    </row>
    <row r="335">
      <c r="A335" s="390" t="s">
        <v>1086</v>
      </c>
      <c r="B335" s="390" t="s">
        <v>1068</v>
      </c>
      <c r="C335" s="390" t="s">
        <v>1894</v>
      </c>
      <c r="D335" s="427" t="s">
        <v>1522</v>
      </c>
      <c r="E335" s="383">
        <v>5060.22</v>
      </c>
      <c r="F335" s="383">
        <f t="shared" si="72"/>
        <v>4182</v>
      </c>
      <c r="G335" s="414">
        <f t="shared" si="73"/>
        <v>820</v>
      </c>
      <c r="H335" s="390" t="s">
        <v>1895</v>
      </c>
      <c r="I335" s="422"/>
      <c r="J335" s="423"/>
      <c r="K335" s="423"/>
      <c r="L335" s="440"/>
      <c r="M335" s="423"/>
      <c r="N335" s="423"/>
      <c r="O335" s="423"/>
      <c r="P335" s="423"/>
      <c r="Q335" s="423"/>
      <c r="R335" s="423"/>
      <c r="S335" s="423"/>
      <c r="T335" s="423"/>
      <c r="U335" s="423"/>
      <c r="V335" s="423"/>
      <c r="W335" s="423"/>
      <c r="X335" s="377"/>
      <c r="Y335" s="377"/>
      <c r="Z335" s="377"/>
      <c r="AA335" s="377"/>
      <c r="AB335" s="377"/>
    </row>
    <row r="336">
      <c r="A336" s="390" t="s">
        <v>145</v>
      </c>
      <c r="B336" s="390" t="s">
        <v>1068</v>
      </c>
      <c r="C336" s="390" t="s">
        <v>1896</v>
      </c>
      <c r="D336" s="427" t="s">
        <v>1520</v>
      </c>
      <c r="E336" s="383">
        <v>78983.36</v>
      </c>
      <c r="F336" s="383">
        <f t="shared" si="72"/>
        <v>65275.50413</v>
      </c>
      <c r="G336" s="414">
        <f t="shared" si="73"/>
        <v>12799.11846</v>
      </c>
      <c r="H336" s="390" t="s">
        <v>1897</v>
      </c>
      <c r="I336" s="422"/>
      <c r="J336" s="423"/>
      <c r="K336" s="423"/>
      <c r="L336" s="440"/>
      <c r="M336" s="424" t="s">
        <v>1006</v>
      </c>
      <c r="N336" s="423"/>
      <c r="O336" s="423"/>
      <c r="P336" s="423"/>
      <c r="Q336" s="423"/>
      <c r="R336" s="423"/>
      <c r="S336" s="423"/>
      <c r="T336" s="423"/>
      <c r="U336" s="423"/>
      <c r="V336" s="423"/>
      <c r="W336" s="424" t="s">
        <v>1897</v>
      </c>
      <c r="X336" s="377"/>
      <c r="Y336" s="377"/>
      <c r="Z336" s="377"/>
      <c r="AA336" s="377"/>
      <c r="AB336" s="377"/>
    </row>
    <row r="337">
      <c r="A337" s="390" t="s">
        <v>1086</v>
      </c>
      <c r="B337" s="390" t="s">
        <v>1068</v>
      </c>
      <c r="C337" s="390" t="s">
        <v>1898</v>
      </c>
      <c r="D337" s="427" t="s">
        <v>1899</v>
      </c>
      <c r="E337" s="383">
        <v>23342.23</v>
      </c>
      <c r="F337" s="383">
        <f t="shared" si="72"/>
        <v>19291.09917</v>
      </c>
      <c r="G337" s="414">
        <f t="shared" si="73"/>
        <v>3782.568465</v>
      </c>
      <c r="H337" s="390" t="s">
        <v>1523</v>
      </c>
      <c r="I337" s="422"/>
      <c r="J337" s="423"/>
      <c r="K337" s="423"/>
      <c r="L337" s="440"/>
      <c r="M337" s="423"/>
      <c r="N337" s="423"/>
      <c r="O337" s="423"/>
      <c r="P337" s="423"/>
      <c r="Q337" s="423"/>
      <c r="R337" s="423"/>
      <c r="S337" s="423"/>
      <c r="T337" s="423"/>
      <c r="U337" s="423"/>
      <c r="V337" s="423"/>
      <c r="W337" s="423"/>
      <c r="X337" s="377"/>
      <c r="Y337" s="377"/>
      <c r="Z337" s="377"/>
      <c r="AA337" s="377"/>
      <c r="AB337" s="377"/>
    </row>
    <row r="338">
      <c r="A338" s="390" t="s">
        <v>835</v>
      </c>
      <c r="B338" s="390" t="s">
        <v>1068</v>
      </c>
      <c r="C338" s="390" t="s">
        <v>1900</v>
      </c>
      <c r="D338" s="427" t="s">
        <v>210</v>
      </c>
      <c r="E338" s="383">
        <v>65706.22</v>
      </c>
      <c r="F338" s="383">
        <f t="shared" si="72"/>
        <v>54302.66116</v>
      </c>
      <c r="G338" s="414">
        <f t="shared" si="73"/>
        <v>10647.58062</v>
      </c>
      <c r="H338" s="390"/>
      <c r="I338" s="422"/>
      <c r="J338" s="423"/>
      <c r="K338" s="423"/>
      <c r="L338" s="440"/>
      <c r="M338" s="423"/>
      <c r="N338" s="423"/>
      <c r="O338" s="423"/>
      <c r="P338" s="423"/>
      <c r="Q338" s="423"/>
      <c r="R338" s="423"/>
      <c r="S338" s="423"/>
      <c r="T338" s="423"/>
      <c r="U338" s="423"/>
      <c r="V338" s="423"/>
      <c r="W338" s="423"/>
      <c r="X338" s="377"/>
      <c r="Y338" s="377"/>
      <c r="Z338" s="377"/>
      <c r="AA338" s="377"/>
      <c r="AB338" s="377"/>
    </row>
    <row r="339">
      <c r="A339" s="443" t="s">
        <v>835</v>
      </c>
      <c r="B339" s="390" t="s">
        <v>1068</v>
      </c>
      <c r="C339" s="390" t="s">
        <v>1901</v>
      </c>
      <c r="D339" s="427" t="s">
        <v>1902</v>
      </c>
      <c r="E339" s="383">
        <v>66218.03</v>
      </c>
      <c r="F339" s="383">
        <f t="shared" si="72"/>
        <v>54725.64463</v>
      </c>
      <c r="G339" s="414">
        <f t="shared" si="73"/>
        <v>10730.51855</v>
      </c>
      <c r="H339" s="390"/>
      <c r="I339" s="422"/>
      <c r="J339" s="423"/>
      <c r="K339" s="423"/>
      <c r="L339" s="440"/>
      <c r="M339" s="423"/>
      <c r="N339" s="423"/>
      <c r="O339" s="423"/>
      <c r="P339" s="423"/>
      <c r="Q339" s="423"/>
      <c r="R339" s="423"/>
      <c r="S339" s="423"/>
      <c r="T339" s="423"/>
      <c r="U339" s="423"/>
      <c r="V339" s="423"/>
      <c r="W339" s="423"/>
      <c r="X339" s="377"/>
      <c r="Y339" s="377"/>
      <c r="Z339" s="377"/>
      <c r="AA339" s="377"/>
      <c r="AB339" s="377"/>
    </row>
    <row r="340">
      <c r="A340" s="390" t="s">
        <v>835</v>
      </c>
      <c r="B340" s="390" t="s">
        <v>1068</v>
      </c>
      <c r="C340" s="390" t="s">
        <v>1903</v>
      </c>
      <c r="D340" s="427" t="s">
        <v>1904</v>
      </c>
      <c r="E340" s="383">
        <v>5000.0</v>
      </c>
      <c r="F340" s="383">
        <f t="shared" si="72"/>
        <v>4132.231405</v>
      </c>
      <c r="G340" s="414">
        <f t="shared" si="73"/>
        <v>810.241452</v>
      </c>
      <c r="H340" s="390"/>
      <c r="I340" s="422"/>
      <c r="J340" s="423"/>
      <c r="K340" s="423"/>
      <c r="L340" s="440"/>
      <c r="M340" s="423"/>
      <c r="N340" s="423"/>
      <c r="O340" s="423"/>
      <c r="P340" s="423"/>
      <c r="Q340" s="423"/>
      <c r="R340" s="423"/>
      <c r="S340" s="423"/>
      <c r="T340" s="423"/>
      <c r="U340" s="423"/>
      <c r="V340" s="423"/>
      <c r="W340" s="423"/>
      <c r="X340" s="377"/>
      <c r="Y340" s="377"/>
      <c r="Z340" s="377"/>
      <c r="AA340" s="377"/>
      <c r="AB340" s="377"/>
    </row>
    <row r="341">
      <c r="A341" s="443" t="s">
        <v>835</v>
      </c>
      <c r="B341" s="390" t="s">
        <v>1068</v>
      </c>
      <c r="C341" s="390" t="s">
        <v>1905</v>
      </c>
      <c r="D341" s="427" t="s">
        <v>1906</v>
      </c>
      <c r="E341" s="383">
        <v>3500.0</v>
      </c>
      <c r="F341" s="383">
        <f t="shared" si="72"/>
        <v>2892.561983</v>
      </c>
      <c r="G341" s="414">
        <f t="shared" si="73"/>
        <v>567.1690164</v>
      </c>
      <c r="H341" s="390"/>
      <c r="I341" s="422"/>
      <c r="J341" s="423"/>
      <c r="K341" s="423"/>
      <c r="L341" s="440"/>
      <c r="M341" s="423"/>
      <c r="N341" s="423"/>
      <c r="O341" s="423"/>
      <c r="P341" s="423"/>
      <c r="Q341" s="423"/>
      <c r="R341" s="423"/>
      <c r="S341" s="423"/>
      <c r="T341" s="423"/>
      <c r="U341" s="423"/>
      <c r="V341" s="423"/>
      <c r="W341" s="423"/>
      <c r="X341" s="377"/>
      <c r="Y341" s="377"/>
      <c r="Z341" s="377"/>
      <c r="AA341" s="377"/>
      <c r="AB341" s="377"/>
    </row>
    <row r="342">
      <c r="A342" s="445" t="s">
        <v>835</v>
      </c>
      <c r="B342" s="390" t="s">
        <v>1068</v>
      </c>
      <c r="C342" s="390" t="s">
        <v>1907</v>
      </c>
      <c r="D342" s="427" t="s">
        <v>1908</v>
      </c>
      <c r="E342" s="383">
        <v>46591.0</v>
      </c>
      <c r="F342" s="383">
        <f t="shared" si="72"/>
        <v>38504.95868</v>
      </c>
      <c r="G342" s="414">
        <f t="shared" si="73"/>
        <v>7549.991898</v>
      </c>
      <c r="H342" s="390"/>
      <c r="I342" s="422"/>
      <c r="J342" s="423"/>
      <c r="K342" s="423"/>
      <c r="L342" s="440"/>
      <c r="M342" s="423"/>
      <c r="N342" s="423"/>
      <c r="O342" s="423"/>
      <c r="P342" s="423"/>
      <c r="Q342" s="423"/>
      <c r="R342" s="423"/>
      <c r="S342" s="423"/>
      <c r="T342" s="423"/>
      <c r="U342" s="423"/>
      <c r="V342" s="423"/>
      <c r="W342" s="423"/>
      <c r="X342" s="377"/>
      <c r="Y342" s="377"/>
      <c r="Z342" s="377"/>
      <c r="AA342" s="377"/>
      <c r="AB342" s="377"/>
    </row>
    <row r="343">
      <c r="A343" s="390" t="s">
        <v>835</v>
      </c>
      <c r="B343" s="390" t="s">
        <v>1068</v>
      </c>
      <c r="C343" s="390" t="s">
        <v>1909</v>
      </c>
      <c r="D343" s="427" t="s">
        <v>1910</v>
      </c>
      <c r="E343" s="383">
        <v>47247.63</v>
      </c>
      <c r="F343" s="383">
        <f t="shared" si="72"/>
        <v>39047.6281</v>
      </c>
      <c r="G343" s="414">
        <f t="shared" si="73"/>
        <v>7656.397667</v>
      </c>
      <c r="H343" s="390"/>
      <c r="I343" s="422"/>
      <c r="J343" s="423"/>
      <c r="K343" s="423"/>
      <c r="L343" s="440"/>
      <c r="M343" s="423"/>
      <c r="N343" s="423"/>
      <c r="O343" s="423"/>
      <c r="P343" s="423"/>
      <c r="Q343" s="423"/>
      <c r="R343" s="423"/>
      <c r="S343" s="423"/>
      <c r="T343" s="423"/>
      <c r="U343" s="423"/>
      <c r="V343" s="423"/>
      <c r="W343" s="423"/>
      <c r="X343" s="377"/>
      <c r="Y343" s="377"/>
      <c r="Z343" s="377"/>
      <c r="AA343" s="377"/>
      <c r="AB343" s="377"/>
    </row>
    <row r="344">
      <c r="A344" s="390" t="s">
        <v>835</v>
      </c>
      <c r="B344" s="390" t="s">
        <v>1068</v>
      </c>
      <c r="C344" s="390" t="s">
        <v>1911</v>
      </c>
      <c r="D344" s="427" t="s">
        <v>1912</v>
      </c>
      <c r="E344" s="383">
        <v>37070.42</v>
      </c>
      <c r="F344" s="383">
        <f t="shared" si="72"/>
        <v>30636.71074</v>
      </c>
      <c r="G344" s="414">
        <f t="shared" si="73"/>
        <v>6007.198185</v>
      </c>
      <c r="H344" s="390"/>
      <c r="I344" s="422"/>
      <c r="J344" s="423"/>
      <c r="K344" s="423"/>
      <c r="L344" s="440"/>
      <c r="M344" s="423"/>
      <c r="N344" s="423"/>
      <c r="O344" s="423"/>
      <c r="P344" s="423"/>
      <c r="Q344" s="423"/>
      <c r="R344" s="423"/>
      <c r="S344" s="423"/>
      <c r="T344" s="423"/>
      <c r="U344" s="423"/>
      <c r="V344" s="423"/>
      <c r="W344" s="423"/>
      <c r="X344" s="377"/>
      <c r="Y344" s="377"/>
      <c r="Z344" s="377"/>
      <c r="AA344" s="377"/>
      <c r="AB344" s="377"/>
    </row>
    <row r="345">
      <c r="A345" s="390" t="s">
        <v>835</v>
      </c>
      <c r="B345" s="390" t="s">
        <v>1068</v>
      </c>
      <c r="C345" s="390" t="s">
        <v>1913</v>
      </c>
      <c r="D345" s="427" t="s">
        <v>1914</v>
      </c>
      <c r="E345" s="383">
        <v>37745.43</v>
      </c>
      <c r="F345" s="383">
        <f t="shared" si="72"/>
        <v>31194.57025</v>
      </c>
      <c r="G345" s="414">
        <f t="shared" si="73"/>
        <v>6116.582402</v>
      </c>
      <c r="H345" s="390"/>
      <c r="I345" s="422"/>
      <c r="J345" s="423"/>
      <c r="K345" s="423"/>
      <c r="L345" s="440"/>
      <c r="M345" s="423"/>
      <c r="N345" s="423"/>
      <c r="O345" s="423"/>
      <c r="P345" s="423"/>
      <c r="Q345" s="423"/>
      <c r="R345" s="423"/>
      <c r="S345" s="423"/>
      <c r="T345" s="423"/>
      <c r="U345" s="423"/>
      <c r="V345" s="423"/>
      <c r="W345" s="423"/>
      <c r="X345" s="377"/>
      <c r="Y345" s="377"/>
      <c r="Z345" s="377"/>
      <c r="AA345" s="377"/>
      <c r="AB345" s="377"/>
    </row>
    <row r="346">
      <c r="A346" s="390" t="s">
        <v>145</v>
      </c>
      <c r="B346" s="390" t="s">
        <v>1068</v>
      </c>
      <c r="C346" s="390" t="s">
        <v>1915</v>
      </c>
      <c r="D346" s="427" t="s">
        <v>1916</v>
      </c>
      <c r="E346" s="383">
        <v>4961.97</v>
      </c>
      <c r="F346" s="383">
        <f t="shared" si="72"/>
        <v>4100.801653</v>
      </c>
      <c r="G346" s="414">
        <f t="shared" si="73"/>
        <v>804.0787555</v>
      </c>
      <c r="H346" s="390" t="s">
        <v>1917</v>
      </c>
      <c r="I346" s="422"/>
      <c r="J346" s="423"/>
      <c r="K346" s="423"/>
      <c r="L346" s="440"/>
      <c r="M346" s="424" t="s">
        <v>1006</v>
      </c>
      <c r="N346" s="423"/>
      <c r="O346" s="423"/>
      <c r="P346" s="423"/>
      <c r="Q346" s="423"/>
      <c r="R346" s="423"/>
      <c r="S346" s="423"/>
      <c r="T346" s="423"/>
      <c r="U346" s="423"/>
      <c r="V346" s="423"/>
      <c r="W346" s="424" t="s">
        <v>1918</v>
      </c>
      <c r="X346" s="377"/>
      <c r="Y346" s="377"/>
      <c r="Z346" s="377"/>
      <c r="AA346" s="377"/>
      <c r="AB346" s="377"/>
    </row>
    <row r="347">
      <c r="A347" s="390" t="s">
        <v>1086</v>
      </c>
      <c r="B347" s="390" t="s">
        <v>1068</v>
      </c>
      <c r="C347" s="390" t="s">
        <v>1919</v>
      </c>
      <c r="D347" s="427" t="s">
        <v>1508</v>
      </c>
      <c r="E347" s="383">
        <v>4665.28</v>
      </c>
      <c r="F347" s="383">
        <f t="shared" si="72"/>
        <v>3855.603306</v>
      </c>
      <c r="G347" s="414">
        <f t="shared" si="73"/>
        <v>756.0006482</v>
      </c>
      <c r="H347" s="390" t="s">
        <v>1920</v>
      </c>
      <c r="I347" s="422"/>
      <c r="J347" s="423"/>
      <c r="K347" s="423"/>
      <c r="L347" s="440"/>
      <c r="M347" s="423"/>
      <c r="N347" s="423"/>
      <c r="O347" s="423"/>
      <c r="P347" s="423"/>
      <c r="Q347" s="423"/>
      <c r="R347" s="423"/>
      <c r="S347" s="423"/>
      <c r="T347" s="423"/>
      <c r="U347" s="423"/>
      <c r="V347" s="423"/>
      <c r="W347" s="423"/>
      <c r="X347" s="377"/>
      <c r="Y347" s="377"/>
      <c r="Z347" s="377"/>
      <c r="AA347" s="377"/>
      <c r="AB347" s="377"/>
    </row>
    <row r="348">
      <c r="A348" s="390" t="s">
        <v>1086</v>
      </c>
      <c r="B348" s="390" t="s">
        <v>1068</v>
      </c>
      <c r="C348" s="390" t="s">
        <v>1921</v>
      </c>
      <c r="D348" s="427" t="s">
        <v>1922</v>
      </c>
      <c r="E348" s="383">
        <v>11380.19</v>
      </c>
      <c r="F348" s="383">
        <f t="shared" si="72"/>
        <v>9405.115702</v>
      </c>
      <c r="G348" s="414">
        <f t="shared" si="73"/>
        <v>1844.140334</v>
      </c>
      <c r="H348" s="390" t="s">
        <v>1745</v>
      </c>
      <c r="I348" s="422"/>
      <c r="J348" s="423"/>
      <c r="K348" s="423"/>
      <c r="L348" s="440"/>
      <c r="M348" s="423"/>
      <c r="N348" s="423"/>
      <c r="O348" s="423"/>
      <c r="P348" s="423"/>
      <c r="Q348" s="423"/>
      <c r="R348" s="423"/>
      <c r="S348" s="423"/>
      <c r="T348" s="423"/>
      <c r="U348" s="423"/>
      <c r="V348" s="423"/>
      <c r="W348" s="423"/>
      <c r="X348" s="377"/>
      <c r="Y348" s="377"/>
      <c r="Z348" s="377"/>
      <c r="AA348" s="377"/>
      <c r="AB348" s="377"/>
    </row>
    <row r="349">
      <c r="A349" s="443" t="s">
        <v>835</v>
      </c>
      <c r="B349" s="390" t="s">
        <v>1068</v>
      </c>
      <c r="C349" s="390" t="s">
        <v>1923</v>
      </c>
      <c r="D349" s="427" t="s">
        <v>1924</v>
      </c>
      <c r="E349" s="383">
        <v>25719.57</v>
      </c>
      <c r="F349" s="383">
        <f t="shared" si="72"/>
        <v>21255.84298</v>
      </c>
      <c r="G349" s="414">
        <f t="shared" si="73"/>
        <v>4167.812348</v>
      </c>
      <c r="H349" s="390"/>
      <c r="I349" s="422"/>
      <c r="J349" s="423"/>
      <c r="K349" s="423"/>
      <c r="L349" s="440"/>
      <c r="M349" s="423"/>
      <c r="N349" s="423"/>
      <c r="O349" s="423"/>
      <c r="P349" s="423"/>
      <c r="Q349" s="423"/>
      <c r="R349" s="423"/>
      <c r="S349" s="423"/>
      <c r="T349" s="423"/>
      <c r="U349" s="423"/>
      <c r="V349" s="423"/>
      <c r="W349" s="423"/>
      <c r="X349" s="377"/>
      <c r="Y349" s="377"/>
      <c r="Z349" s="377"/>
      <c r="AA349" s="377"/>
      <c r="AB349" s="377"/>
    </row>
    <row r="350">
      <c r="A350" s="390" t="s">
        <v>145</v>
      </c>
      <c r="B350" s="390" t="s">
        <v>1068</v>
      </c>
      <c r="C350" s="390" t="s">
        <v>1925</v>
      </c>
      <c r="D350" s="427" t="s">
        <v>1926</v>
      </c>
      <c r="E350" s="383">
        <v>1200.0</v>
      </c>
      <c r="F350" s="383">
        <f t="shared" si="72"/>
        <v>991.7355372</v>
      </c>
      <c r="G350" s="414">
        <f t="shared" si="73"/>
        <v>194.4579485</v>
      </c>
      <c r="H350" s="390" t="s">
        <v>1927</v>
      </c>
      <c r="I350" s="422"/>
      <c r="J350" s="423"/>
      <c r="K350" s="423"/>
      <c r="L350" s="440"/>
      <c r="M350" s="424" t="s">
        <v>1006</v>
      </c>
      <c r="N350" s="423"/>
      <c r="O350" s="423"/>
      <c r="P350" s="423"/>
      <c r="Q350" s="423"/>
      <c r="R350" s="423"/>
      <c r="S350" s="423"/>
      <c r="T350" s="423"/>
      <c r="U350" s="423"/>
      <c r="V350" s="423"/>
      <c r="W350" s="424" t="s">
        <v>1918</v>
      </c>
      <c r="X350" s="377"/>
      <c r="Y350" s="377"/>
      <c r="Z350" s="377"/>
      <c r="AA350" s="377"/>
      <c r="AB350" s="377"/>
    </row>
    <row r="351">
      <c r="A351" s="390" t="s">
        <v>826</v>
      </c>
      <c r="B351" s="390" t="s">
        <v>1928</v>
      </c>
      <c r="C351" s="390" t="s">
        <v>1929</v>
      </c>
      <c r="D351" s="427" t="s">
        <v>1930</v>
      </c>
      <c r="E351" s="383">
        <v>5973651.42</v>
      </c>
      <c r="F351" s="383">
        <f t="shared" si="72"/>
        <v>4936902</v>
      </c>
      <c r="G351" s="414">
        <f t="shared" si="73"/>
        <v>968020</v>
      </c>
      <c r="H351" s="390" t="s">
        <v>1931</v>
      </c>
      <c r="I351" s="422"/>
      <c r="J351" s="423"/>
      <c r="K351" s="423"/>
      <c r="L351" s="440"/>
      <c r="M351" s="423"/>
      <c r="N351" s="423"/>
      <c r="O351" s="423"/>
      <c r="P351" s="423"/>
      <c r="Q351" s="423"/>
      <c r="R351" s="423"/>
      <c r="S351" s="423"/>
      <c r="T351" s="423"/>
      <c r="U351" s="423"/>
      <c r="V351" s="423"/>
      <c r="W351" s="423"/>
      <c r="X351" s="377"/>
      <c r="Y351" s="377"/>
      <c r="Z351" s="377"/>
      <c r="AA351" s="377"/>
      <c r="AB351" s="377"/>
    </row>
    <row r="352">
      <c r="A352" s="390" t="s">
        <v>826</v>
      </c>
      <c r="B352" s="390" t="s">
        <v>1068</v>
      </c>
      <c r="C352" s="390" t="s">
        <v>1932</v>
      </c>
      <c r="D352" s="427" t="s">
        <v>1933</v>
      </c>
      <c r="E352" s="383">
        <v>1043729.83</v>
      </c>
      <c r="F352" s="383">
        <f t="shared" si="72"/>
        <v>862586.6364</v>
      </c>
      <c r="G352" s="414">
        <f t="shared" si="73"/>
        <v>169134.6346</v>
      </c>
      <c r="H352" s="390" t="s">
        <v>1934</v>
      </c>
      <c r="I352" s="422"/>
      <c r="J352" s="423"/>
      <c r="K352" s="423"/>
      <c r="L352" s="440"/>
      <c r="M352" s="423"/>
      <c r="N352" s="423"/>
      <c r="O352" s="423"/>
      <c r="P352" s="423"/>
      <c r="Q352" s="423"/>
      <c r="R352" s="423"/>
      <c r="S352" s="423"/>
      <c r="T352" s="423"/>
      <c r="U352" s="423"/>
      <c r="V352" s="423"/>
      <c r="W352" s="423"/>
      <c r="X352" s="377"/>
      <c r="Y352" s="377"/>
      <c r="Z352" s="377"/>
      <c r="AA352" s="377"/>
      <c r="AB352" s="377"/>
    </row>
    <row r="353">
      <c r="A353" s="390" t="s">
        <v>155</v>
      </c>
      <c r="B353" s="390" t="s">
        <v>1068</v>
      </c>
      <c r="C353" s="390" t="s">
        <v>1935</v>
      </c>
      <c r="D353" s="427" t="s">
        <v>1936</v>
      </c>
      <c r="E353" s="383">
        <v>6988.65</v>
      </c>
      <c r="F353" s="383">
        <f t="shared" si="72"/>
        <v>5775.743802</v>
      </c>
      <c r="G353" s="414">
        <f t="shared" si="73"/>
        <v>1132.498785</v>
      </c>
      <c r="H353" s="390" t="s">
        <v>1937</v>
      </c>
      <c r="I353" s="422"/>
      <c r="J353" s="423"/>
      <c r="K353" s="423"/>
      <c r="L353" s="440"/>
      <c r="M353" s="423"/>
      <c r="N353" s="423"/>
      <c r="O353" s="423"/>
      <c r="P353" s="423"/>
      <c r="Q353" s="423"/>
      <c r="R353" s="423"/>
      <c r="S353" s="423"/>
      <c r="T353" s="423"/>
      <c r="U353" s="423"/>
      <c r="V353" s="423"/>
      <c r="W353" s="423"/>
      <c r="X353" s="377"/>
      <c r="Y353" s="377"/>
      <c r="Z353" s="377"/>
      <c r="AA353" s="377"/>
      <c r="AB353" s="377"/>
    </row>
    <row r="354">
      <c r="A354" s="390" t="s">
        <v>155</v>
      </c>
      <c r="B354" s="390" t="s">
        <v>1068</v>
      </c>
      <c r="C354" s="390" t="s">
        <v>1938</v>
      </c>
      <c r="D354" s="427" t="s">
        <v>1184</v>
      </c>
      <c r="E354" s="383">
        <v>438141.0</v>
      </c>
      <c r="F354" s="383">
        <f t="shared" si="72"/>
        <v>362100</v>
      </c>
      <c r="G354" s="414">
        <f t="shared" si="73"/>
        <v>71000</v>
      </c>
      <c r="H354" s="390" t="s">
        <v>1939</v>
      </c>
      <c r="I354" s="422"/>
      <c r="J354" s="423"/>
      <c r="K354" s="423"/>
      <c r="L354" s="440"/>
      <c r="M354" s="423"/>
      <c r="N354" s="423"/>
      <c r="O354" s="423"/>
      <c r="P354" s="423"/>
      <c r="Q354" s="423"/>
      <c r="R354" s="423"/>
      <c r="S354" s="423"/>
      <c r="T354" s="423"/>
      <c r="U354" s="423"/>
      <c r="V354" s="423"/>
      <c r="W354" s="423"/>
      <c r="X354" s="377"/>
      <c r="Y354" s="377"/>
      <c r="Z354" s="377"/>
      <c r="AA354" s="377"/>
      <c r="AB354" s="377"/>
    </row>
    <row r="355">
      <c r="A355" s="390" t="s">
        <v>1086</v>
      </c>
      <c r="B355" s="390" t="s">
        <v>1068</v>
      </c>
      <c r="C355" s="390" t="s">
        <v>1940</v>
      </c>
      <c r="D355" s="427" t="s">
        <v>1941</v>
      </c>
      <c r="E355" s="383">
        <v>29805.93</v>
      </c>
      <c r="F355" s="383">
        <f t="shared" si="72"/>
        <v>24633</v>
      </c>
      <c r="G355" s="414">
        <f t="shared" si="73"/>
        <v>4830</v>
      </c>
      <c r="H355" s="390" t="s">
        <v>1523</v>
      </c>
      <c r="I355" s="422"/>
      <c r="J355" s="423"/>
      <c r="K355" s="423"/>
      <c r="L355" s="440"/>
      <c r="M355" s="423"/>
      <c r="N355" s="423"/>
      <c r="O355" s="423"/>
      <c r="P355" s="423"/>
      <c r="Q355" s="423"/>
      <c r="R355" s="423"/>
      <c r="S355" s="423"/>
      <c r="T355" s="423"/>
      <c r="U355" s="423"/>
      <c r="V355" s="423"/>
      <c r="W355" s="423"/>
      <c r="X355" s="377"/>
      <c r="Y355" s="377"/>
      <c r="Z355" s="377"/>
      <c r="AA355" s="377"/>
      <c r="AB355" s="377"/>
    </row>
    <row r="356">
      <c r="A356" s="390" t="s">
        <v>1086</v>
      </c>
      <c r="B356" s="390" t="s">
        <v>1068</v>
      </c>
      <c r="C356" s="390" t="s">
        <v>1942</v>
      </c>
      <c r="D356" s="427" t="s">
        <v>1943</v>
      </c>
      <c r="E356" s="383">
        <v>39000.0</v>
      </c>
      <c r="F356" s="383">
        <f t="shared" si="72"/>
        <v>32231.40496</v>
      </c>
      <c r="G356" s="414">
        <f t="shared" si="73"/>
        <v>6319.883325</v>
      </c>
      <c r="H356" s="390" t="s">
        <v>1944</v>
      </c>
      <c r="I356" s="422"/>
      <c r="J356" s="423"/>
      <c r="K356" s="423"/>
      <c r="L356" s="440"/>
      <c r="M356" s="423"/>
      <c r="N356" s="423"/>
      <c r="O356" s="423"/>
      <c r="P356" s="423"/>
      <c r="Q356" s="423"/>
      <c r="R356" s="423"/>
      <c r="S356" s="423"/>
      <c r="T356" s="423"/>
      <c r="U356" s="423"/>
      <c r="V356" s="423"/>
      <c r="W356" s="423"/>
      <c r="X356" s="377"/>
      <c r="Y356" s="377"/>
      <c r="Z356" s="377"/>
      <c r="AA356" s="377"/>
      <c r="AB356" s="377"/>
    </row>
    <row r="357">
      <c r="A357" s="390" t="s">
        <v>835</v>
      </c>
      <c r="B357" s="390" t="s">
        <v>1068</v>
      </c>
      <c r="C357" s="390" t="s">
        <v>1945</v>
      </c>
      <c r="D357" s="427" t="s">
        <v>283</v>
      </c>
      <c r="E357" s="383">
        <v>53363.17</v>
      </c>
      <c r="F357" s="383">
        <f t="shared" si="72"/>
        <v>44101.79339</v>
      </c>
      <c r="G357" s="414">
        <f t="shared" si="73"/>
        <v>8647.410468</v>
      </c>
      <c r="H357" s="390" t="s">
        <v>1946</v>
      </c>
      <c r="I357" s="422"/>
      <c r="J357" s="423"/>
      <c r="K357" s="423"/>
      <c r="L357" s="440"/>
      <c r="M357" s="423"/>
      <c r="N357" s="423"/>
      <c r="O357" s="423"/>
      <c r="P357" s="423"/>
      <c r="Q357" s="423"/>
      <c r="R357" s="423"/>
      <c r="S357" s="423"/>
      <c r="T357" s="423"/>
      <c r="U357" s="423"/>
      <c r="V357" s="423"/>
      <c r="W357" s="423"/>
      <c r="X357" s="377"/>
      <c r="Y357" s="377"/>
      <c r="Z357" s="377"/>
      <c r="AA357" s="377"/>
      <c r="AB357" s="377"/>
    </row>
    <row r="358">
      <c r="A358" s="443" t="s">
        <v>835</v>
      </c>
      <c r="B358" s="390" t="s">
        <v>1068</v>
      </c>
      <c r="C358" s="390" t="s">
        <v>1947</v>
      </c>
      <c r="D358" s="427" t="s">
        <v>1948</v>
      </c>
      <c r="E358" s="383">
        <v>51846.85</v>
      </c>
      <c r="F358" s="383">
        <f t="shared" si="72"/>
        <v>42848.63636</v>
      </c>
      <c r="G358" s="414">
        <f t="shared" si="73"/>
        <v>8401.693405</v>
      </c>
      <c r="H358" s="390"/>
      <c r="I358" s="422"/>
      <c r="J358" s="423"/>
      <c r="K358" s="423"/>
      <c r="L358" s="440"/>
      <c r="M358" s="423"/>
      <c r="N358" s="423"/>
      <c r="O358" s="423"/>
      <c r="P358" s="423"/>
      <c r="Q358" s="423"/>
      <c r="R358" s="423"/>
      <c r="S358" s="423"/>
      <c r="T358" s="423"/>
      <c r="U358" s="423"/>
      <c r="V358" s="423"/>
      <c r="W358" s="423"/>
      <c r="X358" s="377"/>
      <c r="Y358" s="377"/>
      <c r="Z358" s="377"/>
      <c r="AA358" s="377"/>
      <c r="AB358" s="377"/>
    </row>
    <row r="359">
      <c r="A359" s="443" t="s">
        <v>835</v>
      </c>
      <c r="B359" s="390" t="s">
        <v>1068</v>
      </c>
      <c r="C359" s="390" t="s">
        <v>1949</v>
      </c>
      <c r="D359" s="427" t="s">
        <v>1950</v>
      </c>
      <c r="E359" s="383">
        <v>40849.52</v>
      </c>
      <c r="F359" s="383">
        <f t="shared" si="72"/>
        <v>33759.93388</v>
      </c>
      <c r="G359" s="414">
        <f t="shared" si="73"/>
        <v>6619.594879</v>
      </c>
      <c r="H359" s="390"/>
      <c r="I359" s="422"/>
      <c r="J359" s="423"/>
      <c r="K359" s="423"/>
      <c r="L359" s="440"/>
      <c r="M359" s="423"/>
      <c r="N359" s="423"/>
      <c r="O359" s="423"/>
      <c r="P359" s="423"/>
      <c r="Q359" s="423"/>
      <c r="R359" s="423"/>
      <c r="S359" s="423"/>
      <c r="T359" s="423"/>
      <c r="U359" s="423"/>
      <c r="V359" s="423"/>
      <c r="W359" s="423"/>
      <c r="X359" s="377"/>
      <c r="Y359" s="377"/>
      <c r="Z359" s="377"/>
      <c r="AA359" s="377"/>
      <c r="AB359" s="377"/>
    </row>
    <row r="360">
      <c r="A360" s="443" t="s">
        <v>835</v>
      </c>
      <c r="B360" s="390" t="s">
        <v>1068</v>
      </c>
      <c r="C360" s="390" t="s">
        <v>1951</v>
      </c>
      <c r="D360" s="427" t="s">
        <v>1952</v>
      </c>
      <c r="E360" s="383">
        <v>3545.0</v>
      </c>
      <c r="F360" s="383">
        <f t="shared" si="72"/>
        <v>2929.752066</v>
      </c>
      <c r="G360" s="414">
        <f t="shared" si="73"/>
        <v>574.4611894</v>
      </c>
      <c r="H360" s="390"/>
      <c r="I360" s="422"/>
      <c r="J360" s="423"/>
      <c r="K360" s="423"/>
      <c r="L360" s="440"/>
      <c r="M360" s="423"/>
      <c r="N360" s="423"/>
      <c r="O360" s="423"/>
      <c r="P360" s="423"/>
      <c r="Q360" s="423"/>
      <c r="R360" s="423"/>
      <c r="S360" s="423"/>
      <c r="T360" s="423"/>
      <c r="U360" s="423"/>
      <c r="V360" s="423"/>
      <c r="W360" s="423"/>
      <c r="X360" s="377"/>
      <c r="Y360" s="377"/>
      <c r="Z360" s="377"/>
      <c r="AA360" s="377"/>
      <c r="AB360" s="377"/>
    </row>
    <row r="361">
      <c r="A361" s="390" t="s">
        <v>1086</v>
      </c>
      <c r="B361" s="390" t="s">
        <v>1068</v>
      </c>
      <c r="C361" s="390" t="s">
        <v>1953</v>
      </c>
      <c r="D361" s="427" t="s">
        <v>1376</v>
      </c>
      <c r="E361" s="383">
        <v>11354.64</v>
      </c>
      <c r="F361" s="383">
        <f t="shared" si="72"/>
        <v>9384</v>
      </c>
      <c r="G361" s="414">
        <f t="shared" si="73"/>
        <v>1840</v>
      </c>
      <c r="H361" s="390" t="s">
        <v>1954</v>
      </c>
      <c r="I361" s="422"/>
      <c r="J361" s="423"/>
      <c r="K361" s="423"/>
      <c r="L361" s="440"/>
      <c r="M361" s="423"/>
      <c r="N361" s="423"/>
      <c r="O361" s="423"/>
      <c r="P361" s="423"/>
      <c r="Q361" s="423"/>
      <c r="R361" s="423"/>
      <c r="S361" s="423"/>
      <c r="T361" s="423"/>
      <c r="U361" s="423"/>
      <c r="V361" s="423"/>
      <c r="W361" s="423"/>
      <c r="X361" s="377"/>
      <c r="Y361" s="377"/>
      <c r="Z361" s="377"/>
      <c r="AA361" s="377"/>
      <c r="AB361" s="377"/>
    </row>
    <row r="362">
      <c r="A362" s="390" t="s">
        <v>1086</v>
      </c>
      <c r="B362" s="390" t="s">
        <v>1068</v>
      </c>
      <c r="C362" s="390" t="s">
        <v>1955</v>
      </c>
      <c r="D362" s="427" t="s">
        <v>1956</v>
      </c>
      <c r="E362" s="383">
        <v>71842.78</v>
      </c>
      <c r="F362" s="383">
        <f t="shared" si="72"/>
        <v>59374.19835</v>
      </c>
      <c r="G362" s="414">
        <f t="shared" si="73"/>
        <v>11641.99968</v>
      </c>
      <c r="H362" s="390" t="s">
        <v>1957</v>
      </c>
      <c r="I362" s="422"/>
      <c r="J362" s="423"/>
      <c r="K362" s="423"/>
      <c r="L362" s="440"/>
      <c r="M362" s="423"/>
      <c r="N362" s="423"/>
      <c r="O362" s="423"/>
      <c r="P362" s="423"/>
      <c r="Q362" s="423"/>
      <c r="R362" s="423"/>
      <c r="S362" s="423"/>
      <c r="T362" s="423"/>
      <c r="U362" s="423"/>
      <c r="V362" s="423"/>
      <c r="W362" s="423"/>
      <c r="X362" s="377"/>
      <c r="Y362" s="377"/>
      <c r="Z362" s="377"/>
      <c r="AA362" s="377"/>
      <c r="AB362" s="377"/>
    </row>
    <row r="363">
      <c r="A363" s="443" t="s">
        <v>835</v>
      </c>
      <c r="B363" s="390" t="s">
        <v>1068</v>
      </c>
      <c r="C363" s="390" t="s">
        <v>1958</v>
      </c>
      <c r="D363" s="427" t="s">
        <v>1959</v>
      </c>
      <c r="E363" s="383">
        <v>25500.0</v>
      </c>
      <c r="F363" s="383">
        <f t="shared" si="72"/>
        <v>21074.38017</v>
      </c>
      <c r="G363" s="414">
        <f t="shared" si="73"/>
        <v>4132.231405</v>
      </c>
      <c r="H363" s="390"/>
      <c r="I363" s="422"/>
      <c r="J363" s="423"/>
      <c r="K363" s="423"/>
      <c r="L363" s="440"/>
      <c r="M363" s="423"/>
      <c r="N363" s="423"/>
      <c r="O363" s="423"/>
      <c r="P363" s="423"/>
      <c r="Q363" s="423"/>
      <c r="R363" s="423"/>
      <c r="S363" s="423"/>
      <c r="T363" s="423"/>
      <c r="U363" s="423"/>
      <c r="V363" s="423"/>
      <c r="W363" s="423"/>
      <c r="X363" s="377"/>
      <c r="Y363" s="377"/>
      <c r="Z363" s="377"/>
      <c r="AA363" s="377"/>
      <c r="AB363" s="377"/>
    </row>
    <row r="364">
      <c r="A364" s="390" t="s">
        <v>835</v>
      </c>
      <c r="B364" s="390" t="s">
        <v>1068</v>
      </c>
      <c r="C364" s="390" t="s">
        <v>1960</v>
      </c>
      <c r="D364" s="427" t="s">
        <v>1961</v>
      </c>
      <c r="E364" s="383">
        <v>30000.0</v>
      </c>
      <c r="F364" s="383">
        <f t="shared" si="72"/>
        <v>24793.38843</v>
      </c>
      <c r="G364" s="414">
        <f t="shared" si="73"/>
        <v>4861.448712</v>
      </c>
      <c r="H364" s="390"/>
      <c r="I364" s="422"/>
      <c r="J364" s="423"/>
      <c r="K364" s="423"/>
      <c r="L364" s="440"/>
      <c r="M364" s="423"/>
      <c r="N364" s="423"/>
      <c r="O364" s="423"/>
      <c r="P364" s="423"/>
      <c r="Q364" s="423"/>
      <c r="R364" s="423"/>
      <c r="S364" s="423"/>
      <c r="T364" s="423"/>
      <c r="U364" s="423"/>
      <c r="V364" s="423"/>
      <c r="W364" s="423"/>
      <c r="X364" s="377"/>
      <c r="Y364" s="377"/>
      <c r="Z364" s="377"/>
      <c r="AA364" s="377"/>
      <c r="AB364" s="377"/>
    </row>
    <row r="365">
      <c r="A365" s="390" t="s">
        <v>835</v>
      </c>
      <c r="B365" s="390" t="s">
        <v>1068</v>
      </c>
      <c r="C365" s="390" t="s">
        <v>1962</v>
      </c>
      <c r="D365" s="427" t="s">
        <v>1963</v>
      </c>
      <c r="E365" s="383">
        <v>0.0</v>
      </c>
      <c r="F365" s="383">
        <f t="shared" si="72"/>
        <v>0</v>
      </c>
      <c r="G365" s="414">
        <f t="shared" si="73"/>
        <v>0</v>
      </c>
      <c r="H365" s="390"/>
      <c r="I365" s="422"/>
      <c r="J365" s="423"/>
      <c r="K365" s="423"/>
      <c r="L365" s="440"/>
      <c r="M365" s="423"/>
      <c r="N365" s="423"/>
      <c r="O365" s="423"/>
      <c r="P365" s="423"/>
      <c r="Q365" s="423"/>
      <c r="R365" s="423"/>
      <c r="S365" s="423"/>
      <c r="T365" s="423"/>
      <c r="U365" s="423"/>
      <c r="V365" s="423"/>
      <c r="W365" s="423"/>
      <c r="X365" s="377"/>
      <c r="Y365" s="377"/>
      <c r="Z365" s="377"/>
      <c r="AA365" s="377"/>
      <c r="AB365" s="377"/>
    </row>
    <row r="366">
      <c r="A366" s="390" t="s">
        <v>1086</v>
      </c>
      <c r="B366" s="390" t="s">
        <v>1068</v>
      </c>
      <c r="C366" s="390" t="s">
        <v>1964</v>
      </c>
      <c r="D366" s="427" t="s">
        <v>1965</v>
      </c>
      <c r="E366" s="383">
        <v>33634.21</v>
      </c>
      <c r="F366" s="383">
        <f t="shared" si="72"/>
        <v>27796.86777</v>
      </c>
      <c r="G366" s="414">
        <f t="shared" si="73"/>
        <v>5450.366229</v>
      </c>
      <c r="H366" s="390" t="s">
        <v>1465</v>
      </c>
      <c r="I366" s="422"/>
      <c r="J366" s="423"/>
      <c r="K366" s="423"/>
      <c r="L366" s="440"/>
      <c r="M366" s="423"/>
      <c r="N366" s="423"/>
      <c r="O366" s="423"/>
      <c r="P366" s="423"/>
      <c r="Q366" s="423"/>
      <c r="R366" s="423"/>
      <c r="S366" s="423"/>
      <c r="T366" s="423"/>
      <c r="U366" s="423"/>
      <c r="V366" s="423"/>
      <c r="W366" s="423"/>
      <c r="X366" s="377"/>
      <c r="Y366" s="377"/>
      <c r="Z366" s="377"/>
      <c r="AA366" s="377"/>
      <c r="AB366" s="377"/>
    </row>
    <row r="367">
      <c r="A367" s="390" t="s">
        <v>826</v>
      </c>
      <c r="B367" s="390" t="s">
        <v>1068</v>
      </c>
      <c r="C367" s="390" t="s">
        <v>1966</v>
      </c>
      <c r="D367" s="427" t="s">
        <v>1967</v>
      </c>
      <c r="E367" s="383">
        <v>351747.0</v>
      </c>
      <c r="F367" s="383">
        <f t="shared" si="72"/>
        <v>290700</v>
      </c>
      <c r="G367" s="414">
        <f t="shared" si="73"/>
        <v>57000</v>
      </c>
      <c r="H367" s="390"/>
      <c r="I367" s="422"/>
      <c r="J367" s="423"/>
      <c r="K367" s="423"/>
      <c r="L367" s="440"/>
      <c r="M367" s="423"/>
      <c r="N367" s="423"/>
      <c r="O367" s="423"/>
      <c r="P367" s="423"/>
      <c r="Q367" s="423"/>
      <c r="R367" s="423"/>
      <c r="S367" s="423"/>
      <c r="T367" s="423"/>
      <c r="U367" s="423"/>
      <c r="V367" s="423"/>
      <c r="W367" s="423"/>
      <c r="X367" s="377"/>
      <c r="Y367" s="377"/>
      <c r="Z367" s="377"/>
      <c r="AA367" s="377"/>
      <c r="AB367" s="377"/>
    </row>
    <row r="368">
      <c r="A368" s="390" t="s">
        <v>835</v>
      </c>
      <c r="B368" s="390" t="s">
        <v>1068</v>
      </c>
      <c r="C368" s="390" t="s">
        <v>1968</v>
      </c>
      <c r="D368" s="427" t="s">
        <v>1969</v>
      </c>
      <c r="E368" s="383">
        <v>0.0</v>
      </c>
      <c r="F368" s="383">
        <f t="shared" si="72"/>
        <v>0</v>
      </c>
      <c r="G368" s="414">
        <f t="shared" si="73"/>
        <v>0</v>
      </c>
      <c r="H368" s="390"/>
      <c r="I368" s="422"/>
      <c r="J368" s="423"/>
      <c r="K368" s="423"/>
      <c r="L368" s="440"/>
      <c r="M368" s="423"/>
      <c r="N368" s="423"/>
      <c r="O368" s="423"/>
      <c r="P368" s="423"/>
      <c r="Q368" s="423"/>
      <c r="R368" s="423"/>
      <c r="S368" s="423"/>
      <c r="T368" s="423"/>
      <c r="U368" s="423"/>
      <c r="V368" s="423"/>
      <c r="W368" s="423"/>
      <c r="X368" s="377"/>
      <c r="Y368" s="377"/>
      <c r="Z368" s="377"/>
      <c r="AA368" s="377"/>
      <c r="AB368" s="377"/>
    </row>
    <row r="369">
      <c r="A369" s="390" t="s">
        <v>826</v>
      </c>
      <c r="B369" s="390" t="s">
        <v>1068</v>
      </c>
      <c r="C369" s="390" t="s">
        <v>1970</v>
      </c>
      <c r="D369" s="427" t="s">
        <v>1971</v>
      </c>
      <c r="E369" s="383">
        <v>74052.0</v>
      </c>
      <c r="F369" s="383">
        <f t="shared" si="72"/>
        <v>61200</v>
      </c>
      <c r="G369" s="414">
        <f t="shared" si="73"/>
        <v>12000</v>
      </c>
      <c r="H369" s="390"/>
      <c r="I369" s="422"/>
      <c r="J369" s="423"/>
      <c r="K369" s="423"/>
      <c r="L369" s="440"/>
      <c r="M369" s="423"/>
      <c r="N369" s="423"/>
      <c r="O369" s="423"/>
      <c r="P369" s="423"/>
      <c r="Q369" s="423"/>
      <c r="R369" s="423"/>
      <c r="S369" s="423"/>
      <c r="T369" s="423"/>
      <c r="U369" s="423"/>
      <c r="V369" s="423"/>
      <c r="W369" s="423"/>
      <c r="X369" s="377"/>
      <c r="Y369" s="377"/>
      <c r="Z369" s="377"/>
      <c r="AA369" s="377"/>
      <c r="AB369" s="377"/>
    </row>
    <row r="370">
      <c r="A370" s="390" t="s">
        <v>835</v>
      </c>
      <c r="B370" s="390" t="s">
        <v>1068</v>
      </c>
      <c r="C370" s="390" t="s">
        <v>1972</v>
      </c>
      <c r="D370" s="427" t="s">
        <v>1973</v>
      </c>
      <c r="E370" s="383">
        <v>36995.53</v>
      </c>
      <c r="F370" s="383">
        <f t="shared" si="72"/>
        <v>30574.81818</v>
      </c>
      <c r="G370" s="414">
        <f t="shared" si="73"/>
        <v>5995.062389</v>
      </c>
      <c r="H370" s="390"/>
      <c r="I370" s="422"/>
      <c r="J370" s="423"/>
      <c r="K370" s="423"/>
      <c r="L370" s="440"/>
      <c r="M370" s="423"/>
      <c r="N370" s="423"/>
      <c r="O370" s="423"/>
      <c r="P370" s="423"/>
      <c r="Q370" s="423"/>
      <c r="R370" s="423"/>
      <c r="S370" s="423"/>
      <c r="T370" s="423"/>
      <c r="U370" s="423"/>
      <c r="V370" s="423"/>
      <c r="W370" s="423"/>
      <c r="X370" s="377"/>
      <c r="Y370" s="377"/>
      <c r="Z370" s="377"/>
      <c r="AA370" s="377"/>
      <c r="AB370" s="377"/>
    </row>
    <row r="371">
      <c r="A371" s="390" t="s">
        <v>1149</v>
      </c>
      <c r="B371" s="390" t="s">
        <v>1068</v>
      </c>
      <c r="C371" s="390" t="s">
        <v>1974</v>
      </c>
      <c r="D371" s="427" t="s">
        <v>1975</v>
      </c>
      <c r="E371" s="383">
        <v>28710.7</v>
      </c>
      <c r="F371" s="383">
        <f t="shared" si="72"/>
        <v>23727.85124</v>
      </c>
      <c r="G371" s="414">
        <f t="shared" si="73"/>
        <v>4652.519851</v>
      </c>
      <c r="H371" s="390"/>
      <c r="I371" s="422"/>
      <c r="J371" s="423"/>
      <c r="K371" s="423"/>
      <c r="L371" s="440"/>
      <c r="M371" s="423"/>
      <c r="N371" s="423"/>
      <c r="O371" s="423"/>
      <c r="P371" s="423"/>
      <c r="Q371" s="423"/>
      <c r="R371" s="423"/>
      <c r="S371" s="423"/>
      <c r="T371" s="423"/>
      <c r="U371" s="423"/>
      <c r="V371" s="423"/>
      <c r="W371" s="424" t="s">
        <v>1976</v>
      </c>
      <c r="X371" s="377"/>
      <c r="Y371" s="377"/>
      <c r="Z371" s="377"/>
      <c r="AA371" s="377"/>
      <c r="AB371" s="377"/>
    </row>
    <row r="372">
      <c r="A372" s="390" t="s">
        <v>1086</v>
      </c>
      <c r="B372" s="390" t="s">
        <v>1072</v>
      </c>
      <c r="C372" s="390" t="s">
        <v>1977</v>
      </c>
      <c r="D372" s="427" t="s">
        <v>1978</v>
      </c>
      <c r="E372" s="383">
        <v>20364.3</v>
      </c>
      <c r="F372" s="383">
        <f t="shared" si="72"/>
        <v>16830</v>
      </c>
      <c r="G372" s="414">
        <f t="shared" si="73"/>
        <v>3300</v>
      </c>
      <c r="H372" s="390" t="s">
        <v>1523</v>
      </c>
      <c r="I372" s="422"/>
      <c r="J372" s="423"/>
      <c r="K372" s="423"/>
      <c r="L372" s="440"/>
      <c r="M372" s="423"/>
      <c r="N372" s="423"/>
      <c r="O372" s="423"/>
      <c r="P372" s="423"/>
      <c r="Q372" s="423"/>
      <c r="R372" s="423"/>
      <c r="S372" s="423"/>
      <c r="T372" s="423"/>
      <c r="U372" s="423"/>
      <c r="V372" s="423"/>
      <c r="W372" s="423"/>
      <c r="X372" s="377"/>
      <c r="Y372" s="377"/>
      <c r="Z372" s="377"/>
      <c r="AA372" s="377"/>
      <c r="AB372" s="377"/>
    </row>
    <row r="373">
      <c r="A373" s="390" t="s">
        <v>1086</v>
      </c>
      <c r="B373" s="390" t="s">
        <v>1072</v>
      </c>
      <c r="C373" s="390" t="s">
        <v>1979</v>
      </c>
      <c r="D373" s="427" t="s">
        <v>1980</v>
      </c>
      <c r="E373" s="383">
        <v>31871.61</v>
      </c>
      <c r="F373" s="383">
        <f t="shared" si="72"/>
        <v>26340.17355</v>
      </c>
      <c r="G373" s="414">
        <f t="shared" si="73"/>
        <v>5164.739912</v>
      </c>
      <c r="H373" s="390" t="s">
        <v>1465</v>
      </c>
      <c r="I373" s="422"/>
      <c r="J373" s="423"/>
      <c r="K373" s="423"/>
      <c r="L373" s="440"/>
      <c r="M373" s="423"/>
      <c r="N373" s="423"/>
      <c r="O373" s="423"/>
      <c r="P373" s="423"/>
      <c r="Q373" s="423"/>
      <c r="R373" s="423"/>
      <c r="S373" s="423"/>
      <c r="T373" s="423"/>
      <c r="U373" s="423"/>
      <c r="V373" s="423"/>
      <c r="W373" s="424" t="s">
        <v>1981</v>
      </c>
      <c r="X373" s="377"/>
      <c r="Y373" s="377"/>
      <c r="Z373" s="377"/>
      <c r="AA373" s="377"/>
      <c r="AB373" s="377"/>
    </row>
    <row r="374">
      <c r="A374" s="390" t="s">
        <v>826</v>
      </c>
      <c r="B374" s="390" t="s">
        <v>1072</v>
      </c>
      <c r="C374" s="390" t="s">
        <v>1982</v>
      </c>
      <c r="D374" s="427"/>
      <c r="E374" s="383">
        <v>1.288288815E7</v>
      </c>
      <c r="F374" s="383">
        <f t="shared" si="72"/>
        <v>10647015</v>
      </c>
      <c r="G374" s="414">
        <f t="shared" si="73"/>
        <v>2087650</v>
      </c>
      <c r="H374" s="390" t="s">
        <v>1983</v>
      </c>
      <c r="I374" s="422"/>
      <c r="J374" s="423"/>
      <c r="K374" s="423"/>
      <c r="L374" s="440"/>
      <c r="M374" s="423"/>
      <c r="N374" s="423"/>
      <c r="O374" s="423"/>
      <c r="P374" s="423"/>
      <c r="Q374" s="423"/>
      <c r="R374" s="423"/>
      <c r="S374" s="423"/>
      <c r="T374" s="423"/>
      <c r="U374" s="423"/>
      <c r="V374" s="423"/>
      <c r="W374" s="423"/>
      <c r="X374" s="377"/>
      <c r="Y374" s="377"/>
      <c r="Z374" s="377"/>
      <c r="AA374" s="377"/>
      <c r="AB374" s="377"/>
    </row>
    <row r="375">
      <c r="A375" s="390" t="s">
        <v>1149</v>
      </c>
      <c r="B375" s="390" t="s">
        <v>1072</v>
      </c>
      <c r="C375" s="390" t="s">
        <v>1984</v>
      </c>
      <c r="D375" s="427" t="s">
        <v>1985</v>
      </c>
      <c r="E375" s="383">
        <v>103600.0</v>
      </c>
      <c r="F375" s="383">
        <f t="shared" si="72"/>
        <v>85619.83471</v>
      </c>
      <c r="G375" s="414">
        <f t="shared" si="73"/>
        <v>16788.20288</v>
      </c>
      <c r="H375" s="390"/>
      <c r="I375" s="422"/>
      <c r="J375" s="423"/>
      <c r="K375" s="423"/>
      <c r="L375" s="440"/>
      <c r="M375" s="423"/>
      <c r="N375" s="423"/>
      <c r="O375" s="423"/>
      <c r="P375" s="423"/>
      <c r="Q375" s="423"/>
      <c r="R375" s="423"/>
      <c r="S375" s="423"/>
      <c r="T375" s="423"/>
      <c r="U375" s="423"/>
      <c r="V375" s="423"/>
      <c r="W375" s="423"/>
      <c r="X375" s="377"/>
      <c r="Y375" s="377"/>
      <c r="Z375" s="377"/>
      <c r="AA375" s="377"/>
      <c r="AB375" s="377"/>
    </row>
    <row r="376">
      <c r="A376" s="390" t="s">
        <v>835</v>
      </c>
      <c r="B376" s="390" t="s">
        <v>1072</v>
      </c>
      <c r="C376" s="390" t="s">
        <v>1986</v>
      </c>
      <c r="D376" s="427" t="s">
        <v>1987</v>
      </c>
      <c r="E376" s="383">
        <v>25980.8</v>
      </c>
      <c r="F376" s="383">
        <f t="shared" si="72"/>
        <v>21471.73554</v>
      </c>
      <c r="G376" s="414">
        <f t="shared" si="73"/>
        <v>4210.144223</v>
      </c>
      <c r="H376" s="390" t="s">
        <v>1988</v>
      </c>
      <c r="I376" s="422"/>
      <c r="J376" s="423"/>
      <c r="K376" s="423"/>
      <c r="L376" s="440"/>
      <c r="M376" s="423"/>
      <c r="N376" s="423"/>
      <c r="O376" s="423"/>
      <c r="P376" s="423"/>
      <c r="Q376" s="423"/>
      <c r="R376" s="423"/>
      <c r="S376" s="423"/>
      <c r="T376" s="423"/>
      <c r="U376" s="423"/>
      <c r="V376" s="423"/>
      <c r="W376" s="423"/>
      <c r="X376" s="377"/>
      <c r="Y376" s="377"/>
      <c r="Z376" s="377"/>
      <c r="AA376" s="377"/>
      <c r="AB376" s="377"/>
    </row>
    <row r="377">
      <c r="A377" s="443" t="s">
        <v>835</v>
      </c>
      <c r="B377" s="390" t="s">
        <v>1072</v>
      </c>
      <c r="C377" s="390" t="s">
        <v>1989</v>
      </c>
      <c r="D377" s="427" t="s">
        <v>1990</v>
      </c>
      <c r="E377" s="383">
        <v>41388.42</v>
      </c>
      <c r="F377" s="383">
        <f t="shared" si="72"/>
        <v>34205.30579</v>
      </c>
      <c r="G377" s="414">
        <f t="shared" si="73"/>
        <v>6706.922703</v>
      </c>
      <c r="H377" s="390" t="s">
        <v>1991</v>
      </c>
      <c r="I377" s="422"/>
      <c r="J377" s="423"/>
      <c r="K377" s="423"/>
      <c r="L377" s="440"/>
      <c r="M377" s="423"/>
      <c r="N377" s="423"/>
      <c r="O377" s="423"/>
      <c r="P377" s="423"/>
      <c r="Q377" s="423"/>
      <c r="R377" s="423"/>
      <c r="S377" s="423"/>
      <c r="T377" s="423"/>
      <c r="U377" s="423"/>
      <c r="V377" s="423"/>
      <c r="W377" s="423"/>
      <c r="X377" s="377"/>
      <c r="Y377" s="377"/>
      <c r="Z377" s="377"/>
      <c r="AA377" s="377"/>
      <c r="AB377" s="377"/>
    </row>
    <row r="378">
      <c r="A378" s="443" t="s">
        <v>835</v>
      </c>
      <c r="B378" s="390" t="s">
        <v>1072</v>
      </c>
      <c r="C378" s="390" t="s">
        <v>1992</v>
      </c>
      <c r="D378" s="427" t="s">
        <v>1993</v>
      </c>
      <c r="E378" s="383">
        <v>46273.05</v>
      </c>
      <c r="F378" s="383">
        <f t="shared" si="72"/>
        <v>38242.19008</v>
      </c>
      <c r="G378" s="414">
        <f t="shared" si="73"/>
        <v>7498.468644</v>
      </c>
      <c r="H378" s="390" t="s">
        <v>1994</v>
      </c>
      <c r="I378" s="422"/>
      <c r="J378" s="423"/>
      <c r="K378" s="423"/>
      <c r="L378" s="440"/>
      <c r="M378" s="423"/>
      <c r="N378" s="423"/>
      <c r="O378" s="423"/>
      <c r="P378" s="423"/>
      <c r="Q378" s="423"/>
      <c r="R378" s="423"/>
      <c r="S378" s="423"/>
      <c r="T378" s="423"/>
      <c r="U378" s="423"/>
      <c r="V378" s="423"/>
      <c r="W378" s="423"/>
      <c r="X378" s="377"/>
      <c r="Y378" s="377"/>
      <c r="Z378" s="377"/>
      <c r="AA378" s="377"/>
      <c r="AB378" s="377"/>
    </row>
    <row r="379">
      <c r="A379" s="443" t="s">
        <v>835</v>
      </c>
      <c r="B379" s="390" t="s">
        <v>1072</v>
      </c>
      <c r="C379" s="390" t="s">
        <v>1995</v>
      </c>
      <c r="D379" s="427" t="s">
        <v>1996</v>
      </c>
      <c r="E379" s="383">
        <v>21740.92</v>
      </c>
      <c r="F379" s="383">
        <f t="shared" si="72"/>
        <v>17967.70248</v>
      </c>
      <c r="G379" s="414">
        <f t="shared" si="73"/>
        <v>3523.078918</v>
      </c>
      <c r="H379" s="390" t="s">
        <v>1997</v>
      </c>
      <c r="I379" s="422"/>
      <c r="J379" s="423"/>
      <c r="K379" s="423"/>
      <c r="L379" s="440"/>
      <c r="M379" s="423"/>
      <c r="N379" s="423"/>
      <c r="O379" s="423"/>
      <c r="P379" s="423"/>
      <c r="Q379" s="423"/>
      <c r="R379" s="423"/>
      <c r="S379" s="423"/>
      <c r="T379" s="423"/>
      <c r="U379" s="423"/>
      <c r="V379" s="423"/>
      <c r="W379" s="423"/>
      <c r="X379" s="377"/>
      <c r="Y379" s="377"/>
      <c r="Z379" s="377"/>
      <c r="AA379" s="377"/>
      <c r="AB379" s="377"/>
    </row>
    <row r="380">
      <c r="A380" s="443" t="s">
        <v>835</v>
      </c>
      <c r="B380" s="390" t="s">
        <v>1072</v>
      </c>
      <c r="C380" s="390" t="s">
        <v>1998</v>
      </c>
      <c r="D380" s="427" t="s">
        <v>1999</v>
      </c>
      <c r="E380" s="383">
        <v>10500.0</v>
      </c>
      <c r="F380" s="383">
        <f t="shared" si="72"/>
        <v>8677.68595</v>
      </c>
      <c r="G380" s="414">
        <f t="shared" si="73"/>
        <v>1701.507049</v>
      </c>
      <c r="H380" s="390" t="s">
        <v>2000</v>
      </c>
      <c r="I380" s="422"/>
      <c r="J380" s="423"/>
      <c r="K380" s="423"/>
      <c r="L380" s="440"/>
      <c r="M380" s="423"/>
      <c r="N380" s="423"/>
      <c r="O380" s="423"/>
      <c r="P380" s="423"/>
      <c r="Q380" s="423"/>
      <c r="R380" s="423"/>
      <c r="S380" s="423"/>
      <c r="T380" s="423"/>
      <c r="U380" s="423"/>
      <c r="V380" s="423"/>
      <c r="W380" s="423"/>
      <c r="X380" s="377"/>
      <c r="Y380" s="377"/>
      <c r="Z380" s="377"/>
      <c r="AA380" s="377"/>
      <c r="AB380" s="377"/>
    </row>
    <row r="381">
      <c r="A381" s="443" t="s">
        <v>835</v>
      </c>
      <c r="B381" s="390" t="s">
        <v>1072</v>
      </c>
      <c r="C381" s="390" t="s">
        <v>2001</v>
      </c>
      <c r="D381" s="427" t="s">
        <v>2002</v>
      </c>
      <c r="E381" s="383">
        <v>1700.0</v>
      </c>
      <c r="F381" s="383">
        <f t="shared" si="72"/>
        <v>1404.958678</v>
      </c>
      <c r="G381" s="414">
        <f t="shared" si="73"/>
        <v>275.4820937</v>
      </c>
      <c r="H381" s="390" t="s">
        <v>2003</v>
      </c>
      <c r="I381" s="422"/>
      <c r="J381" s="423"/>
      <c r="K381" s="423"/>
      <c r="L381" s="440"/>
      <c r="M381" s="423"/>
      <c r="N381" s="423"/>
      <c r="O381" s="423"/>
      <c r="P381" s="423"/>
      <c r="Q381" s="423"/>
      <c r="R381" s="423"/>
      <c r="S381" s="423"/>
      <c r="T381" s="423"/>
      <c r="U381" s="423"/>
      <c r="V381" s="423"/>
      <c r="W381" s="423"/>
      <c r="X381" s="377"/>
      <c r="Y381" s="377"/>
      <c r="Z381" s="377"/>
      <c r="AA381" s="377"/>
      <c r="AB381" s="377"/>
    </row>
    <row r="382">
      <c r="A382" s="443" t="s">
        <v>835</v>
      </c>
      <c r="B382" s="390" t="s">
        <v>1072</v>
      </c>
      <c r="C382" s="390" t="s">
        <v>2004</v>
      </c>
      <c r="D382" s="427" t="s">
        <v>2005</v>
      </c>
      <c r="E382" s="383">
        <v>36972.18</v>
      </c>
      <c r="F382" s="383">
        <f t="shared" si="72"/>
        <v>30555.52066</v>
      </c>
      <c r="G382" s="414">
        <f t="shared" si="73"/>
        <v>5991.278561</v>
      </c>
      <c r="H382" s="390"/>
      <c r="I382" s="422"/>
      <c r="J382" s="423"/>
      <c r="K382" s="423"/>
      <c r="L382" s="440"/>
      <c r="M382" s="423"/>
      <c r="N382" s="423"/>
      <c r="O382" s="423"/>
      <c r="P382" s="423"/>
      <c r="Q382" s="423"/>
      <c r="R382" s="423"/>
      <c r="S382" s="423"/>
      <c r="T382" s="423"/>
      <c r="U382" s="423"/>
      <c r="V382" s="423"/>
      <c r="W382" s="423"/>
      <c r="X382" s="377"/>
      <c r="Y382" s="377"/>
      <c r="Z382" s="377"/>
      <c r="AA382" s="377"/>
      <c r="AB382" s="377"/>
    </row>
    <row r="383">
      <c r="A383" s="443" t="s">
        <v>835</v>
      </c>
      <c r="B383" s="390" t="s">
        <v>1072</v>
      </c>
      <c r="C383" s="390" t="s">
        <v>2006</v>
      </c>
      <c r="D383" s="427" t="s">
        <v>2007</v>
      </c>
      <c r="E383" s="383">
        <v>54211.87</v>
      </c>
      <c r="F383" s="383">
        <f t="shared" si="72"/>
        <v>44803.19835</v>
      </c>
      <c r="G383" s="414">
        <f t="shared" si="73"/>
        <v>8784.940852</v>
      </c>
      <c r="H383" s="390"/>
      <c r="I383" s="422"/>
      <c r="J383" s="423"/>
      <c r="K383" s="423"/>
      <c r="L383" s="440"/>
      <c r="M383" s="423"/>
      <c r="N383" s="423"/>
      <c r="O383" s="423"/>
      <c r="P383" s="423"/>
      <c r="Q383" s="423"/>
      <c r="R383" s="423"/>
      <c r="S383" s="423"/>
      <c r="T383" s="423"/>
      <c r="U383" s="423"/>
      <c r="V383" s="423"/>
      <c r="W383" s="423"/>
      <c r="X383" s="377"/>
      <c r="Y383" s="377"/>
      <c r="Z383" s="377"/>
      <c r="AA383" s="377"/>
      <c r="AB383" s="377"/>
    </row>
    <row r="384">
      <c r="A384" s="443" t="s">
        <v>835</v>
      </c>
      <c r="B384" s="390" t="s">
        <v>1072</v>
      </c>
      <c r="C384" s="390" t="s">
        <v>2008</v>
      </c>
      <c r="D384" s="427" t="s">
        <v>2009</v>
      </c>
      <c r="E384" s="383">
        <v>21987.27</v>
      </c>
      <c r="F384" s="383">
        <f t="shared" si="72"/>
        <v>18171.29752</v>
      </c>
      <c r="G384" s="414">
        <f t="shared" si="73"/>
        <v>3562.999514</v>
      </c>
      <c r="H384" s="390"/>
      <c r="I384" s="422"/>
      <c r="J384" s="423"/>
      <c r="K384" s="423"/>
      <c r="L384" s="440"/>
      <c r="M384" s="423"/>
      <c r="N384" s="423"/>
      <c r="O384" s="423"/>
      <c r="P384" s="423"/>
      <c r="Q384" s="423"/>
      <c r="R384" s="423"/>
      <c r="S384" s="423"/>
      <c r="T384" s="423"/>
      <c r="U384" s="423"/>
      <c r="V384" s="423"/>
      <c r="W384" s="423"/>
      <c r="X384" s="377"/>
      <c r="Y384" s="377"/>
      <c r="Z384" s="377"/>
      <c r="AA384" s="377"/>
      <c r="AB384" s="377"/>
    </row>
    <row r="385">
      <c r="A385" s="443" t="s">
        <v>1086</v>
      </c>
      <c r="B385" s="424" t="s">
        <v>1072</v>
      </c>
      <c r="C385" s="390" t="s">
        <v>2010</v>
      </c>
      <c r="D385" s="427" t="s">
        <v>1573</v>
      </c>
      <c r="E385" s="383">
        <v>6136.44</v>
      </c>
      <c r="F385" s="383">
        <f t="shared" si="72"/>
        <v>5071.438017</v>
      </c>
      <c r="G385" s="414">
        <f t="shared" si="73"/>
        <v>994.3996111</v>
      </c>
      <c r="H385" s="390" t="s">
        <v>2011</v>
      </c>
      <c r="I385" s="422"/>
      <c r="J385" s="423"/>
      <c r="K385" s="423"/>
      <c r="L385" s="440"/>
      <c r="M385" s="423"/>
      <c r="N385" s="423"/>
      <c r="O385" s="423"/>
      <c r="P385" s="423"/>
      <c r="Q385" s="423"/>
      <c r="R385" s="423"/>
      <c r="S385" s="423"/>
      <c r="T385" s="423"/>
      <c r="U385" s="423"/>
      <c r="V385" s="423"/>
      <c r="W385" s="423"/>
      <c r="X385" s="377"/>
      <c r="Y385" s="377"/>
      <c r="Z385" s="377"/>
      <c r="AA385" s="377"/>
      <c r="AB385" s="377"/>
    </row>
    <row r="386">
      <c r="A386" s="443" t="s">
        <v>835</v>
      </c>
      <c r="B386" s="390" t="s">
        <v>1072</v>
      </c>
      <c r="C386" s="390" t="s">
        <v>2012</v>
      </c>
      <c r="D386" s="427" t="s">
        <v>400</v>
      </c>
      <c r="E386" s="383">
        <v>448990.58</v>
      </c>
      <c r="F386" s="383">
        <f t="shared" si="72"/>
        <v>371066.595</v>
      </c>
      <c r="G386" s="414">
        <f t="shared" si="73"/>
        <v>72758.15589</v>
      </c>
      <c r="H386" s="390" t="s">
        <v>2013</v>
      </c>
      <c r="I386" s="422"/>
      <c r="J386" s="423"/>
      <c r="K386" s="423"/>
      <c r="L386" s="440"/>
      <c r="M386" s="423"/>
      <c r="N386" s="423"/>
      <c r="O386" s="423"/>
      <c r="P386" s="423"/>
      <c r="Q386" s="423"/>
      <c r="R386" s="423"/>
      <c r="S386" s="423"/>
      <c r="T386" s="423"/>
      <c r="U386" s="423"/>
      <c r="V386" s="423"/>
      <c r="W386" s="423"/>
      <c r="X386" s="377"/>
      <c r="Y386" s="377"/>
      <c r="Z386" s="377"/>
      <c r="AA386" s="377"/>
      <c r="AB386" s="377"/>
    </row>
    <row r="387">
      <c r="A387" s="443" t="s">
        <v>1086</v>
      </c>
      <c r="B387" s="424" t="s">
        <v>1072</v>
      </c>
      <c r="C387" s="390" t="s">
        <v>2014</v>
      </c>
      <c r="D387" s="427" t="s">
        <v>2015</v>
      </c>
      <c r="E387" s="383">
        <v>2000.0</v>
      </c>
      <c r="F387" s="383">
        <f t="shared" si="72"/>
        <v>1652.892562</v>
      </c>
      <c r="G387" s="414">
        <f t="shared" si="73"/>
        <v>324.0965808</v>
      </c>
      <c r="H387" s="390" t="s">
        <v>2016</v>
      </c>
      <c r="I387" s="422"/>
      <c r="J387" s="423"/>
      <c r="K387" s="423"/>
      <c r="L387" s="440"/>
      <c r="M387" s="423"/>
      <c r="N387" s="423"/>
      <c r="O387" s="423"/>
      <c r="P387" s="423"/>
      <c r="Q387" s="423"/>
      <c r="R387" s="423"/>
      <c r="S387" s="423"/>
      <c r="T387" s="423"/>
      <c r="U387" s="423"/>
      <c r="V387" s="423"/>
      <c r="W387" s="423"/>
      <c r="X387" s="377"/>
      <c r="Y387" s="377"/>
      <c r="Z387" s="377"/>
      <c r="AA387" s="377"/>
      <c r="AB387" s="377"/>
    </row>
    <row r="388">
      <c r="A388" s="443" t="s">
        <v>2017</v>
      </c>
      <c r="B388" s="390" t="s">
        <v>1072</v>
      </c>
      <c r="C388" s="390" t="s">
        <v>2018</v>
      </c>
      <c r="D388" s="427" t="s">
        <v>2019</v>
      </c>
      <c r="E388" s="383">
        <v>53219.67</v>
      </c>
      <c r="F388" s="383">
        <f t="shared" si="72"/>
        <v>43983.19835</v>
      </c>
      <c r="G388" s="414">
        <f t="shared" si="73"/>
        <v>8624.156539</v>
      </c>
      <c r="H388" s="390"/>
      <c r="I388" s="422"/>
      <c r="J388" s="423"/>
      <c r="K388" s="423"/>
      <c r="L388" s="440"/>
      <c r="M388" s="423"/>
      <c r="N388" s="423"/>
      <c r="O388" s="423"/>
      <c r="P388" s="423"/>
      <c r="Q388" s="423"/>
      <c r="R388" s="423"/>
      <c r="S388" s="423"/>
      <c r="T388" s="423"/>
      <c r="U388" s="423"/>
      <c r="V388" s="423"/>
      <c r="W388" s="423"/>
      <c r="X388" s="377"/>
      <c r="Y388" s="377"/>
      <c r="Z388" s="377"/>
      <c r="AA388" s="377"/>
      <c r="AB388" s="377"/>
    </row>
    <row r="389">
      <c r="A389" s="443" t="s">
        <v>2020</v>
      </c>
      <c r="B389" s="390" t="s">
        <v>1072</v>
      </c>
      <c r="C389" s="390" t="s">
        <v>2021</v>
      </c>
      <c r="D389" s="427" t="s">
        <v>2022</v>
      </c>
      <c r="E389" s="383">
        <v>24772.0</v>
      </c>
      <c r="F389" s="383">
        <f t="shared" si="72"/>
        <v>20472.72727</v>
      </c>
      <c r="G389" s="414">
        <f t="shared" si="73"/>
        <v>4014.26025</v>
      </c>
      <c r="H389" s="390"/>
      <c r="I389" s="422"/>
      <c r="J389" s="423"/>
      <c r="K389" s="423"/>
      <c r="L389" s="440"/>
      <c r="M389" s="423"/>
      <c r="N389" s="423"/>
      <c r="O389" s="423"/>
      <c r="P389" s="423"/>
      <c r="Q389" s="423"/>
      <c r="R389" s="423"/>
      <c r="S389" s="423"/>
      <c r="T389" s="423"/>
      <c r="U389" s="423"/>
      <c r="V389" s="423"/>
      <c r="W389" s="423"/>
      <c r="X389" s="377"/>
      <c r="Y389" s="377"/>
      <c r="Z389" s="377"/>
      <c r="AA389" s="377"/>
      <c r="AB389" s="377"/>
    </row>
    <row r="390">
      <c r="A390" s="443" t="s">
        <v>145</v>
      </c>
      <c r="B390" s="390" t="s">
        <v>1072</v>
      </c>
      <c r="C390" s="390" t="s">
        <v>2023</v>
      </c>
      <c r="D390" s="427" t="s">
        <v>2024</v>
      </c>
      <c r="E390" s="383">
        <v>5860.69</v>
      </c>
      <c r="F390" s="383">
        <f t="shared" si="72"/>
        <v>4843.545455</v>
      </c>
      <c r="G390" s="414">
        <f t="shared" si="73"/>
        <v>949.714795</v>
      </c>
      <c r="H390" s="390"/>
      <c r="I390" s="422"/>
      <c r="J390" s="423"/>
      <c r="K390" s="423"/>
      <c r="L390" s="440"/>
      <c r="M390" s="423"/>
      <c r="N390" s="423"/>
      <c r="O390" s="423"/>
      <c r="P390" s="423"/>
      <c r="Q390" s="423"/>
      <c r="R390" s="423"/>
      <c r="S390" s="423"/>
      <c r="T390" s="423"/>
      <c r="U390" s="423"/>
      <c r="V390" s="423"/>
      <c r="W390" s="424" t="s">
        <v>2025</v>
      </c>
      <c r="X390" s="377"/>
      <c r="Y390" s="377"/>
      <c r="Z390" s="377"/>
      <c r="AA390" s="377"/>
      <c r="AB390" s="377"/>
    </row>
    <row r="391">
      <c r="A391" s="443" t="s">
        <v>2017</v>
      </c>
      <c r="B391" s="390" t="s">
        <v>1072</v>
      </c>
      <c r="C391" s="390" t="s">
        <v>2026</v>
      </c>
      <c r="D391" s="427" t="s">
        <v>2027</v>
      </c>
      <c r="E391" s="383">
        <v>50000.0</v>
      </c>
      <c r="F391" s="383">
        <f t="shared" si="72"/>
        <v>41322.31405</v>
      </c>
      <c r="G391" s="414">
        <f t="shared" si="73"/>
        <v>8102.41452</v>
      </c>
      <c r="H391" s="390"/>
      <c r="I391" s="422"/>
      <c r="J391" s="423"/>
      <c r="K391" s="423"/>
      <c r="L391" s="440"/>
      <c r="M391" s="423"/>
      <c r="N391" s="423"/>
      <c r="O391" s="423"/>
      <c r="P391" s="423"/>
      <c r="Q391" s="423"/>
      <c r="R391" s="423"/>
      <c r="S391" s="423"/>
      <c r="T391" s="423"/>
      <c r="U391" s="423"/>
      <c r="V391" s="423"/>
      <c r="W391" s="423"/>
      <c r="X391" s="377"/>
      <c r="Y391" s="377"/>
      <c r="Z391" s="377"/>
      <c r="AA391" s="377"/>
      <c r="AB391" s="377"/>
    </row>
    <row r="392">
      <c r="A392" s="390" t="s">
        <v>1086</v>
      </c>
      <c r="B392" s="390" t="s">
        <v>1072</v>
      </c>
      <c r="C392" s="390" t="s">
        <v>2028</v>
      </c>
      <c r="D392" s="427" t="s">
        <v>2029</v>
      </c>
      <c r="E392" s="383">
        <v>5060.22</v>
      </c>
      <c r="F392" s="383">
        <f t="shared" si="72"/>
        <v>4182</v>
      </c>
      <c r="G392" s="414">
        <f t="shared" si="73"/>
        <v>820</v>
      </c>
      <c r="H392" s="390" t="s">
        <v>2030</v>
      </c>
      <c r="I392" s="422"/>
      <c r="J392" s="423"/>
      <c r="K392" s="423"/>
      <c r="L392" s="440"/>
      <c r="M392" s="423"/>
      <c r="N392" s="423"/>
      <c r="O392" s="423"/>
      <c r="P392" s="423"/>
      <c r="Q392" s="423"/>
      <c r="R392" s="423"/>
      <c r="S392" s="423"/>
      <c r="T392" s="423"/>
      <c r="U392" s="423"/>
      <c r="V392" s="423"/>
      <c r="W392" s="423"/>
      <c r="X392" s="377"/>
      <c r="Y392" s="377"/>
      <c r="Z392" s="377"/>
      <c r="AA392" s="377"/>
      <c r="AB392" s="377"/>
    </row>
    <row r="393">
      <c r="A393" s="445" t="s">
        <v>1167</v>
      </c>
      <c r="B393" s="390" t="s">
        <v>1072</v>
      </c>
      <c r="C393" s="390" t="s">
        <v>2031</v>
      </c>
      <c r="D393" s="427" t="s">
        <v>2032</v>
      </c>
      <c r="E393" s="383">
        <v>3038290.74</v>
      </c>
      <c r="F393" s="383">
        <f t="shared" si="72"/>
        <v>2510984.083</v>
      </c>
      <c r="G393" s="414">
        <f>F393/5.26</f>
        <v>477373.3997</v>
      </c>
      <c r="H393" s="390"/>
      <c r="I393" s="422"/>
      <c r="J393" s="423"/>
      <c r="K393" s="423"/>
      <c r="L393" s="440"/>
      <c r="M393" s="423"/>
      <c r="N393" s="423"/>
      <c r="O393" s="423"/>
      <c r="P393" s="423"/>
      <c r="Q393" s="423"/>
      <c r="R393" s="423"/>
      <c r="S393" s="423"/>
      <c r="T393" s="423"/>
      <c r="U393" s="423"/>
      <c r="V393" s="423"/>
      <c r="W393" s="423"/>
      <c r="X393" s="377"/>
      <c r="Y393" s="377"/>
      <c r="Z393" s="377"/>
      <c r="AA393" s="377"/>
      <c r="AB393" s="377"/>
    </row>
    <row r="394">
      <c r="A394" s="447" t="s">
        <v>1023</v>
      </c>
      <c r="B394" s="447" t="s">
        <v>1072</v>
      </c>
      <c r="C394" s="447" t="s">
        <v>2033</v>
      </c>
      <c r="D394" s="448" t="s">
        <v>2034</v>
      </c>
      <c r="E394" s="449">
        <v>0.0</v>
      </c>
      <c r="F394" s="449">
        <f t="shared" si="72"/>
        <v>0</v>
      </c>
      <c r="G394" s="450">
        <f t="shared" ref="G394:G403" si="74">F394/5.1</f>
        <v>0</v>
      </c>
      <c r="H394" s="451" t="s">
        <v>2035</v>
      </c>
      <c r="I394" s="422"/>
      <c r="J394" s="423"/>
      <c r="K394" s="423"/>
      <c r="L394" s="440"/>
      <c r="M394" s="423"/>
      <c r="N394" s="423"/>
      <c r="O394" s="423"/>
      <c r="P394" s="423"/>
      <c r="Q394" s="423"/>
      <c r="R394" s="423"/>
      <c r="S394" s="423"/>
      <c r="T394" s="423"/>
      <c r="U394" s="423"/>
      <c r="V394" s="423"/>
      <c r="W394" s="423"/>
      <c r="X394" s="377"/>
      <c r="Y394" s="377"/>
      <c r="Z394" s="377"/>
      <c r="AA394" s="377"/>
      <c r="AB394" s="377"/>
    </row>
    <row r="395">
      <c r="A395" s="390" t="s">
        <v>826</v>
      </c>
      <c r="B395" s="390" t="s">
        <v>1072</v>
      </c>
      <c r="C395" s="390" t="s">
        <v>2036</v>
      </c>
      <c r="D395" s="427" t="s">
        <v>2037</v>
      </c>
      <c r="E395" s="383">
        <v>5925455.91</v>
      </c>
      <c r="F395" s="383">
        <f t="shared" si="72"/>
        <v>4897071</v>
      </c>
      <c r="G395" s="414">
        <f t="shared" si="74"/>
        <v>960210</v>
      </c>
      <c r="H395" s="390" t="s">
        <v>2038</v>
      </c>
      <c r="I395" s="422"/>
      <c r="J395" s="423"/>
      <c r="K395" s="423"/>
      <c r="L395" s="440"/>
      <c r="M395" s="423"/>
      <c r="N395" s="423"/>
      <c r="O395" s="423"/>
      <c r="P395" s="423"/>
      <c r="Q395" s="423"/>
      <c r="R395" s="423"/>
      <c r="S395" s="423"/>
      <c r="T395" s="423"/>
      <c r="U395" s="423"/>
      <c r="V395" s="423"/>
      <c r="W395" s="423"/>
      <c r="X395" s="377"/>
      <c r="Y395" s="377"/>
      <c r="Z395" s="377"/>
      <c r="AA395" s="377"/>
      <c r="AB395" s="377"/>
    </row>
    <row r="396">
      <c r="A396" s="390" t="s">
        <v>1086</v>
      </c>
      <c r="B396" s="390" t="s">
        <v>1072</v>
      </c>
      <c r="C396" s="390" t="s">
        <v>2039</v>
      </c>
      <c r="D396" s="427" t="s">
        <v>2040</v>
      </c>
      <c r="E396" s="383">
        <v>24930.84</v>
      </c>
      <c r="F396" s="383">
        <f t="shared" si="72"/>
        <v>20604</v>
      </c>
      <c r="G396" s="414">
        <f t="shared" si="74"/>
        <v>4040</v>
      </c>
      <c r="H396" s="390" t="s">
        <v>2041</v>
      </c>
      <c r="I396" s="422"/>
      <c r="J396" s="423"/>
      <c r="K396" s="423"/>
      <c r="L396" s="440"/>
      <c r="M396" s="423"/>
      <c r="N396" s="423"/>
      <c r="O396" s="423"/>
      <c r="P396" s="423"/>
      <c r="Q396" s="423"/>
      <c r="R396" s="423"/>
      <c r="S396" s="423"/>
      <c r="T396" s="423"/>
      <c r="U396" s="423"/>
      <c r="V396" s="423"/>
      <c r="W396" s="423"/>
      <c r="X396" s="377"/>
      <c r="Y396" s="377"/>
      <c r="Z396" s="377"/>
      <c r="AA396" s="377"/>
      <c r="AB396" s="377"/>
    </row>
    <row r="397">
      <c r="A397" s="390" t="s">
        <v>2017</v>
      </c>
      <c r="B397" s="390" t="s">
        <v>1072</v>
      </c>
      <c r="C397" s="390" t="s">
        <v>2042</v>
      </c>
      <c r="D397" s="427" t="s">
        <v>2043</v>
      </c>
      <c r="E397" s="383">
        <v>28000.0</v>
      </c>
      <c r="F397" s="383">
        <f t="shared" si="72"/>
        <v>23140.49587</v>
      </c>
      <c r="G397" s="414">
        <f t="shared" si="74"/>
        <v>4537.352131</v>
      </c>
      <c r="H397" s="390"/>
      <c r="I397" s="422"/>
      <c r="J397" s="423"/>
      <c r="K397" s="423"/>
      <c r="L397" s="440"/>
      <c r="M397" s="423"/>
      <c r="N397" s="423"/>
      <c r="O397" s="423"/>
      <c r="P397" s="423"/>
      <c r="Q397" s="423"/>
      <c r="R397" s="423"/>
      <c r="S397" s="423"/>
      <c r="T397" s="423"/>
      <c r="U397" s="423"/>
      <c r="V397" s="423"/>
      <c r="W397" s="423"/>
      <c r="X397" s="377"/>
      <c r="Y397" s="377"/>
      <c r="Z397" s="377"/>
      <c r="AA397" s="377"/>
      <c r="AB397" s="377"/>
    </row>
    <row r="398">
      <c r="A398" s="452" t="s">
        <v>1086</v>
      </c>
      <c r="B398" s="390" t="s">
        <v>1072</v>
      </c>
      <c r="C398" s="390" t="s">
        <v>2044</v>
      </c>
      <c r="D398" s="427" t="s">
        <v>2045</v>
      </c>
      <c r="E398" s="383">
        <v>42139.91</v>
      </c>
      <c r="F398" s="383">
        <f t="shared" si="72"/>
        <v>34826.3719</v>
      </c>
      <c r="G398" s="414">
        <f t="shared" si="74"/>
        <v>6828.700373</v>
      </c>
      <c r="H398" s="390" t="s">
        <v>2046</v>
      </c>
      <c r="I398" s="422"/>
      <c r="J398" s="423"/>
      <c r="K398" s="423"/>
      <c r="L398" s="440"/>
      <c r="M398" s="423"/>
      <c r="N398" s="423"/>
      <c r="O398" s="423"/>
      <c r="P398" s="423"/>
      <c r="Q398" s="423"/>
      <c r="R398" s="423"/>
      <c r="S398" s="423"/>
      <c r="T398" s="423"/>
      <c r="U398" s="423"/>
      <c r="V398" s="423"/>
      <c r="W398" s="423"/>
      <c r="X398" s="377"/>
      <c r="Y398" s="377"/>
      <c r="Z398" s="377"/>
      <c r="AA398" s="377"/>
      <c r="AB398" s="377"/>
    </row>
    <row r="399">
      <c r="A399" s="390" t="s">
        <v>145</v>
      </c>
      <c r="B399" s="390" t="s">
        <v>1072</v>
      </c>
      <c r="C399" s="390" t="s">
        <v>2047</v>
      </c>
      <c r="D399" s="427" t="s">
        <v>2048</v>
      </c>
      <c r="E399" s="383">
        <v>17837.56</v>
      </c>
      <c r="F399" s="383">
        <f t="shared" si="72"/>
        <v>14741.78512</v>
      </c>
      <c r="G399" s="414">
        <f t="shared" si="74"/>
        <v>2890.546103</v>
      </c>
      <c r="H399" s="390" t="s">
        <v>2049</v>
      </c>
      <c r="I399" s="422"/>
      <c r="J399" s="423"/>
      <c r="K399" s="423"/>
      <c r="L399" s="440"/>
      <c r="M399" s="424" t="s">
        <v>1006</v>
      </c>
      <c r="N399" s="423"/>
      <c r="O399" s="423"/>
      <c r="P399" s="423"/>
      <c r="Q399" s="423"/>
      <c r="R399" s="423"/>
      <c r="S399" s="423"/>
      <c r="T399" s="423"/>
      <c r="U399" s="423"/>
      <c r="V399" s="423"/>
      <c r="W399" s="424" t="s">
        <v>1918</v>
      </c>
      <c r="X399" s="377"/>
      <c r="Y399" s="377"/>
      <c r="Z399" s="377"/>
      <c r="AA399" s="377"/>
      <c r="AB399" s="377"/>
    </row>
    <row r="400">
      <c r="A400" s="390" t="s">
        <v>145</v>
      </c>
      <c r="B400" s="390" t="s">
        <v>1072</v>
      </c>
      <c r="C400" s="390" t="s">
        <v>2050</v>
      </c>
      <c r="D400" s="427" t="s">
        <v>2051</v>
      </c>
      <c r="E400" s="383">
        <v>5096.44</v>
      </c>
      <c r="F400" s="383">
        <f t="shared" si="72"/>
        <v>4211.933884</v>
      </c>
      <c r="G400" s="414">
        <f t="shared" si="74"/>
        <v>825.8693891</v>
      </c>
      <c r="H400" s="390" t="s">
        <v>2052</v>
      </c>
      <c r="I400" s="422"/>
      <c r="J400" s="423"/>
      <c r="K400" s="423"/>
      <c r="L400" s="440"/>
      <c r="M400" s="424" t="s">
        <v>1006</v>
      </c>
      <c r="N400" s="423"/>
      <c r="O400" s="423"/>
      <c r="P400" s="423"/>
      <c r="Q400" s="423"/>
      <c r="R400" s="423"/>
      <c r="S400" s="423"/>
      <c r="T400" s="423"/>
      <c r="U400" s="423"/>
      <c r="V400" s="423"/>
      <c r="W400" s="424" t="s">
        <v>1918</v>
      </c>
      <c r="X400" s="377"/>
      <c r="Y400" s="377"/>
      <c r="Z400" s="377"/>
      <c r="AA400" s="377"/>
      <c r="AB400" s="377"/>
    </row>
    <row r="401">
      <c r="A401" s="390" t="s">
        <v>1086</v>
      </c>
      <c r="B401" s="390" t="s">
        <v>1072</v>
      </c>
      <c r="C401" s="390" t="s">
        <v>2053</v>
      </c>
      <c r="D401" s="427" t="s">
        <v>2054</v>
      </c>
      <c r="E401" s="383">
        <v>39133.65</v>
      </c>
      <c r="F401" s="383">
        <f t="shared" si="72"/>
        <v>32341.8595</v>
      </c>
      <c r="G401" s="414">
        <f t="shared" si="74"/>
        <v>6341.541079</v>
      </c>
      <c r="H401" s="390" t="s">
        <v>2055</v>
      </c>
      <c r="I401" s="422"/>
      <c r="J401" s="423"/>
      <c r="K401" s="423"/>
      <c r="L401" s="440"/>
      <c r="M401" s="423"/>
      <c r="N401" s="423"/>
      <c r="O401" s="423"/>
      <c r="P401" s="423"/>
      <c r="Q401" s="423"/>
      <c r="R401" s="423"/>
      <c r="S401" s="423"/>
      <c r="T401" s="423"/>
      <c r="U401" s="423"/>
      <c r="V401" s="423"/>
      <c r="W401" s="423"/>
      <c r="X401" s="377"/>
      <c r="Y401" s="377"/>
      <c r="Z401" s="377"/>
      <c r="AA401" s="377"/>
      <c r="AB401" s="377"/>
    </row>
    <row r="402">
      <c r="A402" s="452" t="s">
        <v>835</v>
      </c>
      <c r="B402" s="390" t="s">
        <v>1072</v>
      </c>
      <c r="C402" s="390" t="s">
        <v>2056</v>
      </c>
      <c r="D402" s="427" t="s">
        <v>421</v>
      </c>
      <c r="E402" s="383">
        <v>3999.0</v>
      </c>
      <c r="F402" s="383">
        <f t="shared" si="72"/>
        <v>3304.958678</v>
      </c>
      <c r="G402" s="414">
        <f t="shared" si="74"/>
        <v>648.0311133</v>
      </c>
      <c r="H402" s="390"/>
      <c r="I402" s="422"/>
      <c r="J402" s="423"/>
      <c r="K402" s="423"/>
      <c r="L402" s="440"/>
      <c r="M402" s="423"/>
      <c r="N402" s="423"/>
      <c r="O402" s="423"/>
      <c r="P402" s="423"/>
      <c r="Q402" s="423"/>
      <c r="R402" s="423"/>
      <c r="S402" s="423"/>
      <c r="T402" s="423"/>
      <c r="U402" s="423"/>
      <c r="V402" s="423"/>
      <c r="W402" s="423"/>
      <c r="X402" s="377"/>
      <c r="Y402" s="377"/>
      <c r="Z402" s="377"/>
      <c r="AA402" s="377"/>
      <c r="AB402" s="377"/>
    </row>
    <row r="403">
      <c r="A403" s="390"/>
      <c r="B403" s="390" t="s">
        <v>1072</v>
      </c>
      <c r="C403" s="390" t="s">
        <v>2057</v>
      </c>
      <c r="D403" s="427" t="s">
        <v>2058</v>
      </c>
      <c r="E403" s="383">
        <v>91003.0</v>
      </c>
      <c r="F403" s="383">
        <f t="shared" si="72"/>
        <v>75209.09091</v>
      </c>
      <c r="G403" s="414">
        <f t="shared" si="74"/>
        <v>14746.88057</v>
      </c>
      <c r="H403" s="390" t="s">
        <v>2059</v>
      </c>
      <c r="I403" s="422"/>
      <c r="J403" s="423"/>
      <c r="K403" s="423"/>
      <c r="L403" s="440"/>
      <c r="M403" s="423"/>
      <c r="N403" s="423"/>
      <c r="O403" s="423"/>
      <c r="P403" s="423"/>
      <c r="Q403" s="423"/>
      <c r="R403" s="423"/>
      <c r="S403" s="423"/>
      <c r="T403" s="423"/>
      <c r="U403" s="423"/>
      <c r="V403" s="423"/>
      <c r="W403" s="423"/>
      <c r="X403" s="377"/>
      <c r="Y403" s="377"/>
      <c r="Z403" s="377"/>
      <c r="AA403" s="377"/>
      <c r="AB403" s="377"/>
    </row>
    <row r="404">
      <c r="A404" s="390"/>
      <c r="B404" s="390" t="s">
        <v>1072</v>
      </c>
      <c r="C404" s="390" t="s">
        <v>2060</v>
      </c>
      <c r="D404" s="427" t="s">
        <v>2061</v>
      </c>
      <c r="E404" s="383">
        <v>554910.9</v>
      </c>
      <c r="F404" s="383">
        <f t="shared" si="72"/>
        <v>458604.0496</v>
      </c>
      <c r="G404" s="414">
        <v>89922.0</v>
      </c>
      <c r="H404" s="390"/>
      <c r="I404" s="422"/>
      <c r="J404" s="423"/>
      <c r="K404" s="423"/>
      <c r="L404" s="440"/>
      <c r="M404" s="423"/>
      <c r="N404" s="423"/>
      <c r="O404" s="423"/>
      <c r="P404" s="423"/>
      <c r="Q404" s="423"/>
      <c r="R404" s="423"/>
      <c r="S404" s="423"/>
      <c r="T404" s="423"/>
      <c r="U404" s="423"/>
      <c r="V404" s="423"/>
      <c r="W404" s="424" t="s">
        <v>2062</v>
      </c>
      <c r="X404" s="377"/>
      <c r="Y404" s="377"/>
      <c r="Z404" s="377"/>
      <c r="AA404" s="377"/>
      <c r="AB404" s="377"/>
    </row>
    <row r="405">
      <c r="A405" s="390"/>
      <c r="B405" s="390" t="s">
        <v>1076</v>
      </c>
      <c r="C405" s="390" t="s">
        <v>2063</v>
      </c>
      <c r="D405" s="427" t="s">
        <v>2064</v>
      </c>
      <c r="E405" s="383">
        <v>666541.44</v>
      </c>
      <c r="F405" s="383">
        <f t="shared" si="72"/>
        <v>550860.6942</v>
      </c>
      <c r="G405" s="414">
        <f t="shared" ref="G405:G408" si="75">F405/5.1</f>
        <v>108011.9008</v>
      </c>
      <c r="H405" s="390"/>
      <c r="I405" s="422"/>
      <c r="J405" s="423"/>
      <c r="K405" s="423"/>
      <c r="L405" s="440"/>
      <c r="M405" s="423"/>
      <c r="N405" s="423"/>
      <c r="O405" s="423"/>
      <c r="P405" s="423"/>
      <c r="Q405" s="423"/>
      <c r="R405" s="423"/>
      <c r="S405" s="423"/>
      <c r="T405" s="423"/>
      <c r="U405" s="423"/>
      <c r="V405" s="423"/>
      <c r="W405" s="423"/>
      <c r="X405" s="377"/>
      <c r="Y405" s="377"/>
      <c r="Z405" s="377"/>
      <c r="AA405" s="377"/>
      <c r="AB405" s="377"/>
    </row>
    <row r="406">
      <c r="A406" s="390" t="s">
        <v>1023</v>
      </c>
      <c r="B406" s="390" t="s">
        <v>1076</v>
      </c>
      <c r="C406" s="390" t="s">
        <v>2065</v>
      </c>
      <c r="D406" s="427" t="s">
        <v>1699</v>
      </c>
      <c r="E406" s="383">
        <v>21500.0</v>
      </c>
      <c r="F406" s="383">
        <f t="shared" si="72"/>
        <v>17768.59504</v>
      </c>
      <c r="G406" s="414">
        <f t="shared" si="75"/>
        <v>3484.038243</v>
      </c>
      <c r="H406" s="390" t="s">
        <v>2066</v>
      </c>
      <c r="I406" s="422"/>
      <c r="J406" s="423"/>
      <c r="K406" s="423"/>
      <c r="L406" s="440"/>
      <c r="M406" s="423"/>
      <c r="N406" s="423"/>
      <c r="O406" s="423"/>
      <c r="P406" s="423"/>
      <c r="Q406" s="423"/>
      <c r="R406" s="423"/>
      <c r="S406" s="423"/>
      <c r="T406" s="423"/>
      <c r="U406" s="423"/>
      <c r="V406" s="423"/>
      <c r="W406" s="423"/>
      <c r="X406" s="377"/>
      <c r="Y406" s="377"/>
      <c r="Z406" s="377"/>
      <c r="AA406" s="377"/>
      <c r="AB406" s="377"/>
    </row>
    <row r="407">
      <c r="A407" s="390" t="s">
        <v>1086</v>
      </c>
      <c r="B407" s="390" t="s">
        <v>1076</v>
      </c>
      <c r="C407" s="390" t="s">
        <v>2067</v>
      </c>
      <c r="D407" s="427" t="s">
        <v>2068</v>
      </c>
      <c r="E407" s="383">
        <v>10800.0</v>
      </c>
      <c r="F407" s="383">
        <f t="shared" si="72"/>
        <v>8925.619835</v>
      </c>
      <c r="G407" s="414">
        <f t="shared" si="75"/>
        <v>1750.121536</v>
      </c>
      <c r="H407" s="390" t="s">
        <v>2069</v>
      </c>
      <c r="I407" s="422"/>
      <c r="J407" s="423"/>
      <c r="K407" s="423"/>
      <c r="L407" s="440"/>
      <c r="M407" s="423"/>
      <c r="N407" s="423"/>
      <c r="O407" s="423"/>
      <c r="P407" s="423"/>
      <c r="Q407" s="423"/>
      <c r="R407" s="423"/>
      <c r="S407" s="423"/>
      <c r="T407" s="423"/>
      <c r="U407" s="423"/>
      <c r="V407" s="423"/>
      <c r="W407" s="423"/>
      <c r="X407" s="377"/>
      <c r="Y407" s="377"/>
      <c r="Z407" s="377"/>
      <c r="AA407" s="377"/>
      <c r="AB407" s="377"/>
    </row>
    <row r="408">
      <c r="A408" s="453" t="s">
        <v>835</v>
      </c>
      <c r="B408" s="390" t="s">
        <v>1076</v>
      </c>
      <c r="C408" s="390" t="s">
        <v>2070</v>
      </c>
      <c r="D408" s="427" t="s">
        <v>2071</v>
      </c>
      <c r="E408" s="383">
        <v>8305.0</v>
      </c>
      <c r="F408" s="383">
        <f t="shared" si="72"/>
        <v>6863.636364</v>
      </c>
      <c r="G408" s="414">
        <f t="shared" si="75"/>
        <v>1345.811052</v>
      </c>
      <c r="H408" s="390"/>
      <c r="I408" s="422"/>
      <c r="J408" s="423"/>
      <c r="K408" s="423"/>
      <c r="L408" s="440"/>
      <c r="M408" s="423"/>
      <c r="N408" s="423"/>
      <c r="O408" s="423"/>
      <c r="P408" s="423"/>
      <c r="Q408" s="423"/>
      <c r="R408" s="423"/>
      <c r="S408" s="423"/>
      <c r="T408" s="423"/>
      <c r="U408" s="423"/>
      <c r="V408" s="423"/>
      <c r="W408" s="423"/>
      <c r="X408" s="377"/>
      <c r="Y408" s="377"/>
      <c r="Z408" s="377"/>
      <c r="AA408" s="377"/>
      <c r="AB408" s="377"/>
    </row>
    <row r="409">
      <c r="A409" s="390" t="s">
        <v>835</v>
      </c>
      <c r="B409" s="390" t="s">
        <v>1076</v>
      </c>
      <c r="C409" s="390" t="s">
        <v>2072</v>
      </c>
      <c r="D409" s="427" t="s">
        <v>2073</v>
      </c>
      <c r="E409" s="383">
        <v>39661.47</v>
      </c>
      <c r="F409" s="383">
        <f t="shared" si="72"/>
        <v>32778.07438</v>
      </c>
      <c r="G409" s="414">
        <f t="shared" ref="G409:G410" si="76">F409/5.25</f>
        <v>6243.442739</v>
      </c>
      <c r="H409" s="390"/>
      <c r="I409" s="422"/>
      <c r="J409" s="423"/>
      <c r="K409" s="423"/>
      <c r="L409" s="440"/>
      <c r="M409" s="423"/>
      <c r="N409" s="423"/>
      <c r="O409" s="423"/>
      <c r="P409" s="423"/>
      <c r="Q409" s="423"/>
      <c r="R409" s="423"/>
      <c r="S409" s="423"/>
      <c r="T409" s="423"/>
      <c r="U409" s="423"/>
      <c r="V409" s="423"/>
      <c r="W409" s="423"/>
      <c r="X409" s="377"/>
      <c r="Y409" s="377"/>
      <c r="Z409" s="377"/>
      <c r="AA409" s="377"/>
      <c r="AB409" s="377"/>
    </row>
    <row r="410">
      <c r="A410" s="390" t="s">
        <v>826</v>
      </c>
      <c r="B410" s="390" t="s">
        <v>1076</v>
      </c>
      <c r="C410" s="390" t="s">
        <v>2074</v>
      </c>
      <c r="D410" s="427" t="s">
        <v>2075</v>
      </c>
      <c r="E410" s="383">
        <v>1550010.0</v>
      </c>
      <c r="F410" s="383">
        <f t="shared" si="72"/>
        <v>1281000</v>
      </c>
      <c r="G410" s="414">
        <f t="shared" si="76"/>
        <v>244000</v>
      </c>
      <c r="H410" s="390" t="s">
        <v>2076</v>
      </c>
      <c r="I410" s="422"/>
      <c r="J410" s="423"/>
      <c r="K410" s="423"/>
      <c r="L410" s="440"/>
      <c r="M410" s="423"/>
      <c r="N410" s="423"/>
      <c r="O410" s="423"/>
      <c r="P410" s="423"/>
      <c r="Q410" s="423"/>
      <c r="R410" s="423"/>
      <c r="S410" s="423"/>
      <c r="T410" s="423"/>
      <c r="U410" s="423"/>
      <c r="V410" s="423"/>
      <c r="W410" s="423"/>
      <c r="X410" s="377"/>
      <c r="Y410" s="377"/>
      <c r="Z410" s="377"/>
      <c r="AA410" s="377"/>
      <c r="AB410" s="377"/>
    </row>
    <row r="411">
      <c r="A411" s="390" t="s">
        <v>835</v>
      </c>
      <c r="B411" s="390" t="s">
        <v>1076</v>
      </c>
      <c r="C411" s="390" t="s">
        <v>2077</v>
      </c>
      <c r="D411" s="427" t="s">
        <v>2078</v>
      </c>
      <c r="E411" s="383">
        <v>319440.0</v>
      </c>
      <c r="F411" s="383">
        <v>264000.0</v>
      </c>
      <c r="G411" s="414">
        <v>50000.0</v>
      </c>
      <c r="H411" s="390"/>
      <c r="I411" s="422"/>
      <c r="J411" s="423"/>
      <c r="K411" s="423"/>
      <c r="L411" s="440"/>
      <c r="M411" s="423"/>
      <c r="N411" s="423"/>
      <c r="O411" s="423"/>
      <c r="P411" s="423"/>
      <c r="Q411" s="423"/>
      <c r="R411" s="423"/>
      <c r="S411" s="423"/>
      <c r="T411" s="423"/>
      <c r="U411" s="423"/>
      <c r="V411" s="423"/>
      <c r="W411" s="423"/>
      <c r="X411" s="377"/>
      <c r="Y411" s="377"/>
      <c r="Z411" s="377"/>
      <c r="AA411" s="377"/>
      <c r="AB411" s="377"/>
    </row>
    <row r="412">
      <c r="A412" s="452" t="s">
        <v>835</v>
      </c>
      <c r="B412" s="390" t="s">
        <v>1076</v>
      </c>
      <c r="C412" s="390" t="s">
        <v>2079</v>
      </c>
      <c r="D412" s="427" t="s">
        <v>2080</v>
      </c>
      <c r="E412" s="383">
        <v>10500.0</v>
      </c>
      <c r="F412" s="383">
        <f t="shared" ref="F412:F526" si="77">E412/1.21</f>
        <v>8677.68595</v>
      </c>
      <c r="G412" s="414">
        <f>F412/5.25</f>
        <v>1652.892562</v>
      </c>
      <c r="H412" s="390" t="s">
        <v>2081</v>
      </c>
      <c r="I412" s="422"/>
      <c r="J412" s="423"/>
      <c r="K412" s="423"/>
      <c r="L412" s="440"/>
      <c r="M412" s="423"/>
      <c r="N412" s="423"/>
      <c r="O412" s="423"/>
      <c r="P412" s="423"/>
      <c r="Q412" s="423"/>
      <c r="R412" s="423"/>
      <c r="S412" s="423"/>
      <c r="T412" s="423"/>
      <c r="U412" s="423"/>
      <c r="V412" s="423"/>
      <c r="W412" s="423"/>
      <c r="X412" s="377"/>
      <c r="Y412" s="377"/>
      <c r="Z412" s="377"/>
      <c r="AA412" s="377"/>
      <c r="AB412" s="377"/>
    </row>
    <row r="413">
      <c r="A413" s="390" t="s">
        <v>826</v>
      </c>
      <c r="B413" s="390" t="s">
        <v>1076</v>
      </c>
      <c r="C413" s="390" t="s">
        <v>2082</v>
      </c>
      <c r="D413" s="427" t="s">
        <v>2083</v>
      </c>
      <c r="E413" s="383">
        <v>229125.6</v>
      </c>
      <c r="F413" s="383">
        <f t="shared" si="77"/>
        <v>189360</v>
      </c>
      <c r="G413" s="414">
        <f t="shared" ref="G413:G423" si="78">F413/5.26</f>
        <v>36000</v>
      </c>
      <c r="H413" s="390"/>
      <c r="I413" s="422"/>
      <c r="J413" s="423"/>
      <c r="K413" s="423"/>
      <c r="L413" s="440"/>
      <c r="M413" s="423"/>
      <c r="N413" s="423"/>
      <c r="O413" s="423"/>
      <c r="P413" s="423"/>
      <c r="Q413" s="423"/>
      <c r="R413" s="423"/>
      <c r="S413" s="423"/>
      <c r="T413" s="423"/>
      <c r="U413" s="423"/>
      <c r="V413" s="423"/>
      <c r="W413" s="423"/>
      <c r="X413" s="377"/>
      <c r="Y413" s="377"/>
      <c r="Z413" s="377"/>
      <c r="AA413" s="377"/>
      <c r="AB413" s="377"/>
    </row>
    <row r="414">
      <c r="A414" s="454" t="s">
        <v>1086</v>
      </c>
      <c r="B414" s="390" t="s">
        <v>1076</v>
      </c>
      <c r="C414" s="390" t="s">
        <v>2084</v>
      </c>
      <c r="D414" s="427" t="s">
        <v>2085</v>
      </c>
      <c r="E414" s="383">
        <v>23530.02</v>
      </c>
      <c r="F414" s="383">
        <f t="shared" si="77"/>
        <v>19446.29752</v>
      </c>
      <c r="G414" s="414">
        <f t="shared" si="78"/>
        <v>3697.014738</v>
      </c>
      <c r="H414" s="390" t="s">
        <v>2086</v>
      </c>
      <c r="I414" s="422"/>
      <c r="J414" s="423"/>
      <c r="K414" s="423"/>
      <c r="L414" s="440"/>
      <c r="M414" s="423"/>
      <c r="N414" s="423"/>
      <c r="O414" s="423"/>
      <c r="P414" s="423"/>
      <c r="Q414" s="423"/>
      <c r="R414" s="423"/>
      <c r="S414" s="423"/>
      <c r="T414" s="423"/>
      <c r="U414" s="423"/>
      <c r="V414" s="423"/>
      <c r="W414" s="424" t="s">
        <v>2087</v>
      </c>
      <c r="X414" s="377"/>
      <c r="Y414" s="377"/>
      <c r="Z414" s="377"/>
      <c r="AA414" s="377"/>
      <c r="AB414" s="377"/>
    </row>
    <row r="415">
      <c r="A415" s="455" t="s">
        <v>835</v>
      </c>
      <c r="B415" s="390" t="s">
        <v>1076</v>
      </c>
      <c r="C415" s="390" t="s">
        <v>2088</v>
      </c>
      <c r="D415" s="427" t="s">
        <v>2089</v>
      </c>
      <c r="E415" s="383">
        <v>10500.0</v>
      </c>
      <c r="F415" s="383">
        <f t="shared" si="77"/>
        <v>8677.68595</v>
      </c>
      <c r="G415" s="414">
        <f t="shared" si="78"/>
        <v>1649.750181</v>
      </c>
      <c r="H415" s="390"/>
      <c r="I415" s="422"/>
      <c r="J415" s="423"/>
      <c r="K415" s="423"/>
      <c r="L415" s="440"/>
      <c r="M415" s="423"/>
      <c r="N415" s="423"/>
      <c r="O415" s="423"/>
      <c r="P415" s="423"/>
      <c r="Q415" s="423"/>
      <c r="R415" s="423"/>
      <c r="S415" s="423"/>
      <c r="T415" s="423"/>
      <c r="U415" s="423"/>
      <c r="V415" s="423"/>
      <c r="W415" s="423"/>
      <c r="X415" s="377"/>
      <c r="Y415" s="377"/>
      <c r="Z415" s="377"/>
      <c r="AA415" s="377"/>
      <c r="AB415" s="377"/>
    </row>
    <row r="416">
      <c r="A416" s="390" t="s">
        <v>1167</v>
      </c>
      <c r="B416" s="390" t="s">
        <v>1076</v>
      </c>
      <c r="C416" s="390" t="s">
        <v>2090</v>
      </c>
      <c r="D416" s="427" t="s">
        <v>2091</v>
      </c>
      <c r="E416" s="383">
        <v>24200.0</v>
      </c>
      <c r="F416" s="383">
        <f t="shared" si="77"/>
        <v>20000</v>
      </c>
      <c r="G416" s="414">
        <f t="shared" si="78"/>
        <v>3802.281369</v>
      </c>
      <c r="H416" s="439"/>
      <c r="I416" s="422"/>
      <c r="J416" s="423"/>
      <c r="K416" s="423"/>
      <c r="L416" s="440"/>
      <c r="M416" s="423"/>
      <c r="N416" s="423"/>
      <c r="O416" s="423"/>
      <c r="P416" s="423"/>
      <c r="Q416" s="423"/>
      <c r="R416" s="423"/>
      <c r="S416" s="423"/>
      <c r="T416" s="423"/>
      <c r="U416" s="423"/>
      <c r="V416" s="423"/>
      <c r="W416" s="423"/>
      <c r="X416" s="377"/>
      <c r="Y416" s="377"/>
      <c r="Z416" s="377"/>
      <c r="AA416" s="377"/>
      <c r="AB416" s="377"/>
    </row>
    <row r="417">
      <c r="A417" s="390" t="s">
        <v>835</v>
      </c>
      <c r="B417" s="390" t="s">
        <v>1076</v>
      </c>
      <c r="C417" s="390" t="s">
        <v>2092</v>
      </c>
      <c r="D417" s="427" t="s">
        <v>1105</v>
      </c>
      <c r="E417" s="383">
        <v>42058.0</v>
      </c>
      <c r="F417" s="383">
        <f t="shared" si="77"/>
        <v>34758.67769</v>
      </c>
      <c r="G417" s="414">
        <f t="shared" si="78"/>
        <v>6608.113629</v>
      </c>
      <c r="H417" s="439"/>
      <c r="I417" s="422"/>
      <c r="J417" s="423"/>
      <c r="K417" s="423"/>
      <c r="L417" s="440"/>
      <c r="M417" s="423"/>
      <c r="N417" s="423"/>
      <c r="O417" s="423"/>
      <c r="P417" s="423"/>
      <c r="Q417" s="423"/>
      <c r="R417" s="423"/>
      <c r="S417" s="423"/>
      <c r="T417" s="423"/>
      <c r="U417" s="423"/>
      <c r="V417" s="423"/>
      <c r="W417" s="423"/>
      <c r="X417" s="377"/>
      <c r="Y417" s="377"/>
      <c r="Z417" s="377"/>
      <c r="AA417" s="377"/>
      <c r="AB417" s="377"/>
    </row>
    <row r="418">
      <c r="A418" s="390" t="s">
        <v>145</v>
      </c>
      <c r="B418" s="390" t="s">
        <v>1076</v>
      </c>
      <c r="C418" s="390" t="s">
        <v>2093</v>
      </c>
      <c r="D418" s="427" t="s">
        <v>469</v>
      </c>
      <c r="E418" s="383">
        <v>605.0</v>
      </c>
      <c r="F418" s="383">
        <f t="shared" si="77"/>
        <v>500</v>
      </c>
      <c r="G418" s="414">
        <f t="shared" si="78"/>
        <v>95.05703422</v>
      </c>
      <c r="H418" s="439"/>
      <c r="I418" s="422"/>
      <c r="J418" s="423"/>
      <c r="K418" s="423"/>
      <c r="L418" s="440"/>
      <c r="M418" s="424" t="s">
        <v>1006</v>
      </c>
      <c r="N418" s="423"/>
      <c r="O418" s="423"/>
      <c r="P418" s="423"/>
      <c r="Q418" s="423"/>
      <c r="R418" s="423"/>
      <c r="S418" s="423"/>
      <c r="T418" s="423"/>
      <c r="U418" s="423"/>
      <c r="V418" s="423"/>
      <c r="W418" s="424" t="s">
        <v>2094</v>
      </c>
      <c r="X418" s="377"/>
      <c r="Y418" s="377"/>
      <c r="Z418" s="377"/>
      <c r="AA418" s="377"/>
      <c r="AB418" s="377"/>
    </row>
    <row r="419">
      <c r="A419" s="390" t="s">
        <v>1149</v>
      </c>
      <c r="B419" s="390" t="s">
        <v>1076</v>
      </c>
      <c r="C419" s="390" t="s">
        <v>2095</v>
      </c>
      <c r="D419" s="427" t="s">
        <v>493</v>
      </c>
      <c r="E419" s="383">
        <v>19840.0</v>
      </c>
      <c r="F419" s="383">
        <f t="shared" si="77"/>
        <v>16396.69421</v>
      </c>
      <c r="G419" s="414">
        <f t="shared" si="78"/>
        <v>3117.242246</v>
      </c>
      <c r="H419" s="439"/>
      <c r="I419" s="422"/>
      <c r="J419" s="423"/>
      <c r="K419" s="423"/>
      <c r="L419" s="440"/>
      <c r="M419" s="423"/>
      <c r="N419" s="423"/>
      <c r="O419" s="423"/>
      <c r="P419" s="423"/>
      <c r="Q419" s="423"/>
      <c r="R419" s="423"/>
      <c r="S419" s="423"/>
      <c r="T419" s="423"/>
      <c r="U419" s="423"/>
      <c r="V419" s="423"/>
      <c r="W419" s="423"/>
      <c r="X419" s="377"/>
      <c r="Y419" s="377"/>
      <c r="Z419" s="377"/>
      <c r="AA419" s="377"/>
      <c r="AB419" s="377"/>
    </row>
    <row r="420">
      <c r="A420" s="390" t="s">
        <v>145</v>
      </c>
      <c r="B420" s="390" t="s">
        <v>1076</v>
      </c>
      <c r="C420" s="390" t="s">
        <v>2096</v>
      </c>
      <c r="D420" s="427" t="s">
        <v>2097</v>
      </c>
      <c r="E420" s="383">
        <v>0.0</v>
      </c>
      <c r="F420" s="383">
        <f t="shared" si="77"/>
        <v>0</v>
      </c>
      <c r="G420" s="414">
        <f t="shared" si="78"/>
        <v>0</v>
      </c>
      <c r="H420" s="439"/>
      <c r="I420" s="422"/>
      <c r="J420" s="423"/>
      <c r="K420" s="423"/>
      <c r="L420" s="440"/>
      <c r="M420" s="424" t="s">
        <v>1006</v>
      </c>
      <c r="N420" s="423"/>
      <c r="O420" s="423"/>
      <c r="P420" s="423"/>
      <c r="Q420" s="423"/>
      <c r="R420" s="423"/>
      <c r="S420" s="423"/>
      <c r="T420" s="423"/>
      <c r="U420" s="423"/>
      <c r="V420" s="423"/>
      <c r="W420" s="424" t="s">
        <v>2098</v>
      </c>
      <c r="X420" s="377"/>
      <c r="Y420" s="377"/>
      <c r="Z420" s="377"/>
      <c r="AA420" s="377"/>
      <c r="AB420" s="377"/>
    </row>
    <row r="421">
      <c r="A421" s="390" t="s">
        <v>1086</v>
      </c>
      <c r="B421" s="390" t="s">
        <v>1076</v>
      </c>
      <c r="C421" s="390" t="s">
        <v>2099</v>
      </c>
      <c r="D421" s="427" t="s">
        <v>2100</v>
      </c>
      <c r="E421" s="383">
        <v>32500.0</v>
      </c>
      <c r="F421" s="383">
        <f t="shared" si="77"/>
        <v>26859.50413</v>
      </c>
      <c r="G421" s="414">
        <f t="shared" si="78"/>
        <v>5106.369607</v>
      </c>
      <c r="H421" s="439"/>
      <c r="I421" s="422"/>
      <c r="J421" s="423"/>
      <c r="K421" s="423"/>
      <c r="L421" s="440"/>
      <c r="M421" s="423"/>
      <c r="N421" s="423"/>
      <c r="O421" s="423"/>
      <c r="P421" s="423"/>
      <c r="Q421" s="423"/>
      <c r="R421" s="423"/>
      <c r="S421" s="423"/>
      <c r="T421" s="423"/>
      <c r="U421" s="423"/>
      <c r="V421" s="423"/>
      <c r="W421" s="423"/>
      <c r="X421" s="377"/>
      <c r="Y421" s="377"/>
      <c r="Z421" s="377"/>
      <c r="AA421" s="377"/>
      <c r="AB421" s="377"/>
    </row>
    <row r="422">
      <c r="A422" s="390" t="s">
        <v>835</v>
      </c>
      <c r="B422" s="390" t="s">
        <v>1076</v>
      </c>
      <c r="C422" s="390" t="s">
        <v>2101</v>
      </c>
      <c r="D422" s="427" t="s">
        <v>2102</v>
      </c>
      <c r="E422" s="383">
        <v>53576.02</v>
      </c>
      <c r="F422" s="383">
        <f t="shared" si="77"/>
        <v>44277.70248</v>
      </c>
      <c r="G422" s="414">
        <f t="shared" si="78"/>
        <v>8417.81416</v>
      </c>
      <c r="H422" s="439"/>
      <c r="I422" s="422"/>
      <c r="J422" s="423"/>
      <c r="K422" s="423"/>
      <c r="L422" s="440"/>
      <c r="M422" s="423"/>
      <c r="N422" s="423"/>
      <c r="O422" s="423"/>
      <c r="P422" s="423"/>
      <c r="Q422" s="423"/>
      <c r="R422" s="423"/>
      <c r="S422" s="423"/>
      <c r="T422" s="423"/>
      <c r="U422" s="423"/>
      <c r="V422" s="423"/>
      <c r="W422" s="423"/>
      <c r="X422" s="377"/>
      <c r="Y422" s="377"/>
      <c r="Z422" s="377"/>
      <c r="AA422" s="377"/>
      <c r="AB422" s="377"/>
    </row>
    <row r="423">
      <c r="A423" s="390" t="s">
        <v>835</v>
      </c>
      <c r="B423" s="390" t="s">
        <v>1076</v>
      </c>
      <c r="C423" s="390" t="s">
        <v>2103</v>
      </c>
      <c r="D423" s="427" t="s">
        <v>2104</v>
      </c>
      <c r="E423" s="383">
        <v>34065.0</v>
      </c>
      <c r="F423" s="383">
        <f t="shared" si="77"/>
        <v>28152.89256</v>
      </c>
      <c r="G423" s="414">
        <f t="shared" si="78"/>
        <v>5352.260943</v>
      </c>
      <c r="H423" s="439"/>
      <c r="I423" s="422"/>
      <c r="J423" s="423"/>
      <c r="K423" s="423"/>
      <c r="L423" s="440"/>
      <c r="M423" s="423"/>
      <c r="N423" s="423"/>
      <c r="O423" s="423"/>
      <c r="P423" s="423"/>
      <c r="Q423" s="423"/>
      <c r="R423" s="423"/>
      <c r="S423" s="423"/>
      <c r="T423" s="423"/>
      <c r="U423" s="423"/>
      <c r="V423" s="423"/>
      <c r="W423" s="423"/>
      <c r="X423" s="377"/>
      <c r="Y423" s="377"/>
      <c r="Z423" s="377"/>
      <c r="AA423" s="377"/>
      <c r="AB423" s="377"/>
    </row>
    <row r="424">
      <c r="A424" s="443" t="s">
        <v>835</v>
      </c>
      <c r="B424" s="390" t="s">
        <v>1076</v>
      </c>
      <c r="C424" s="390" t="s">
        <v>2105</v>
      </c>
      <c r="D424" s="427" t="s">
        <v>2106</v>
      </c>
      <c r="E424" s="383">
        <f>G424*5.21*1.21</f>
        <v>144593.9897</v>
      </c>
      <c r="F424" s="383">
        <f t="shared" si="77"/>
        <v>119499.165</v>
      </c>
      <c r="G424" s="414">
        <v>22936.5</v>
      </c>
      <c r="H424" s="439"/>
      <c r="I424" s="422"/>
      <c r="J424" s="423"/>
      <c r="K424" s="423"/>
      <c r="L424" s="440"/>
      <c r="M424" s="423"/>
      <c r="N424" s="423"/>
      <c r="O424" s="423"/>
      <c r="P424" s="423"/>
      <c r="Q424" s="423"/>
      <c r="R424" s="423"/>
      <c r="S424" s="423"/>
      <c r="T424" s="423"/>
      <c r="U424" s="423"/>
      <c r="V424" s="423"/>
      <c r="W424" s="423"/>
      <c r="X424" s="377"/>
      <c r="Y424" s="377"/>
      <c r="Z424" s="377"/>
      <c r="AA424" s="377"/>
      <c r="AB424" s="377"/>
    </row>
    <row r="425">
      <c r="A425" s="390" t="s">
        <v>826</v>
      </c>
      <c r="B425" s="390" t="s">
        <v>1076</v>
      </c>
      <c r="C425" s="390" t="s">
        <v>2107</v>
      </c>
      <c r="D425" s="427" t="s">
        <v>1189</v>
      </c>
      <c r="E425" s="383">
        <v>4195.0</v>
      </c>
      <c r="F425" s="383">
        <f t="shared" si="77"/>
        <v>3466.942149</v>
      </c>
      <c r="G425" s="414">
        <f t="shared" ref="G425:G436" si="79">F425/5.26</f>
        <v>659.114477</v>
      </c>
      <c r="H425" s="425" t="s">
        <v>2108</v>
      </c>
      <c r="I425" s="422"/>
      <c r="J425" s="423"/>
      <c r="K425" s="423"/>
      <c r="L425" s="440"/>
      <c r="M425" s="424" t="s">
        <v>156</v>
      </c>
      <c r="N425" s="423"/>
      <c r="O425" s="423"/>
      <c r="P425" s="423"/>
      <c r="Q425" s="423"/>
      <c r="R425" s="423"/>
      <c r="S425" s="423"/>
      <c r="T425" s="423"/>
      <c r="U425" s="423"/>
      <c r="V425" s="423"/>
      <c r="W425" s="423"/>
      <c r="X425" s="377"/>
      <c r="Y425" s="377"/>
      <c r="Z425" s="377"/>
      <c r="AA425" s="377"/>
      <c r="AB425" s="377"/>
    </row>
    <row r="426">
      <c r="A426" s="390" t="s">
        <v>826</v>
      </c>
      <c r="B426" s="390" t="s">
        <v>1076</v>
      </c>
      <c r="C426" s="390" t="s">
        <v>2109</v>
      </c>
      <c r="D426" s="427" t="s">
        <v>2110</v>
      </c>
      <c r="E426" s="383">
        <v>24805.0</v>
      </c>
      <c r="F426" s="383">
        <f t="shared" si="77"/>
        <v>20500</v>
      </c>
      <c r="G426" s="414">
        <f t="shared" si="79"/>
        <v>3897.338403</v>
      </c>
      <c r="H426" s="425" t="s">
        <v>2108</v>
      </c>
      <c r="I426" s="422"/>
      <c r="J426" s="423"/>
      <c r="K426" s="423"/>
      <c r="L426" s="440"/>
      <c r="M426" s="424" t="s">
        <v>156</v>
      </c>
      <c r="N426" s="423"/>
      <c r="O426" s="423"/>
      <c r="P426" s="423"/>
      <c r="Q426" s="423"/>
      <c r="R426" s="423"/>
      <c r="S426" s="423"/>
      <c r="T426" s="423"/>
      <c r="U426" s="423"/>
      <c r="V426" s="423"/>
      <c r="W426" s="423"/>
      <c r="X426" s="377"/>
      <c r="Y426" s="377"/>
      <c r="Z426" s="377"/>
      <c r="AA426" s="377"/>
      <c r="AB426" s="377"/>
    </row>
    <row r="427">
      <c r="A427" s="390" t="s">
        <v>835</v>
      </c>
      <c r="B427" s="390" t="s">
        <v>1076</v>
      </c>
      <c r="C427" s="390" t="s">
        <v>2111</v>
      </c>
      <c r="D427" s="427" t="s">
        <v>2112</v>
      </c>
      <c r="E427" s="383">
        <v>18500.0</v>
      </c>
      <c r="F427" s="383">
        <f t="shared" si="77"/>
        <v>15289.2562</v>
      </c>
      <c r="G427" s="414">
        <f t="shared" si="79"/>
        <v>2906.702699</v>
      </c>
      <c r="H427" s="439"/>
      <c r="I427" s="422"/>
      <c r="J427" s="423"/>
      <c r="K427" s="423"/>
      <c r="L427" s="440"/>
      <c r="M427" s="423"/>
      <c r="N427" s="423"/>
      <c r="O427" s="423"/>
      <c r="P427" s="423"/>
      <c r="Q427" s="423"/>
      <c r="R427" s="423"/>
      <c r="S427" s="423"/>
      <c r="T427" s="423"/>
      <c r="U427" s="423"/>
      <c r="V427" s="423"/>
      <c r="W427" s="423"/>
      <c r="X427" s="377"/>
      <c r="Y427" s="377"/>
      <c r="Z427" s="377"/>
      <c r="AA427" s="377"/>
      <c r="AB427" s="377"/>
    </row>
    <row r="428">
      <c r="A428" s="390" t="s">
        <v>1086</v>
      </c>
      <c r="B428" s="390" t="s">
        <v>1076</v>
      </c>
      <c r="C428" s="390" t="s">
        <v>2113</v>
      </c>
      <c r="D428" s="427" t="s">
        <v>2114</v>
      </c>
      <c r="E428" s="383">
        <v>38286.82</v>
      </c>
      <c r="F428" s="383">
        <f t="shared" si="77"/>
        <v>31642</v>
      </c>
      <c r="G428" s="414">
        <f t="shared" si="79"/>
        <v>6015.589354</v>
      </c>
      <c r="H428" s="425" t="s">
        <v>2115</v>
      </c>
      <c r="I428" s="422"/>
      <c r="J428" s="423"/>
      <c r="K428" s="423"/>
      <c r="L428" s="440"/>
      <c r="M428" s="423"/>
      <c r="N428" s="423"/>
      <c r="O428" s="423"/>
      <c r="P428" s="423"/>
      <c r="Q428" s="423"/>
      <c r="R428" s="423"/>
      <c r="S428" s="423"/>
      <c r="T428" s="423"/>
      <c r="U428" s="423"/>
      <c r="V428" s="423"/>
      <c r="W428" s="423"/>
      <c r="X428" s="377"/>
      <c r="Y428" s="377"/>
      <c r="Z428" s="377"/>
      <c r="AA428" s="377"/>
      <c r="AB428" s="377"/>
    </row>
    <row r="429">
      <c r="A429" s="390" t="s">
        <v>1086</v>
      </c>
      <c r="B429" s="390" t="s">
        <v>1076</v>
      </c>
      <c r="C429" s="390" t="s">
        <v>2116</v>
      </c>
      <c r="D429" s="427" t="s">
        <v>2117</v>
      </c>
      <c r="E429" s="383">
        <v>36631.83</v>
      </c>
      <c r="F429" s="383">
        <f t="shared" si="77"/>
        <v>30274.23967</v>
      </c>
      <c r="G429" s="414">
        <f t="shared" si="79"/>
        <v>5755.558873</v>
      </c>
      <c r="H429" s="425" t="s">
        <v>2118</v>
      </c>
      <c r="I429" s="422"/>
      <c r="J429" s="423"/>
      <c r="K429" s="423"/>
      <c r="L429" s="440"/>
      <c r="M429" s="423"/>
      <c r="N429" s="423"/>
      <c r="O429" s="423"/>
      <c r="P429" s="423"/>
      <c r="Q429" s="423"/>
      <c r="R429" s="423"/>
      <c r="S429" s="423"/>
      <c r="T429" s="423"/>
      <c r="U429" s="423"/>
      <c r="V429" s="423"/>
      <c r="W429" s="423"/>
      <c r="X429" s="377"/>
      <c r="Y429" s="377"/>
      <c r="Z429" s="377"/>
      <c r="AA429" s="377"/>
      <c r="AB429" s="377"/>
    </row>
    <row r="430">
      <c r="A430" s="390" t="s">
        <v>1086</v>
      </c>
      <c r="B430" s="390" t="s">
        <v>1076</v>
      </c>
      <c r="C430" s="390" t="s">
        <v>2119</v>
      </c>
      <c r="D430" s="427" t="s">
        <v>2120</v>
      </c>
      <c r="E430" s="383">
        <v>26551.73</v>
      </c>
      <c r="F430" s="383">
        <f t="shared" si="77"/>
        <v>21943.57851</v>
      </c>
      <c r="G430" s="414">
        <f t="shared" si="79"/>
        <v>4171.782987</v>
      </c>
      <c r="H430" s="425" t="s">
        <v>2121</v>
      </c>
      <c r="I430" s="422"/>
      <c r="J430" s="423"/>
      <c r="K430" s="423"/>
      <c r="L430" s="440"/>
      <c r="M430" s="423"/>
      <c r="N430" s="423"/>
      <c r="O430" s="423"/>
      <c r="P430" s="423"/>
      <c r="Q430" s="423"/>
      <c r="R430" s="423"/>
      <c r="S430" s="423"/>
      <c r="T430" s="423"/>
      <c r="U430" s="423"/>
      <c r="V430" s="423"/>
      <c r="W430" s="423"/>
      <c r="X430" s="377"/>
      <c r="Y430" s="377"/>
      <c r="Z430" s="377"/>
      <c r="AA430" s="377"/>
      <c r="AB430" s="377"/>
    </row>
    <row r="431" ht="21.75" customHeight="1">
      <c r="A431" s="390" t="s">
        <v>1086</v>
      </c>
      <c r="B431" s="390" t="s">
        <v>1076</v>
      </c>
      <c r="C431" s="390" t="s">
        <v>2122</v>
      </c>
      <c r="D431" s="427" t="s">
        <v>2123</v>
      </c>
      <c r="E431" s="383">
        <v>79488.75</v>
      </c>
      <c r="F431" s="383">
        <f t="shared" si="77"/>
        <v>65693.18182</v>
      </c>
      <c r="G431" s="414">
        <f t="shared" si="79"/>
        <v>12489.19806</v>
      </c>
      <c r="H431" s="425" t="s">
        <v>2124</v>
      </c>
      <c r="I431" s="422"/>
      <c r="J431" s="423"/>
      <c r="K431" s="423"/>
      <c r="L431" s="440"/>
      <c r="M431" s="423"/>
      <c r="N431" s="423"/>
      <c r="O431" s="423"/>
      <c r="P431" s="423"/>
      <c r="Q431" s="423"/>
      <c r="R431" s="423"/>
      <c r="S431" s="423"/>
      <c r="T431" s="423"/>
      <c r="U431" s="423"/>
      <c r="V431" s="423"/>
      <c r="W431" s="423"/>
      <c r="X431" s="377"/>
      <c r="Y431" s="377"/>
      <c r="Z431" s="377"/>
      <c r="AA431" s="377"/>
      <c r="AB431" s="377"/>
    </row>
    <row r="432" ht="30.75" customHeight="1">
      <c r="A432" s="390" t="s">
        <v>1086</v>
      </c>
      <c r="B432" s="390" t="s">
        <v>1076</v>
      </c>
      <c r="C432" s="390" t="s">
        <v>2125</v>
      </c>
      <c r="D432" s="427" t="s">
        <v>2126</v>
      </c>
      <c r="E432" s="383">
        <v>2884.76</v>
      </c>
      <c r="F432" s="383">
        <f t="shared" si="77"/>
        <v>2384.099174</v>
      </c>
      <c r="G432" s="414">
        <f t="shared" si="79"/>
        <v>453.2507935</v>
      </c>
      <c r="H432" s="425" t="s">
        <v>2127</v>
      </c>
      <c r="I432" s="422"/>
      <c r="J432" s="423"/>
      <c r="K432" s="423"/>
      <c r="L432" s="440"/>
      <c r="M432" s="423"/>
      <c r="N432" s="423"/>
      <c r="O432" s="423"/>
      <c r="P432" s="423"/>
      <c r="Q432" s="423"/>
      <c r="R432" s="423"/>
      <c r="S432" s="423"/>
      <c r="T432" s="423"/>
      <c r="U432" s="423"/>
      <c r="V432" s="423"/>
      <c r="W432" s="423"/>
      <c r="X432" s="377"/>
      <c r="Y432" s="377"/>
      <c r="Z432" s="377"/>
      <c r="AA432" s="377"/>
      <c r="AB432" s="377"/>
    </row>
    <row r="433">
      <c r="A433" s="390" t="s">
        <v>1086</v>
      </c>
      <c r="B433" s="390" t="s">
        <v>1076</v>
      </c>
      <c r="C433" s="390" t="s">
        <v>2128</v>
      </c>
      <c r="D433" s="427" t="s">
        <v>2129</v>
      </c>
      <c r="E433" s="383">
        <v>24975.27</v>
      </c>
      <c r="F433" s="383">
        <f t="shared" si="77"/>
        <v>20640.71901</v>
      </c>
      <c r="G433" s="414">
        <f t="shared" si="79"/>
        <v>3924.091066</v>
      </c>
      <c r="H433" s="425" t="s">
        <v>2130</v>
      </c>
      <c r="I433" s="422"/>
      <c r="J433" s="423"/>
      <c r="K433" s="423"/>
      <c r="L433" s="440"/>
      <c r="M433" s="423"/>
      <c r="N433" s="423"/>
      <c r="O433" s="423"/>
      <c r="P433" s="423"/>
      <c r="Q433" s="423"/>
      <c r="R433" s="423"/>
      <c r="S433" s="423"/>
      <c r="T433" s="423"/>
      <c r="U433" s="423"/>
      <c r="V433" s="423"/>
      <c r="W433" s="423"/>
      <c r="X433" s="377"/>
      <c r="Y433" s="377"/>
      <c r="Z433" s="377"/>
      <c r="AA433" s="377"/>
      <c r="AB433" s="377"/>
    </row>
    <row r="434">
      <c r="A434" s="390" t="s">
        <v>1086</v>
      </c>
      <c r="B434" s="390" t="s">
        <v>1076</v>
      </c>
      <c r="C434" s="390" t="s">
        <v>2131</v>
      </c>
      <c r="D434" s="427" t="s">
        <v>2132</v>
      </c>
      <c r="E434" s="383">
        <v>37114.8</v>
      </c>
      <c r="F434" s="383">
        <f t="shared" si="77"/>
        <v>30673.38843</v>
      </c>
      <c r="G434" s="414">
        <f t="shared" si="79"/>
        <v>5831.442667</v>
      </c>
      <c r="H434" s="425" t="s">
        <v>2133</v>
      </c>
      <c r="I434" s="422"/>
      <c r="J434" s="423"/>
      <c r="K434" s="423"/>
      <c r="L434" s="440"/>
      <c r="M434" s="423"/>
      <c r="N434" s="423"/>
      <c r="O434" s="423"/>
      <c r="P434" s="423"/>
      <c r="Q434" s="423"/>
      <c r="R434" s="423"/>
      <c r="S434" s="423"/>
      <c r="T434" s="423"/>
      <c r="U434" s="423"/>
      <c r="V434" s="423"/>
      <c r="W434" s="423"/>
      <c r="X434" s="377"/>
      <c r="Y434" s="377"/>
      <c r="Z434" s="377"/>
      <c r="AA434" s="377"/>
      <c r="AB434" s="377"/>
    </row>
    <row r="435">
      <c r="A435" s="390" t="s">
        <v>835</v>
      </c>
      <c r="B435" s="390" t="s">
        <v>1076</v>
      </c>
      <c r="C435" s="390" t="s">
        <v>2134</v>
      </c>
      <c r="D435" s="427" t="s">
        <v>2135</v>
      </c>
      <c r="E435" s="383">
        <v>32978.0</v>
      </c>
      <c r="F435" s="383">
        <f t="shared" si="77"/>
        <v>27254.54545</v>
      </c>
      <c r="G435" s="414">
        <f t="shared" si="79"/>
        <v>5181.47252</v>
      </c>
      <c r="H435" s="439"/>
      <c r="I435" s="422"/>
      <c r="J435" s="423"/>
      <c r="K435" s="423"/>
      <c r="L435" s="440"/>
      <c r="M435" s="423"/>
      <c r="N435" s="423"/>
      <c r="O435" s="423"/>
      <c r="P435" s="423"/>
      <c r="Q435" s="423"/>
      <c r="R435" s="423"/>
      <c r="S435" s="423"/>
      <c r="T435" s="423"/>
      <c r="U435" s="423"/>
      <c r="V435" s="423"/>
      <c r="W435" s="423"/>
      <c r="X435" s="377"/>
      <c r="Y435" s="377"/>
      <c r="Z435" s="377"/>
      <c r="AA435" s="377"/>
      <c r="AB435" s="377"/>
    </row>
    <row r="436">
      <c r="A436" s="390" t="s">
        <v>1086</v>
      </c>
      <c r="B436" s="390" t="s">
        <v>1076</v>
      </c>
      <c r="C436" s="390" t="s">
        <v>2136</v>
      </c>
      <c r="D436" s="427" t="s">
        <v>2137</v>
      </c>
      <c r="E436" s="383">
        <v>4186.3</v>
      </c>
      <c r="F436" s="383">
        <f t="shared" si="77"/>
        <v>3459.752066</v>
      </c>
      <c r="G436" s="414">
        <f t="shared" si="79"/>
        <v>657.7475411</v>
      </c>
      <c r="H436" s="425" t="s">
        <v>2138</v>
      </c>
      <c r="I436" s="422"/>
      <c r="J436" s="423"/>
      <c r="K436" s="423"/>
      <c r="L436" s="440"/>
      <c r="M436" s="423"/>
      <c r="N436" s="423"/>
      <c r="O436" s="423"/>
      <c r="P436" s="423"/>
      <c r="Q436" s="423"/>
      <c r="R436" s="423"/>
      <c r="S436" s="423"/>
      <c r="T436" s="423"/>
      <c r="U436" s="423"/>
      <c r="V436" s="423"/>
      <c r="W436" s="423"/>
      <c r="X436" s="377"/>
      <c r="Y436" s="377"/>
      <c r="Z436" s="377"/>
      <c r="AA436" s="377"/>
      <c r="AB436" s="377"/>
    </row>
    <row r="437">
      <c r="A437" s="390" t="s">
        <v>155</v>
      </c>
      <c r="B437" s="390" t="s">
        <v>1076</v>
      </c>
      <c r="C437" s="390" t="s">
        <v>2139</v>
      </c>
      <c r="D437" s="427" t="s">
        <v>1184</v>
      </c>
      <c r="E437" s="383">
        <v>190836.16</v>
      </c>
      <c r="F437" s="383">
        <f t="shared" si="77"/>
        <v>157715.8347</v>
      </c>
      <c r="G437" s="414">
        <v>29984.0</v>
      </c>
      <c r="H437" s="425" t="s">
        <v>2140</v>
      </c>
      <c r="I437" s="422"/>
      <c r="J437" s="423"/>
      <c r="K437" s="423"/>
      <c r="L437" s="440"/>
      <c r="M437" s="423"/>
      <c r="N437" s="423"/>
      <c r="O437" s="423"/>
      <c r="P437" s="423"/>
      <c r="Q437" s="423"/>
      <c r="R437" s="423"/>
      <c r="S437" s="423"/>
      <c r="T437" s="423"/>
      <c r="U437" s="423"/>
      <c r="V437" s="423"/>
      <c r="W437" s="423"/>
      <c r="X437" s="377"/>
      <c r="Y437" s="377"/>
      <c r="Z437" s="377"/>
      <c r="AA437" s="377"/>
      <c r="AB437" s="377"/>
    </row>
    <row r="438">
      <c r="A438" s="390" t="s">
        <v>1167</v>
      </c>
      <c r="B438" s="390" t="s">
        <v>1076</v>
      </c>
      <c r="C438" s="390" t="s">
        <v>2141</v>
      </c>
      <c r="D438" s="427" t="s">
        <v>2142</v>
      </c>
      <c r="E438" s="383">
        <v>190186.59</v>
      </c>
      <c r="F438" s="383">
        <f t="shared" si="77"/>
        <v>157179</v>
      </c>
      <c r="G438" s="414">
        <f>F438/5.2393</f>
        <v>30000</v>
      </c>
      <c r="H438" s="425" t="s">
        <v>2143</v>
      </c>
      <c r="I438" s="422"/>
      <c r="J438" s="423"/>
      <c r="K438" s="423"/>
      <c r="L438" s="440"/>
      <c r="M438" s="423"/>
      <c r="N438" s="423"/>
      <c r="O438" s="423"/>
      <c r="P438" s="423"/>
      <c r="Q438" s="423"/>
      <c r="R438" s="423"/>
      <c r="S438" s="423"/>
      <c r="T438" s="423"/>
      <c r="U438" s="423"/>
      <c r="V438" s="423"/>
      <c r="W438" s="423"/>
      <c r="X438" s="377"/>
      <c r="Y438" s="377"/>
      <c r="Z438" s="377"/>
      <c r="AA438" s="377"/>
      <c r="AB438" s="377"/>
    </row>
    <row r="439">
      <c r="A439" s="390" t="s">
        <v>1086</v>
      </c>
      <c r="B439" s="390" t="s">
        <v>1076</v>
      </c>
      <c r="C439" s="390" t="s">
        <v>2144</v>
      </c>
      <c r="D439" s="427" t="s">
        <v>2145</v>
      </c>
      <c r="E439" s="383">
        <v>60568.26</v>
      </c>
      <c r="F439" s="383">
        <f t="shared" si="77"/>
        <v>50056.41322</v>
      </c>
      <c r="G439" s="414">
        <f t="shared" ref="G439:G441" si="80">F439/5.26</f>
        <v>9516.428369</v>
      </c>
      <c r="H439" s="425" t="s">
        <v>2146</v>
      </c>
      <c r="I439" s="422"/>
      <c r="J439" s="423"/>
      <c r="K439" s="423"/>
      <c r="L439" s="440"/>
      <c r="M439" s="423"/>
      <c r="N439" s="423"/>
      <c r="O439" s="423"/>
      <c r="P439" s="423"/>
      <c r="Q439" s="423"/>
      <c r="R439" s="423"/>
      <c r="S439" s="423"/>
      <c r="T439" s="423"/>
      <c r="U439" s="423"/>
      <c r="V439" s="423"/>
      <c r="W439" s="424" t="s">
        <v>2147</v>
      </c>
      <c r="X439" s="377"/>
      <c r="Y439" s="377"/>
      <c r="Z439" s="377"/>
      <c r="AA439" s="377"/>
      <c r="AB439" s="377"/>
    </row>
    <row r="440">
      <c r="A440" s="390" t="s">
        <v>1023</v>
      </c>
      <c r="B440" s="390" t="s">
        <v>1076</v>
      </c>
      <c r="C440" s="390" t="s">
        <v>2148</v>
      </c>
      <c r="D440" s="427" t="s">
        <v>2149</v>
      </c>
      <c r="E440" s="383">
        <v>8500.0</v>
      </c>
      <c r="F440" s="383">
        <f t="shared" si="77"/>
        <v>7024.793388</v>
      </c>
      <c r="G440" s="414">
        <f t="shared" si="80"/>
        <v>1335.512051</v>
      </c>
      <c r="H440" s="425" t="s">
        <v>2150</v>
      </c>
      <c r="I440" s="422"/>
      <c r="J440" s="423"/>
      <c r="K440" s="423"/>
      <c r="L440" s="440"/>
      <c r="M440" s="423"/>
      <c r="N440" s="423"/>
      <c r="O440" s="423"/>
      <c r="P440" s="423"/>
      <c r="Q440" s="423"/>
      <c r="R440" s="423"/>
      <c r="S440" s="423"/>
      <c r="T440" s="423"/>
      <c r="U440" s="423"/>
      <c r="V440" s="423"/>
      <c r="W440" s="423"/>
      <c r="X440" s="377"/>
      <c r="Y440" s="377"/>
      <c r="Z440" s="377"/>
      <c r="AA440" s="377"/>
      <c r="AB440" s="377"/>
    </row>
    <row r="441">
      <c r="A441" s="390" t="s">
        <v>1149</v>
      </c>
      <c r="B441" s="390" t="s">
        <v>1081</v>
      </c>
      <c r="C441" s="390" t="s">
        <v>2151</v>
      </c>
      <c r="D441" s="427" t="s">
        <v>2152</v>
      </c>
      <c r="E441" s="383">
        <v>680697.5516</v>
      </c>
      <c r="F441" s="383">
        <f t="shared" si="77"/>
        <v>562559.96</v>
      </c>
      <c r="G441" s="414">
        <f t="shared" si="80"/>
        <v>106950.5627</v>
      </c>
      <c r="H441" s="425" t="s">
        <v>2153</v>
      </c>
      <c r="I441" s="422"/>
      <c r="J441" s="423"/>
      <c r="K441" s="423"/>
      <c r="L441" s="440"/>
      <c r="M441" s="423"/>
      <c r="N441" s="423"/>
      <c r="O441" s="423"/>
      <c r="P441" s="423"/>
      <c r="Q441" s="423"/>
      <c r="R441" s="423"/>
      <c r="S441" s="423"/>
      <c r="T441" s="423"/>
      <c r="U441" s="423"/>
      <c r="V441" s="423"/>
      <c r="W441" s="423"/>
      <c r="X441" s="377"/>
      <c r="Y441" s="377"/>
      <c r="Z441" s="377"/>
      <c r="AA441" s="377"/>
      <c r="AB441" s="377"/>
    </row>
    <row r="442">
      <c r="A442" s="390" t="s">
        <v>835</v>
      </c>
      <c r="B442" s="390" t="s">
        <v>1081</v>
      </c>
      <c r="C442" s="390" t="s">
        <v>2154</v>
      </c>
      <c r="D442" s="427" t="s">
        <v>2155</v>
      </c>
      <c r="E442" s="383">
        <v>30655.0</v>
      </c>
      <c r="F442" s="383">
        <f t="shared" si="77"/>
        <v>25334.71074</v>
      </c>
      <c r="G442" s="414">
        <v>4844.0</v>
      </c>
      <c r="H442" s="425"/>
      <c r="I442" s="422"/>
      <c r="J442" s="423"/>
      <c r="K442" s="423"/>
      <c r="L442" s="440"/>
      <c r="M442" s="423"/>
      <c r="N442" s="423"/>
      <c r="O442" s="423"/>
      <c r="P442" s="423"/>
      <c r="Q442" s="423"/>
      <c r="R442" s="423"/>
      <c r="S442" s="423"/>
      <c r="T442" s="423"/>
      <c r="U442" s="423"/>
      <c r="V442" s="423"/>
      <c r="W442" s="423"/>
      <c r="X442" s="377"/>
      <c r="Y442" s="377"/>
      <c r="Z442" s="377"/>
      <c r="AA442" s="377"/>
      <c r="AB442" s="377"/>
    </row>
    <row r="443">
      <c r="A443" s="390" t="s">
        <v>1086</v>
      </c>
      <c r="B443" s="390" t="s">
        <v>1378</v>
      </c>
      <c r="C443" s="390" t="s">
        <v>2156</v>
      </c>
      <c r="D443" s="427" t="s">
        <v>2157</v>
      </c>
      <c r="E443" s="383">
        <v>36555.42</v>
      </c>
      <c r="F443" s="383">
        <f t="shared" si="77"/>
        <v>30211.09091</v>
      </c>
      <c r="G443" s="414">
        <f t="shared" ref="G443:G458" si="81">F443/5.26</f>
        <v>5743.553405</v>
      </c>
      <c r="H443" s="425" t="s">
        <v>2158</v>
      </c>
      <c r="I443" s="422"/>
      <c r="J443" s="423"/>
      <c r="K443" s="423"/>
      <c r="L443" s="440"/>
      <c r="M443" s="423"/>
      <c r="N443" s="423"/>
      <c r="O443" s="423"/>
      <c r="P443" s="423"/>
      <c r="Q443" s="423"/>
      <c r="R443" s="423"/>
      <c r="S443" s="423"/>
      <c r="T443" s="423"/>
      <c r="U443" s="423"/>
      <c r="V443" s="423"/>
      <c r="W443" s="423"/>
      <c r="X443" s="377"/>
      <c r="Y443" s="377"/>
      <c r="Z443" s="377"/>
      <c r="AA443" s="377"/>
      <c r="AB443" s="377"/>
    </row>
    <row r="444">
      <c r="A444" s="390" t="s">
        <v>1023</v>
      </c>
      <c r="B444" s="390" t="s">
        <v>1081</v>
      </c>
      <c r="C444" s="390" t="s">
        <v>2159</v>
      </c>
      <c r="D444" s="427" t="s">
        <v>2160</v>
      </c>
      <c r="E444" s="383">
        <v>24885.0</v>
      </c>
      <c r="F444" s="383">
        <f t="shared" si="77"/>
        <v>20566.1157</v>
      </c>
      <c r="G444" s="414">
        <f t="shared" si="81"/>
        <v>3909.907928</v>
      </c>
      <c r="H444" s="425" t="s">
        <v>2161</v>
      </c>
      <c r="I444" s="422"/>
      <c r="J444" s="423"/>
      <c r="K444" s="423"/>
      <c r="L444" s="440"/>
      <c r="M444" s="423"/>
      <c r="N444" s="423"/>
      <c r="O444" s="423"/>
      <c r="P444" s="423"/>
      <c r="Q444" s="423"/>
      <c r="R444" s="423"/>
      <c r="S444" s="423"/>
      <c r="T444" s="423"/>
      <c r="U444" s="423"/>
      <c r="V444" s="423"/>
      <c r="W444" s="423"/>
      <c r="X444" s="377"/>
      <c r="Y444" s="377"/>
      <c r="Z444" s="377"/>
      <c r="AA444" s="377"/>
      <c r="AB444" s="377"/>
    </row>
    <row r="445">
      <c r="A445" s="390" t="s">
        <v>1086</v>
      </c>
      <c r="B445" s="390" t="s">
        <v>1081</v>
      </c>
      <c r="C445" s="390" t="s">
        <v>2162</v>
      </c>
      <c r="D445" s="427" t="s">
        <v>568</v>
      </c>
      <c r="E445" s="383">
        <v>26878.54</v>
      </c>
      <c r="F445" s="383">
        <f t="shared" si="77"/>
        <v>22213.66942</v>
      </c>
      <c r="G445" s="414">
        <f t="shared" si="81"/>
        <v>4223.131069</v>
      </c>
      <c r="H445" s="425" t="s">
        <v>2163</v>
      </c>
      <c r="I445" s="422"/>
      <c r="J445" s="423"/>
      <c r="K445" s="423"/>
      <c r="L445" s="440"/>
      <c r="M445" s="423"/>
      <c r="N445" s="423"/>
      <c r="O445" s="423"/>
      <c r="P445" s="423"/>
      <c r="Q445" s="423"/>
      <c r="R445" s="423"/>
      <c r="S445" s="423"/>
      <c r="T445" s="423"/>
      <c r="U445" s="423"/>
      <c r="V445" s="423"/>
      <c r="W445" s="423"/>
      <c r="X445" s="377"/>
      <c r="Y445" s="377"/>
      <c r="Z445" s="377"/>
      <c r="AA445" s="377"/>
      <c r="AB445" s="377"/>
    </row>
    <row r="446">
      <c r="A446" s="390" t="s">
        <v>835</v>
      </c>
      <c r="B446" s="390" t="s">
        <v>1081</v>
      </c>
      <c r="C446" s="390" t="s">
        <v>2164</v>
      </c>
      <c r="D446" s="427" t="s">
        <v>2165</v>
      </c>
      <c r="E446" s="383">
        <v>40973.0</v>
      </c>
      <c r="F446" s="383">
        <f t="shared" si="77"/>
        <v>33861.98347</v>
      </c>
      <c r="G446" s="414">
        <f t="shared" si="81"/>
        <v>6437.639443</v>
      </c>
      <c r="H446" s="425"/>
      <c r="I446" s="422"/>
      <c r="J446" s="423"/>
      <c r="K446" s="423"/>
      <c r="L446" s="440"/>
      <c r="M446" s="423"/>
      <c r="N446" s="423"/>
      <c r="O446" s="423"/>
      <c r="P446" s="423"/>
      <c r="Q446" s="423"/>
      <c r="R446" s="423"/>
      <c r="S446" s="423"/>
      <c r="T446" s="423"/>
      <c r="U446" s="423"/>
      <c r="V446" s="423"/>
      <c r="W446" s="423"/>
      <c r="X446" s="377"/>
      <c r="Y446" s="377"/>
      <c r="Z446" s="377"/>
      <c r="AA446" s="377"/>
      <c r="AB446" s="377"/>
    </row>
    <row r="447">
      <c r="A447" s="390" t="s">
        <v>835</v>
      </c>
      <c r="B447" s="390" t="s">
        <v>1081</v>
      </c>
      <c r="C447" s="390" t="s">
        <v>2166</v>
      </c>
      <c r="D447" s="427" t="s">
        <v>2167</v>
      </c>
      <c r="E447" s="383">
        <v>34446.0</v>
      </c>
      <c r="F447" s="383">
        <f t="shared" si="77"/>
        <v>28467.7686</v>
      </c>
      <c r="G447" s="414">
        <f t="shared" si="81"/>
        <v>5412.123307</v>
      </c>
      <c r="H447" s="425"/>
      <c r="I447" s="422"/>
      <c r="J447" s="423"/>
      <c r="K447" s="423"/>
      <c r="L447" s="440"/>
      <c r="M447" s="423"/>
      <c r="N447" s="423"/>
      <c r="O447" s="423"/>
      <c r="P447" s="423"/>
      <c r="Q447" s="423"/>
      <c r="R447" s="423"/>
      <c r="S447" s="423"/>
      <c r="T447" s="423"/>
      <c r="U447" s="423"/>
      <c r="V447" s="423"/>
      <c r="W447" s="423"/>
      <c r="X447" s="377"/>
      <c r="Y447" s="377"/>
      <c r="Z447" s="377"/>
      <c r="AA447" s="377"/>
      <c r="AB447" s="377"/>
    </row>
    <row r="448">
      <c r="A448" s="390" t="s">
        <v>835</v>
      </c>
      <c r="B448" s="390" t="s">
        <v>1081</v>
      </c>
      <c r="C448" s="390" t="s">
        <v>2168</v>
      </c>
      <c r="D448" s="427" t="s">
        <v>614</v>
      </c>
      <c r="E448" s="383">
        <v>35079.0</v>
      </c>
      <c r="F448" s="383">
        <f t="shared" si="77"/>
        <v>28990.90909</v>
      </c>
      <c r="G448" s="414">
        <f t="shared" si="81"/>
        <v>5511.579675</v>
      </c>
      <c r="H448" s="425"/>
      <c r="I448" s="422"/>
      <c r="J448" s="423"/>
      <c r="K448" s="423"/>
      <c r="L448" s="440"/>
      <c r="M448" s="423"/>
      <c r="N448" s="423"/>
      <c r="O448" s="423"/>
      <c r="P448" s="423"/>
      <c r="Q448" s="423"/>
      <c r="R448" s="423"/>
      <c r="S448" s="423"/>
      <c r="T448" s="423"/>
      <c r="U448" s="423"/>
      <c r="V448" s="423"/>
      <c r="W448" s="423"/>
      <c r="X448" s="377"/>
      <c r="Y448" s="377"/>
      <c r="Z448" s="377"/>
      <c r="AA448" s="377"/>
      <c r="AB448" s="377"/>
    </row>
    <row r="449">
      <c r="A449" s="390" t="s">
        <v>835</v>
      </c>
      <c r="B449" s="390" t="s">
        <v>1081</v>
      </c>
      <c r="C449" s="390" t="s">
        <v>2169</v>
      </c>
      <c r="D449" s="427" t="s">
        <v>2170</v>
      </c>
      <c r="E449" s="383">
        <v>65626.34</v>
      </c>
      <c r="F449" s="383">
        <f t="shared" si="77"/>
        <v>54236.64463</v>
      </c>
      <c r="G449" s="414">
        <f t="shared" si="81"/>
        <v>10311.14917</v>
      </c>
      <c r="H449" s="425"/>
      <c r="I449" s="422"/>
      <c r="J449" s="423"/>
      <c r="K449" s="423"/>
      <c r="L449" s="440"/>
      <c r="M449" s="423"/>
      <c r="N449" s="423"/>
      <c r="O449" s="423"/>
      <c r="P449" s="423"/>
      <c r="Q449" s="423"/>
      <c r="R449" s="423"/>
      <c r="S449" s="423"/>
      <c r="T449" s="423"/>
      <c r="U449" s="423"/>
      <c r="V449" s="423"/>
      <c r="W449" s="423"/>
      <c r="X449" s="377"/>
      <c r="Y449" s="377"/>
      <c r="Z449" s="377"/>
      <c r="AA449" s="377"/>
      <c r="AB449" s="377"/>
    </row>
    <row r="450">
      <c r="A450" s="390" t="s">
        <v>1086</v>
      </c>
      <c r="B450" s="390" t="s">
        <v>1378</v>
      </c>
      <c r="C450" s="390" t="s">
        <v>2171</v>
      </c>
      <c r="D450" s="427" t="s">
        <v>2172</v>
      </c>
      <c r="E450" s="383">
        <v>46838.61</v>
      </c>
      <c r="F450" s="383">
        <f t="shared" si="77"/>
        <v>38709.59504</v>
      </c>
      <c r="G450" s="414">
        <f t="shared" si="81"/>
        <v>7359.238601</v>
      </c>
      <c r="H450" s="425" t="s">
        <v>2173</v>
      </c>
      <c r="I450" s="422"/>
      <c r="J450" s="423"/>
      <c r="K450" s="423"/>
      <c r="L450" s="440"/>
      <c r="M450" s="423"/>
      <c r="N450" s="423"/>
      <c r="O450" s="423"/>
      <c r="P450" s="423"/>
      <c r="Q450" s="423"/>
      <c r="R450" s="423"/>
      <c r="S450" s="423"/>
      <c r="T450" s="423"/>
      <c r="U450" s="423"/>
      <c r="V450" s="423"/>
      <c r="W450" s="423"/>
      <c r="X450" s="377"/>
      <c r="Y450" s="377"/>
      <c r="Z450" s="377"/>
      <c r="AA450" s="377"/>
      <c r="AB450" s="377"/>
    </row>
    <row r="451">
      <c r="A451" s="390" t="s">
        <v>835</v>
      </c>
      <c r="B451" s="390" t="s">
        <v>1081</v>
      </c>
      <c r="C451" s="390" t="s">
        <v>2174</v>
      </c>
      <c r="D451" s="427" t="s">
        <v>2175</v>
      </c>
      <c r="E451" s="383">
        <v>101485.0</v>
      </c>
      <c r="F451" s="383">
        <f t="shared" si="77"/>
        <v>83871.90083</v>
      </c>
      <c r="G451" s="414">
        <f t="shared" si="81"/>
        <v>15945.22829</v>
      </c>
      <c r="H451" s="425"/>
      <c r="I451" s="422"/>
      <c r="J451" s="423"/>
      <c r="K451" s="423"/>
      <c r="L451" s="440"/>
      <c r="M451" s="423"/>
      <c r="N451" s="423"/>
      <c r="O451" s="423"/>
      <c r="P451" s="423"/>
      <c r="Q451" s="423"/>
      <c r="R451" s="423"/>
      <c r="S451" s="423"/>
      <c r="T451" s="423"/>
      <c r="U451" s="423"/>
      <c r="V451" s="423"/>
      <c r="W451" s="423"/>
      <c r="X451" s="377"/>
      <c r="Y451" s="377"/>
      <c r="Z451" s="377"/>
      <c r="AA451" s="377"/>
      <c r="AB451" s="377"/>
    </row>
    <row r="452">
      <c r="A452" s="390" t="s">
        <v>1086</v>
      </c>
      <c r="B452" s="390" t="s">
        <v>1081</v>
      </c>
      <c r="C452" s="390" t="s">
        <v>2176</v>
      </c>
      <c r="D452" s="427" t="s">
        <v>2177</v>
      </c>
      <c r="E452" s="383">
        <v>26807.55</v>
      </c>
      <c r="F452" s="383">
        <f t="shared" si="77"/>
        <v>22155</v>
      </c>
      <c r="G452" s="414">
        <f t="shared" si="81"/>
        <v>4211.977186</v>
      </c>
      <c r="H452" s="425" t="s">
        <v>2178</v>
      </c>
      <c r="I452" s="422"/>
      <c r="J452" s="423"/>
      <c r="K452" s="423"/>
      <c r="L452" s="440"/>
      <c r="M452" s="423"/>
      <c r="N452" s="423"/>
      <c r="O452" s="423"/>
      <c r="P452" s="423"/>
      <c r="Q452" s="423"/>
      <c r="R452" s="423"/>
      <c r="S452" s="423"/>
      <c r="T452" s="423"/>
      <c r="U452" s="423"/>
      <c r="V452" s="423"/>
      <c r="W452" s="423"/>
      <c r="X452" s="377"/>
      <c r="Y452" s="377"/>
      <c r="Z452" s="377"/>
      <c r="AA452" s="377"/>
      <c r="AB452" s="377"/>
    </row>
    <row r="453" ht="18.75" customHeight="1">
      <c r="A453" s="390" t="s">
        <v>2179</v>
      </c>
      <c r="B453" s="390" t="s">
        <v>1081</v>
      </c>
      <c r="C453" s="390" t="s">
        <v>2180</v>
      </c>
      <c r="D453" s="427" t="s">
        <v>2181</v>
      </c>
      <c r="E453" s="383">
        <v>0.0</v>
      </c>
      <c r="F453" s="383">
        <f t="shared" si="77"/>
        <v>0</v>
      </c>
      <c r="G453" s="414">
        <f t="shared" si="81"/>
        <v>0</v>
      </c>
      <c r="H453" s="425" t="s">
        <v>2182</v>
      </c>
      <c r="I453" s="422"/>
      <c r="J453" s="423"/>
      <c r="K453" s="423"/>
      <c r="L453" s="440"/>
      <c r="M453" s="423"/>
      <c r="N453" s="423"/>
      <c r="O453" s="423"/>
      <c r="P453" s="423"/>
      <c r="Q453" s="423"/>
      <c r="R453" s="423"/>
      <c r="S453" s="423"/>
      <c r="T453" s="423"/>
      <c r="U453" s="423"/>
      <c r="V453" s="423"/>
      <c r="W453" s="423"/>
      <c r="X453" s="377"/>
      <c r="Y453" s="377"/>
      <c r="Z453" s="377"/>
      <c r="AA453" s="377"/>
      <c r="AB453" s="377"/>
    </row>
    <row r="454">
      <c r="A454" s="390" t="s">
        <v>835</v>
      </c>
      <c r="B454" s="390" t="s">
        <v>1081</v>
      </c>
      <c r="C454" s="390" t="s">
        <v>2183</v>
      </c>
      <c r="D454" s="427" t="s">
        <v>2184</v>
      </c>
      <c r="E454" s="383">
        <v>39971.52</v>
      </c>
      <c r="F454" s="383">
        <f t="shared" si="77"/>
        <v>33034.31405</v>
      </c>
      <c r="G454" s="414">
        <f t="shared" si="81"/>
        <v>6280.287842</v>
      </c>
      <c r="H454" s="425"/>
      <c r="I454" s="422"/>
      <c r="J454" s="423"/>
      <c r="K454" s="423"/>
      <c r="L454" s="440"/>
      <c r="M454" s="423"/>
      <c r="N454" s="423"/>
      <c r="O454" s="423"/>
      <c r="P454" s="423"/>
      <c r="Q454" s="423"/>
      <c r="R454" s="423"/>
      <c r="S454" s="423"/>
      <c r="T454" s="423"/>
      <c r="U454" s="423"/>
      <c r="V454" s="423"/>
      <c r="W454" s="423"/>
      <c r="X454" s="377"/>
      <c r="Y454" s="377"/>
      <c r="Z454" s="377"/>
      <c r="AA454" s="377"/>
      <c r="AB454" s="377"/>
    </row>
    <row r="455">
      <c r="A455" s="390" t="s">
        <v>835</v>
      </c>
      <c r="B455" s="390" t="s">
        <v>1081</v>
      </c>
      <c r="C455" s="390" t="s">
        <v>2185</v>
      </c>
      <c r="D455" s="427" t="s">
        <v>2186</v>
      </c>
      <c r="E455" s="383">
        <v>43665.0</v>
      </c>
      <c r="F455" s="383">
        <f t="shared" si="77"/>
        <v>36086.77686</v>
      </c>
      <c r="G455" s="414">
        <f t="shared" si="81"/>
        <v>6860.603966</v>
      </c>
      <c r="H455" s="425"/>
      <c r="I455" s="422"/>
      <c r="J455" s="423"/>
      <c r="K455" s="423"/>
      <c r="L455" s="440"/>
      <c r="M455" s="423"/>
      <c r="N455" s="423"/>
      <c r="O455" s="423"/>
      <c r="P455" s="423"/>
      <c r="Q455" s="423"/>
      <c r="R455" s="423"/>
      <c r="S455" s="423"/>
      <c r="T455" s="423"/>
      <c r="U455" s="423"/>
      <c r="V455" s="423"/>
      <c r="W455" s="423"/>
      <c r="X455" s="377"/>
      <c r="Y455" s="377"/>
      <c r="Z455" s="377"/>
      <c r="AA455" s="377"/>
      <c r="AB455" s="377"/>
    </row>
    <row r="456">
      <c r="A456" s="390" t="s">
        <v>835</v>
      </c>
      <c r="B456" s="390" t="s">
        <v>1081</v>
      </c>
      <c r="C456" s="390" t="s">
        <v>2187</v>
      </c>
      <c r="D456" s="427" t="s">
        <v>2188</v>
      </c>
      <c r="E456" s="383">
        <v>35610.61</v>
      </c>
      <c r="F456" s="383">
        <f t="shared" si="77"/>
        <v>29430.2562</v>
      </c>
      <c r="G456" s="414">
        <f t="shared" si="81"/>
        <v>5595.105741</v>
      </c>
      <c r="H456" s="425"/>
      <c r="I456" s="422"/>
      <c r="J456" s="423"/>
      <c r="K456" s="423"/>
      <c r="L456" s="440"/>
      <c r="M456" s="423"/>
      <c r="N456" s="423"/>
      <c r="O456" s="423"/>
      <c r="P456" s="423"/>
      <c r="Q456" s="423"/>
      <c r="R456" s="423"/>
      <c r="S456" s="423"/>
      <c r="T456" s="423"/>
      <c r="U456" s="423"/>
      <c r="V456" s="423"/>
      <c r="W456" s="423"/>
      <c r="X456" s="377"/>
      <c r="Y456" s="377"/>
      <c r="Z456" s="377"/>
      <c r="AA456" s="377"/>
      <c r="AB456" s="377"/>
    </row>
    <row r="457">
      <c r="A457" s="443" t="s">
        <v>2020</v>
      </c>
      <c r="B457" s="390" t="s">
        <v>1081</v>
      </c>
      <c r="C457" s="390" t="s">
        <v>2189</v>
      </c>
      <c r="D457" s="427" t="s">
        <v>2190</v>
      </c>
      <c r="E457" s="383">
        <v>86500.0</v>
      </c>
      <c r="F457" s="383">
        <f t="shared" si="77"/>
        <v>71487.60331</v>
      </c>
      <c r="G457" s="414">
        <f t="shared" si="81"/>
        <v>13590.79911</v>
      </c>
      <c r="H457" s="425"/>
      <c r="I457" s="422"/>
      <c r="J457" s="423"/>
      <c r="K457" s="423"/>
      <c r="L457" s="440"/>
      <c r="M457" s="423"/>
      <c r="N457" s="423"/>
      <c r="O457" s="423"/>
      <c r="P457" s="423"/>
      <c r="Q457" s="423"/>
      <c r="R457" s="423"/>
      <c r="S457" s="423"/>
      <c r="T457" s="423"/>
      <c r="U457" s="423"/>
      <c r="V457" s="423"/>
      <c r="W457" s="423"/>
      <c r="X457" s="377"/>
      <c r="Y457" s="377"/>
      <c r="Z457" s="377"/>
      <c r="AA457" s="377"/>
      <c r="AB457" s="377"/>
    </row>
    <row r="458">
      <c r="A458" s="390" t="s">
        <v>835</v>
      </c>
      <c r="B458" s="390" t="s">
        <v>1081</v>
      </c>
      <c r="C458" s="390" t="s">
        <v>2191</v>
      </c>
      <c r="D458" s="427" t="s">
        <v>2192</v>
      </c>
      <c r="E458" s="383">
        <v>238530.0</v>
      </c>
      <c r="F458" s="383">
        <f t="shared" si="77"/>
        <v>197132.2314</v>
      </c>
      <c r="G458" s="414">
        <f t="shared" si="81"/>
        <v>37477.61053</v>
      </c>
      <c r="H458" s="425"/>
      <c r="I458" s="422"/>
      <c r="J458" s="423"/>
      <c r="K458" s="423"/>
      <c r="L458" s="440"/>
      <c r="M458" s="423"/>
      <c r="N458" s="423"/>
      <c r="O458" s="423"/>
      <c r="P458" s="423"/>
      <c r="Q458" s="423"/>
      <c r="R458" s="423"/>
      <c r="S458" s="423"/>
      <c r="T458" s="423"/>
      <c r="U458" s="423"/>
      <c r="V458" s="423"/>
      <c r="W458" s="423"/>
      <c r="X458" s="377"/>
      <c r="Y458" s="377"/>
      <c r="Z458" s="377"/>
      <c r="AA458" s="377"/>
      <c r="AB458" s="377"/>
    </row>
    <row r="459">
      <c r="A459" s="390" t="s">
        <v>835</v>
      </c>
      <c r="B459" s="390" t="s">
        <v>1081</v>
      </c>
      <c r="C459" s="390" t="s">
        <v>2193</v>
      </c>
      <c r="D459" s="427" t="s">
        <v>2194</v>
      </c>
      <c r="E459" s="383">
        <v>95287.0</v>
      </c>
      <c r="F459" s="383">
        <f t="shared" si="77"/>
        <v>78749.58678</v>
      </c>
      <c r="G459" s="414">
        <v>15000.0</v>
      </c>
      <c r="H459" s="425" t="s">
        <v>2195</v>
      </c>
      <c r="I459" s="422"/>
      <c r="J459" s="423"/>
      <c r="K459" s="423"/>
      <c r="L459" s="440"/>
      <c r="M459" s="423"/>
      <c r="N459" s="423"/>
      <c r="O459" s="423"/>
      <c r="P459" s="423"/>
      <c r="Q459" s="423"/>
      <c r="R459" s="423"/>
      <c r="S459" s="423"/>
      <c r="T459" s="423"/>
      <c r="U459" s="423"/>
      <c r="V459" s="423"/>
      <c r="W459" s="423"/>
      <c r="X459" s="377"/>
      <c r="Y459" s="377"/>
      <c r="Z459" s="377"/>
      <c r="AA459" s="377"/>
      <c r="AB459" s="377"/>
    </row>
    <row r="460">
      <c r="A460" s="390" t="s">
        <v>835</v>
      </c>
      <c r="B460" s="390" t="s">
        <v>1081</v>
      </c>
      <c r="C460" s="390" t="s">
        <v>2196</v>
      </c>
      <c r="D460" s="427" t="s">
        <v>2197</v>
      </c>
      <c r="E460" s="383">
        <v>11403.0</v>
      </c>
      <c r="F460" s="383">
        <f t="shared" si="77"/>
        <v>9423.966942</v>
      </c>
      <c r="G460" s="414">
        <v>17604.0</v>
      </c>
      <c r="H460" s="425"/>
      <c r="I460" s="422"/>
      <c r="J460" s="423"/>
      <c r="K460" s="423"/>
      <c r="L460" s="440"/>
      <c r="M460" s="423"/>
      <c r="N460" s="423"/>
      <c r="O460" s="423"/>
      <c r="P460" s="423"/>
      <c r="Q460" s="423"/>
      <c r="R460" s="423"/>
      <c r="S460" s="423"/>
      <c r="T460" s="423"/>
      <c r="U460" s="423"/>
      <c r="V460" s="423"/>
      <c r="W460" s="423"/>
      <c r="X460" s="377"/>
      <c r="Y460" s="377"/>
      <c r="Z460" s="377"/>
      <c r="AA460" s="377"/>
      <c r="AB460" s="377"/>
    </row>
    <row r="461">
      <c r="A461" s="390" t="s">
        <v>1086</v>
      </c>
      <c r="B461" s="390" t="s">
        <v>1081</v>
      </c>
      <c r="C461" s="390" t="s">
        <v>2198</v>
      </c>
      <c r="D461" s="427" t="s">
        <v>2199</v>
      </c>
      <c r="E461" s="383">
        <v>21367.15</v>
      </c>
      <c r="F461" s="383">
        <f t="shared" si="77"/>
        <v>17658.80165</v>
      </c>
      <c r="G461" s="414">
        <f t="shared" ref="G461:G465" si="82">F461/5.26</f>
        <v>3357.186626</v>
      </c>
      <c r="H461" s="425" t="s">
        <v>2200</v>
      </c>
      <c r="I461" s="422"/>
      <c r="J461" s="423"/>
      <c r="K461" s="423"/>
      <c r="L461" s="440"/>
      <c r="M461" s="423"/>
      <c r="N461" s="423"/>
      <c r="O461" s="423"/>
      <c r="P461" s="423"/>
      <c r="Q461" s="423"/>
      <c r="R461" s="423"/>
      <c r="S461" s="423"/>
      <c r="T461" s="423"/>
      <c r="U461" s="423"/>
      <c r="V461" s="423"/>
      <c r="W461" s="423"/>
      <c r="X461" s="377"/>
      <c r="Y461" s="377"/>
      <c r="Z461" s="377"/>
      <c r="AA461" s="377"/>
      <c r="AB461" s="377"/>
    </row>
    <row r="462">
      <c r="A462" s="390" t="s">
        <v>1086</v>
      </c>
      <c r="B462" s="390" t="s">
        <v>1081</v>
      </c>
      <c r="C462" s="390" t="s">
        <v>2201</v>
      </c>
      <c r="D462" s="427" t="s">
        <v>2202</v>
      </c>
      <c r="E462" s="383">
        <v>56125.46</v>
      </c>
      <c r="F462" s="383">
        <f t="shared" si="77"/>
        <v>46384.67769</v>
      </c>
      <c r="G462" s="414">
        <f t="shared" si="82"/>
        <v>8818.379788</v>
      </c>
      <c r="H462" s="425" t="s">
        <v>2203</v>
      </c>
      <c r="I462" s="422"/>
      <c r="J462" s="423"/>
      <c r="K462" s="423"/>
      <c r="L462" s="440"/>
      <c r="M462" s="423"/>
      <c r="N462" s="423"/>
      <c r="O462" s="423"/>
      <c r="P462" s="423"/>
      <c r="Q462" s="423"/>
      <c r="R462" s="423"/>
      <c r="S462" s="423"/>
      <c r="T462" s="423"/>
      <c r="U462" s="423"/>
      <c r="V462" s="423"/>
      <c r="W462" s="423"/>
      <c r="X462" s="377"/>
      <c r="Y462" s="377"/>
      <c r="Z462" s="377"/>
      <c r="AA462" s="377"/>
      <c r="AB462" s="377"/>
    </row>
    <row r="463">
      <c r="A463" s="390" t="s">
        <v>1086</v>
      </c>
      <c r="B463" s="390" t="s">
        <v>1081</v>
      </c>
      <c r="C463" s="390" t="s">
        <v>2204</v>
      </c>
      <c r="D463" s="427" t="s">
        <v>2205</v>
      </c>
      <c r="E463" s="383">
        <v>38890.01</v>
      </c>
      <c r="F463" s="383">
        <f t="shared" si="77"/>
        <v>32140.50413</v>
      </c>
      <c r="G463" s="414">
        <f t="shared" si="82"/>
        <v>6110.362002</v>
      </c>
      <c r="H463" s="425" t="s">
        <v>2206</v>
      </c>
      <c r="I463" s="422"/>
      <c r="J463" s="423"/>
      <c r="K463" s="423"/>
      <c r="L463" s="440"/>
      <c r="M463" s="423"/>
      <c r="N463" s="423"/>
      <c r="O463" s="423"/>
      <c r="P463" s="423"/>
      <c r="Q463" s="423"/>
      <c r="R463" s="423"/>
      <c r="S463" s="423"/>
      <c r="T463" s="423"/>
      <c r="U463" s="423"/>
      <c r="V463" s="423"/>
      <c r="W463" s="423"/>
      <c r="X463" s="377"/>
      <c r="Y463" s="377"/>
      <c r="Z463" s="377"/>
      <c r="AA463" s="377"/>
      <c r="AB463" s="377"/>
    </row>
    <row r="464">
      <c r="A464" s="390" t="s">
        <v>1086</v>
      </c>
      <c r="B464" s="390" t="s">
        <v>1081</v>
      </c>
      <c r="C464" s="390" t="s">
        <v>2207</v>
      </c>
      <c r="D464" s="427" t="s">
        <v>2208</v>
      </c>
      <c r="E464" s="383">
        <v>19200.0</v>
      </c>
      <c r="F464" s="383">
        <f t="shared" si="77"/>
        <v>15867.7686</v>
      </c>
      <c r="G464" s="414">
        <f t="shared" si="82"/>
        <v>3016.686045</v>
      </c>
      <c r="H464" s="425" t="s">
        <v>2200</v>
      </c>
      <c r="I464" s="422"/>
      <c r="J464" s="423"/>
      <c r="K464" s="423"/>
      <c r="L464" s="440"/>
      <c r="M464" s="423"/>
      <c r="N464" s="423"/>
      <c r="O464" s="423"/>
      <c r="P464" s="423"/>
      <c r="Q464" s="423"/>
      <c r="R464" s="423"/>
      <c r="S464" s="423"/>
      <c r="T464" s="423"/>
      <c r="U464" s="423"/>
      <c r="V464" s="423"/>
      <c r="W464" s="423"/>
      <c r="X464" s="377"/>
      <c r="Y464" s="377"/>
      <c r="Z464" s="377"/>
      <c r="AA464" s="377"/>
      <c r="AB464" s="377"/>
    </row>
    <row r="465">
      <c r="A465" s="390" t="s">
        <v>1023</v>
      </c>
      <c r="B465" s="390" t="s">
        <v>1081</v>
      </c>
      <c r="C465" s="390" t="s">
        <v>2209</v>
      </c>
      <c r="D465" s="427" t="s">
        <v>2210</v>
      </c>
      <c r="E465" s="383">
        <v>4658.5</v>
      </c>
      <c r="F465" s="383">
        <f t="shared" si="77"/>
        <v>3850</v>
      </c>
      <c r="G465" s="414">
        <f t="shared" si="82"/>
        <v>731.9391635</v>
      </c>
      <c r="H465" s="425" t="s">
        <v>2211</v>
      </c>
      <c r="I465" s="422"/>
      <c r="J465" s="423"/>
      <c r="K465" s="423"/>
      <c r="L465" s="440"/>
      <c r="M465" s="423"/>
      <c r="N465" s="423"/>
      <c r="O465" s="423"/>
      <c r="P465" s="423"/>
      <c r="Q465" s="423"/>
      <c r="R465" s="423"/>
      <c r="S465" s="423"/>
      <c r="T465" s="423"/>
      <c r="U465" s="423"/>
      <c r="V465" s="423"/>
      <c r="W465" s="423"/>
      <c r="X465" s="377"/>
      <c r="Y465" s="377"/>
      <c r="Z465" s="377"/>
      <c r="AA465" s="377"/>
      <c r="AB465" s="377"/>
    </row>
    <row r="466">
      <c r="A466" s="390" t="s">
        <v>1086</v>
      </c>
      <c r="B466" s="390" t="s">
        <v>1462</v>
      </c>
      <c r="C466" s="390" t="s">
        <v>2212</v>
      </c>
      <c r="D466" s="427" t="s">
        <v>2213</v>
      </c>
      <c r="E466" s="383">
        <v>57172.5</v>
      </c>
      <c r="F466" s="383">
        <f t="shared" si="77"/>
        <v>47250</v>
      </c>
      <c r="G466" s="414">
        <f>F466/5.25</f>
        <v>9000</v>
      </c>
      <c r="H466" s="425" t="s">
        <v>2214</v>
      </c>
      <c r="I466" s="422"/>
      <c r="J466" s="423"/>
      <c r="K466" s="423"/>
      <c r="L466" s="440"/>
      <c r="M466" s="423"/>
      <c r="N466" s="423"/>
      <c r="O466" s="423"/>
      <c r="P466" s="423"/>
      <c r="Q466" s="423"/>
      <c r="R466" s="423"/>
      <c r="S466" s="423"/>
      <c r="T466" s="423"/>
      <c r="U466" s="423"/>
      <c r="V466" s="423"/>
      <c r="W466" s="423"/>
      <c r="X466" s="377"/>
      <c r="Y466" s="377"/>
      <c r="Z466" s="377"/>
      <c r="AA466" s="377"/>
      <c r="AB466" s="377"/>
    </row>
    <row r="467">
      <c r="A467" s="390" t="s">
        <v>1023</v>
      </c>
      <c r="B467" s="390" t="s">
        <v>1462</v>
      </c>
      <c r="C467" s="390" t="s">
        <v>2215</v>
      </c>
      <c r="D467" s="427" t="s">
        <v>2216</v>
      </c>
      <c r="E467" s="383">
        <v>37537.89</v>
      </c>
      <c r="F467" s="383">
        <f t="shared" si="77"/>
        <v>31023.04959</v>
      </c>
      <c r="G467" s="414">
        <f t="shared" ref="G467:G526" si="83">F467/5.26</f>
        <v>5897.918172</v>
      </c>
      <c r="H467" s="425" t="s">
        <v>2217</v>
      </c>
      <c r="I467" s="422"/>
      <c r="J467" s="423"/>
      <c r="K467" s="423"/>
      <c r="L467" s="440"/>
      <c r="M467" s="423"/>
      <c r="N467" s="423"/>
      <c r="O467" s="423"/>
      <c r="P467" s="423"/>
      <c r="Q467" s="423"/>
      <c r="R467" s="423"/>
      <c r="S467" s="423"/>
      <c r="T467" s="423"/>
      <c r="U467" s="423"/>
      <c r="V467" s="423"/>
      <c r="W467" s="423"/>
      <c r="X467" s="377"/>
      <c r="Y467" s="377"/>
      <c r="Z467" s="377"/>
      <c r="AA467" s="377"/>
      <c r="AB467" s="377"/>
    </row>
    <row r="468">
      <c r="A468" s="390" t="s">
        <v>2218</v>
      </c>
      <c r="B468" s="390" t="s">
        <v>1085</v>
      </c>
      <c r="C468" s="390" t="s">
        <v>2219</v>
      </c>
      <c r="D468" s="427" t="s">
        <v>2220</v>
      </c>
      <c r="E468" s="383">
        <v>1043020.0</v>
      </c>
      <c r="F468" s="383">
        <f t="shared" si="77"/>
        <v>862000</v>
      </c>
      <c r="G468" s="414">
        <f t="shared" si="83"/>
        <v>163878.327</v>
      </c>
      <c r="H468" s="425" t="s">
        <v>2221</v>
      </c>
      <c r="I468" s="422"/>
      <c r="J468" s="423"/>
      <c r="K468" s="423"/>
      <c r="L468" s="440"/>
      <c r="M468" s="423"/>
      <c r="N468" s="423"/>
      <c r="O468" s="423"/>
      <c r="P468" s="423"/>
      <c r="Q468" s="423"/>
      <c r="R468" s="423"/>
      <c r="S468" s="423"/>
      <c r="T468" s="423"/>
      <c r="U468" s="423"/>
      <c r="V468" s="423"/>
      <c r="W468" s="423"/>
      <c r="X468" s="377"/>
      <c r="Y468" s="377"/>
      <c r="Z468" s="377"/>
      <c r="AA468" s="377"/>
      <c r="AB468" s="377"/>
    </row>
    <row r="469">
      <c r="A469" s="390"/>
      <c r="B469" s="390"/>
      <c r="C469" s="390"/>
      <c r="D469" s="427"/>
      <c r="E469" s="383">
        <v>0.0</v>
      </c>
      <c r="F469" s="383">
        <f t="shared" si="77"/>
        <v>0</v>
      </c>
      <c r="G469" s="414">
        <f t="shared" si="83"/>
        <v>0</v>
      </c>
      <c r="H469" s="425"/>
      <c r="I469" s="422"/>
      <c r="J469" s="423"/>
      <c r="K469" s="423"/>
      <c r="L469" s="440"/>
      <c r="M469" s="423"/>
      <c r="N469" s="423"/>
      <c r="O469" s="423"/>
      <c r="P469" s="423"/>
      <c r="Q469" s="423"/>
      <c r="R469" s="423"/>
      <c r="S469" s="423"/>
      <c r="T469" s="423"/>
      <c r="U469" s="423"/>
      <c r="V469" s="423"/>
      <c r="W469" s="423"/>
      <c r="X469" s="377"/>
      <c r="Y469" s="377"/>
      <c r="Z469" s="377"/>
      <c r="AA469" s="377"/>
      <c r="AB469" s="377"/>
    </row>
    <row r="470">
      <c r="A470" s="390"/>
      <c r="B470" s="390"/>
      <c r="C470" s="390"/>
      <c r="D470" s="427"/>
      <c r="E470" s="383">
        <v>0.0</v>
      </c>
      <c r="F470" s="383">
        <f t="shared" si="77"/>
        <v>0</v>
      </c>
      <c r="G470" s="414">
        <f t="shared" si="83"/>
        <v>0</v>
      </c>
      <c r="H470" s="439"/>
      <c r="I470" s="422"/>
      <c r="J470" s="423"/>
      <c r="K470" s="423"/>
      <c r="L470" s="440"/>
      <c r="M470" s="423"/>
      <c r="N470" s="423"/>
      <c r="O470" s="423"/>
      <c r="P470" s="423"/>
      <c r="Q470" s="423"/>
      <c r="R470" s="423"/>
      <c r="S470" s="423"/>
      <c r="T470" s="423"/>
      <c r="U470" s="423"/>
      <c r="V470" s="423"/>
      <c r="W470" s="423"/>
      <c r="X470" s="377"/>
      <c r="Y470" s="377"/>
      <c r="Z470" s="377"/>
      <c r="AA470" s="377"/>
      <c r="AB470" s="377"/>
    </row>
    <row r="471">
      <c r="A471" s="390"/>
      <c r="B471" s="390"/>
      <c r="C471" s="390"/>
      <c r="D471" s="427"/>
      <c r="E471" s="383">
        <v>0.0</v>
      </c>
      <c r="F471" s="383">
        <f t="shared" si="77"/>
        <v>0</v>
      </c>
      <c r="G471" s="414">
        <f t="shared" si="83"/>
        <v>0</v>
      </c>
      <c r="H471" s="439"/>
      <c r="I471" s="422"/>
      <c r="J471" s="423"/>
      <c r="K471" s="423"/>
      <c r="L471" s="440"/>
      <c r="M471" s="423"/>
      <c r="N471" s="423"/>
      <c r="O471" s="423"/>
      <c r="P471" s="423"/>
      <c r="Q471" s="423"/>
      <c r="R471" s="423"/>
      <c r="S471" s="423"/>
      <c r="T471" s="423"/>
      <c r="U471" s="423"/>
      <c r="V471" s="423"/>
      <c r="W471" s="423"/>
      <c r="X471" s="377"/>
      <c r="Y471" s="377"/>
      <c r="Z471" s="377"/>
      <c r="AA471" s="377"/>
      <c r="AB471" s="377"/>
    </row>
    <row r="472">
      <c r="A472" s="390"/>
      <c r="B472" s="390"/>
      <c r="C472" s="390"/>
      <c r="D472" s="427"/>
      <c r="E472" s="383">
        <v>0.0</v>
      </c>
      <c r="F472" s="383">
        <f t="shared" si="77"/>
        <v>0</v>
      </c>
      <c r="G472" s="414">
        <f t="shared" si="83"/>
        <v>0</v>
      </c>
      <c r="H472" s="439"/>
      <c r="I472" s="422"/>
      <c r="J472" s="423"/>
      <c r="K472" s="423"/>
      <c r="L472" s="440"/>
      <c r="M472" s="423"/>
      <c r="N472" s="423"/>
      <c r="O472" s="423"/>
      <c r="P472" s="423"/>
      <c r="Q472" s="423"/>
      <c r="R472" s="423"/>
      <c r="S472" s="423"/>
      <c r="T472" s="423"/>
      <c r="U472" s="423"/>
      <c r="V472" s="423"/>
      <c r="W472" s="423"/>
      <c r="X472" s="377"/>
      <c r="Y472" s="377"/>
      <c r="Z472" s="377"/>
      <c r="AA472" s="377"/>
      <c r="AB472" s="377"/>
    </row>
    <row r="473">
      <c r="A473" s="390"/>
      <c r="B473" s="390"/>
      <c r="C473" s="390"/>
      <c r="D473" s="427"/>
      <c r="E473" s="383">
        <v>0.0</v>
      </c>
      <c r="F473" s="383">
        <f t="shared" si="77"/>
        <v>0</v>
      </c>
      <c r="G473" s="414">
        <f t="shared" si="83"/>
        <v>0</v>
      </c>
      <c r="H473" s="439"/>
      <c r="I473" s="422"/>
      <c r="J473" s="423"/>
      <c r="K473" s="423"/>
      <c r="L473" s="440"/>
      <c r="M473" s="423"/>
      <c r="N473" s="423"/>
      <c r="O473" s="423"/>
      <c r="P473" s="423"/>
      <c r="Q473" s="423"/>
      <c r="R473" s="423"/>
      <c r="S473" s="423"/>
      <c r="T473" s="423"/>
      <c r="U473" s="423"/>
      <c r="V473" s="423"/>
      <c r="W473" s="423"/>
      <c r="X473" s="377"/>
      <c r="Y473" s="377"/>
      <c r="Z473" s="377"/>
      <c r="AA473" s="377"/>
      <c r="AB473" s="377"/>
    </row>
    <row r="474">
      <c r="A474" s="390"/>
      <c r="B474" s="390"/>
      <c r="C474" s="390"/>
      <c r="D474" s="427"/>
      <c r="E474" s="383">
        <v>0.0</v>
      </c>
      <c r="F474" s="383">
        <f t="shared" si="77"/>
        <v>0</v>
      </c>
      <c r="G474" s="414">
        <f t="shared" si="83"/>
        <v>0</v>
      </c>
      <c r="H474" s="439"/>
      <c r="I474" s="422"/>
      <c r="J474" s="423"/>
      <c r="K474" s="423"/>
      <c r="L474" s="440"/>
      <c r="M474" s="423"/>
      <c r="N474" s="423"/>
      <c r="O474" s="423"/>
      <c r="P474" s="423"/>
      <c r="Q474" s="423"/>
      <c r="R474" s="423"/>
      <c r="S474" s="423"/>
      <c r="T474" s="423"/>
      <c r="U474" s="423"/>
      <c r="V474" s="423"/>
      <c r="W474" s="423"/>
      <c r="X474" s="377"/>
      <c r="Y474" s="377"/>
      <c r="Z474" s="377"/>
      <c r="AA474" s="377"/>
      <c r="AB474" s="377"/>
    </row>
    <row r="475">
      <c r="A475" s="390"/>
      <c r="B475" s="390"/>
      <c r="C475" s="390"/>
      <c r="D475" s="456"/>
      <c r="E475" s="383">
        <v>0.0</v>
      </c>
      <c r="F475" s="383">
        <f t="shared" si="77"/>
        <v>0</v>
      </c>
      <c r="G475" s="414">
        <f t="shared" si="83"/>
        <v>0</v>
      </c>
      <c r="H475" s="439"/>
      <c r="I475" s="422"/>
      <c r="J475" s="423"/>
      <c r="K475" s="423"/>
      <c r="L475" s="440"/>
      <c r="M475" s="423"/>
      <c r="N475" s="423"/>
      <c r="O475" s="423"/>
      <c r="P475" s="423"/>
      <c r="Q475" s="423"/>
      <c r="R475" s="423"/>
      <c r="S475" s="423"/>
      <c r="T475" s="423"/>
      <c r="U475" s="423"/>
      <c r="V475" s="423"/>
      <c r="W475" s="423"/>
      <c r="X475" s="377"/>
      <c r="Y475" s="377"/>
      <c r="Z475" s="377"/>
      <c r="AA475" s="377"/>
      <c r="AB475" s="377"/>
    </row>
    <row r="476">
      <c r="A476" s="423"/>
      <c r="B476" s="423"/>
      <c r="C476" s="423"/>
      <c r="D476" s="456"/>
      <c r="E476" s="383">
        <v>0.0</v>
      </c>
      <c r="F476" s="383">
        <f t="shared" si="77"/>
        <v>0</v>
      </c>
      <c r="G476" s="414">
        <f t="shared" si="83"/>
        <v>0</v>
      </c>
      <c r="H476" s="439"/>
      <c r="I476" s="422"/>
      <c r="J476" s="423"/>
      <c r="K476" s="423"/>
      <c r="L476" s="440"/>
      <c r="M476" s="423"/>
      <c r="N476" s="423"/>
      <c r="O476" s="423"/>
      <c r="P476" s="423"/>
      <c r="Q476" s="423"/>
      <c r="R476" s="423"/>
      <c r="S476" s="423"/>
      <c r="T476" s="423"/>
      <c r="U476" s="423"/>
      <c r="V476" s="423"/>
      <c r="W476" s="423"/>
      <c r="X476" s="377"/>
      <c r="Y476" s="377"/>
      <c r="Z476" s="377"/>
      <c r="AA476" s="377"/>
      <c r="AB476" s="377"/>
    </row>
    <row r="477">
      <c r="A477" s="423"/>
      <c r="B477" s="423"/>
      <c r="C477" s="423"/>
      <c r="D477" s="456"/>
      <c r="E477" s="383">
        <v>0.0</v>
      </c>
      <c r="F477" s="383">
        <f t="shared" si="77"/>
        <v>0</v>
      </c>
      <c r="G477" s="414">
        <f t="shared" si="83"/>
        <v>0</v>
      </c>
      <c r="H477" s="439"/>
      <c r="I477" s="422"/>
      <c r="J477" s="423"/>
      <c r="K477" s="423"/>
      <c r="L477" s="440"/>
      <c r="M477" s="423"/>
      <c r="N477" s="423"/>
      <c r="O477" s="423"/>
      <c r="P477" s="423"/>
      <c r="Q477" s="423"/>
      <c r="R477" s="423"/>
      <c r="S477" s="423"/>
      <c r="T477" s="423"/>
      <c r="U477" s="423"/>
      <c r="V477" s="423"/>
      <c r="W477" s="423"/>
      <c r="X477" s="377"/>
      <c r="Y477" s="377"/>
      <c r="Z477" s="377"/>
      <c r="AA477" s="377"/>
      <c r="AB477" s="377"/>
    </row>
    <row r="478">
      <c r="A478" s="423"/>
      <c r="B478" s="423"/>
      <c r="C478" s="423"/>
      <c r="D478" s="456"/>
      <c r="E478" s="383">
        <v>0.0</v>
      </c>
      <c r="F478" s="383">
        <f t="shared" si="77"/>
        <v>0</v>
      </c>
      <c r="G478" s="414">
        <f t="shared" si="83"/>
        <v>0</v>
      </c>
      <c r="H478" s="439"/>
      <c r="I478" s="422"/>
      <c r="J478" s="423"/>
      <c r="K478" s="423"/>
      <c r="L478" s="440"/>
      <c r="M478" s="423"/>
      <c r="N478" s="423"/>
      <c r="O478" s="423"/>
      <c r="P478" s="423"/>
      <c r="Q478" s="423"/>
      <c r="R478" s="423"/>
      <c r="S478" s="423"/>
      <c r="T478" s="423"/>
      <c r="U478" s="423"/>
      <c r="V478" s="423"/>
      <c r="W478" s="423"/>
      <c r="X478" s="377"/>
      <c r="Y478" s="377"/>
      <c r="Z478" s="377"/>
      <c r="AA478" s="377"/>
      <c r="AB478" s="377"/>
    </row>
    <row r="479">
      <c r="A479" s="423"/>
      <c r="B479" s="423"/>
      <c r="C479" s="423"/>
      <c r="D479" s="456"/>
      <c r="E479" s="383">
        <v>0.0</v>
      </c>
      <c r="F479" s="383">
        <f t="shared" si="77"/>
        <v>0</v>
      </c>
      <c r="G479" s="414">
        <f t="shared" si="83"/>
        <v>0</v>
      </c>
      <c r="H479" s="439"/>
      <c r="I479" s="422"/>
      <c r="J479" s="423"/>
      <c r="K479" s="423"/>
      <c r="L479" s="440"/>
      <c r="M479" s="423"/>
      <c r="N479" s="423"/>
      <c r="O479" s="423"/>
      <c r="P479" s="423"/>
      <c r="Q479" s="423"/>
      <c r="R479" s="423"/>
      <c r="S479" s="423"/>
      <c r="T479" s="423"/>
      <c r="U479" s="423"/>
      <c r="V479" s="423"/>
      <c r="W479" s="423"/>
      <c r="X479" s="377"/>
      <c r="Y479" s="377"/>
      <c r="Z479" s="377"/>
      <c r="AA479" s="377"/>
      <c r="AB479" s="377"/>
    </row>
    <row r="480">
      <c r="A480" s="423"/>
      <c r="B480" s="423"/>
      <c r="C480" s="423"/>
      <c r="D480" s="456"/>
      <c r="E480" s="383">
        <v>0.0</v>
      </c>
      <c r="F480" s="383">
        <f t="shared" si="77"/>
        <v>0</v>
      </c>
      <c r="G480" s="414">
        <f t="shared" si="83"/>
        <v>0</v>
      </c>
      <c r="H480" s="439"/>
      <c r="I480" s="422"/>
      <c r="J480" s="423"/>
      <c r="K480" s="423"/>
      <c r="L480" s="440"/>
      <c r="M480" s="423"/>
      <c r="N480" s="423"/>
      <c r="O480" s="423"/>
      <c r="P480" s="423"/>
      <c r="Q480" s="423"/>
      <c r="R480" s="423"/>
      <c r="S480" s="423"/>
      <c r="T480" s="423"/>
      <c r="U480" s="423"/>
      <c r="V480" s="423"/>
      <c r="W480" s="423"/>
      <c r="X480" s="377"/>
      <c r="Y480" s="377"/>
      <c r="Z480" s="377"/>
      <c r="AA480" s="377"/>
      <c r="AB480" s="377"/>
    </row>
    <row r="481">
      <c r="A481" s="423"/>
      <c r="B481" s="423"/>
      <c r="C481" s="423"/>
      <c r="D481" s="456"/>
      <c r="E481" s="383">
        <v>0.0</v>
      </c>
      <c r="F481" s="383">
        <f t="shared" si="77"/>
        <v>0</v>
      </c>
      <c r="G481" s="414">
        <f t="shared" si="83"/>
        <v>0</v>
      </c>
      <c r="H481" s="439"/>
      <c r="I481" s="422"/>
      <c r="J481" s="423"/>
      <c r="K481" s="423"/>
      <c r="L481" s="440"/>
      <c r="M481" s="423"/>
      <c r="N481" s="423"/>
      <c r="O481" s="423"/>
      <c r="P481" s="423"/>
      <c r="Q481" s="423"/>
      <c r="R481" s="423"/>
      <c r="S481" s="423"/>
      <c r="T481" s="423"/>
      <c r="U481" s="423"/>
      <c r="V481" s="423"/>
      <c r="W481" s="423"/>
      <c r="X481" s="377"/>
      <c r="Y481" s="377"/>
      <c r="Z481" s="377"/>
      <c r="AA481" s="377"/>
      <c r="AB481" s="377"/>
    </row>
    <row r="482">
      <c r="A482" s="423"/>
      <c r="B482" s="423"/>
      <c r="C482" s="423"/>
      <c r="D482" s="456"/>
      <c r="E482" s="383">
        <v>0.0</v>
      </c>
      <c r="F482" s="383">
        <f t="shared" si="77"/>
        <v>0</v>
      </c>
      <c r="G482" s="414">
        <f t="shared" si="83"/>
        <v>0</v>
      </c>
      <c r="H482" s="439"/>
      <c r="I482" s="422"/>
      <c r="J482" s="423"/>
      <c r="K482" s="423"/>
      <c r="L482" s="440"/>
      <c r="M482" s="423"/>
      <c r="N482" s="423"/>
      <c r="O482" s="423"/>
      <c r="P482" s="423"/>
      <c r="Q482" s="423"/>
      <c r="R482" s="423"/>
      <c r="S482" s="423"/>
      <c r="T482" s="423"/>
      <c r="U482" s="423"/>
      <c r="V482" s="423"/>
      <c r="W482" s="423"/>
      <c r="X482" s="377"/>
      <c r="Y482" s="377"/>
      <c r="Z482" s="377"/>
      <c r="AA482" s="377"/>
      <c r="AB482" s="377"/>
    </row>
    <row r="483">
      <c r="A483" s="423"/>
      <c r="B483" s="423"/>
      <c r="C483" s="423"/>
      <c r="D483" s="456"/>
      <c r="E483" s="383">
        <v>0.0</v>
      </c>
      <c r="F483" s="383">
        <f t="shared" si="77"/>
        <v>0</v>
      </c>
      <c r="G483" s="414">
        <f t="shared" si="83"/>
        <v>0</v>
      </c>
      <c r="H483" s="439"/>
      <c r="I483" s="422"/>
      <c r="J483" s="423"/>
      <c r="K483" s="423"/>
      <c r="L483" s="440"/>
      <c r="M483" s="423"/>
      <c r="N483" s="423"/>
      <c r="O483" s="423"/>
      <c r="P483" s="423"/>
      <c r="Q483" s="423"/>
      <c r="R483" s="423"/>
      <c r="S483" s="423"/>
      <c r="T483" s="423"/>
      <c r="U483" s="423"/>
      <c r="V483" s="423"/>
      <c r="W483" s="423"/>
      <c r="X483" s="377"/>
      <c r="Y483" s="377"/>
      <c r="Z483" s="377"/>
      <c r="AA483" s="377"/>
      <c r="AB483" s="377"/>
    </row>
    <row r="484">
      <c r="A484" s="423"/>
      <c r="B484" s="423"/>
      <c r="C484" s="423"/>
      <c r="D484" s="456"/>
      <c r="E484" s="383">
        <v>0.0</v>
      </c>
      <c r="F484" s="383">
        <f t="shared" si="77"/>
        <v>0</v>
      </c>
      <c r="G484" s="414">
        <f t="shared" si="83"/>
        <v>0</v>
      </c>
      <c r="H484" s="439"/>
      <c r="I484" s="422"/>
      <c r="J484" s="423"/>
      <c r="K484" s="423"/>
      <c r="L484" s="440"/>
      <c r="M484" s="423"/>
      <c r="N484" s="423"/>
      <c r="O484" s="423"/>
      <c r="P484" s="423"/>
      <c r="Q484" s="423"/>
      <c r="R484" s="423"/>
      <c r="S484" s="423"/>
      <c r="T484" s="423"/>
      <c r="U484" s="423"/>
      <c r="V484" s="423"/>
      <c r="W484" s="423"/>
      <c r="X484" s="377"/>
      <c r="Y484" s="377"/>
      <c r="Z484" s="377"/>
      <c r="AA484" s="377"/>
      <c r="AB484" s="377"/>
    </row>
    <row r="485">
      <c r="A485" s="423"/>
      <c r="B485" s="423"/>
      <c r="C485" s="423"/>
      <c r="D485" s="456"/>
      <c r="E485" s="383">
        <v>0.0</v>
      </c>
      <c r="F485" s="383">
        <f t="shared" si="77"/>
        <v>0</v>
      </c>
      <c r="G485" s="414">
        <f t="shared" si="83"/>
        <v>0</v>
      </c>
      <c r="H485" s="439"/>
      <c r="I485" s="422"/>
      <c r="J485" s="423"/>
      <c r="K485" s="423"/>
      <c r="L485" s="440"/>
      <c r="M485" s="423"/>
      <c r="N485" s="423"/>
      <c r="O485" s="423"/>
      <c r="P485" s="423"/>
      <c r="Q485" s="423"/>
      <c r="R485" s="423"/>
      <c r="S485" s="423"/>
      <c r="T485" s="423"/>
      <c r="U485" s="423"/>
      <c r="V485" s="423"/>
      <c r="W485" s="423"/>
      <c r="X485" s="377"/>
      <c r="Y485" s="377"/>
      <c r="Z485" s="377"/>
      <c r="AA485" s="377"/>
      <c r="AB485" s="377"/>
    </row>
    <row r="486">
      <c r="A486" s="423"/>
      <c r="B486" s="423"/>
      <c r="C486" s="423"/>
      <c r="D486" s="456"/>
      <c r="E486" s="383">
        <v>0.0</v>
      </c>
      <c r="F486" s="383">
        <f t="shared" si="77"/>
        <v>0</v>
      </c>
      <c r="G486" s="414">
        <f t="shared" si="83"/>
        <v>0</v>
      </c>
      <c r="H486" s="439"/>
      <c r="I486" s="422"/>
      <c r="J486" s="423"/>
      <c r="K486" s="423"/>
      <c r="L486" s="440"/>
      <c r="M486" s="423"/>
      <c r="N486" s="423"/>
      <c r="O486" s="423"/>
      <c r="P486" s="423"/>
      <c r="Q486" s="423"/>
      <c r="R486" s="423"/>
      <c r="S486" s="423"/>
      <c r="T486" s="423"/>
      <c r="U486" s="423"/>
      <c r="V486" s="423"/>
      <c r="W486" s="423"/>
      <c r="X486" s="377"/>
      <c r="Y486" s="377"/>
      <c r="Z486" s="377"/>
      <c r="AA486" s="377"/>
      <c r="AB486" s="377"/>
    </row>
    <row r="487">
      <c r="A487" s="423"/>
      <c r="B487" s="423"/>
      <c r="C487" s="423"/>
      <c r="D487" s="456"/>
      <c r="E487" s="383">
        <v>0.0</v>
      </c>
      <c r="F487" s="383">
        <f t="shared" si="77"/>
        <v>0</v>
      </c>
      <c r="G487" s="414">
        <f t="shared" si="83"/>
        <v>0</v>
      </c>
      <c r="H487" s="439"/>
      <c r="I487" s="422"/>
      <c r="J487" s="423"/>
      <c r="K487" s="423"/>
      <c r="L487" s="440"/>
      <c r="M487" s="423"/>
      <c r="N487" s="423"/>
      <c r="O487" s="423"/>
      <c r="P487" s="423"/>
      <c r="Q487" s="423"/>
      <c r="R487" s="423"/>
      <c r="S487" s="423"/>
      <c r="T487" s="423"/>
      <c r="U487" s="423"/>
      <c r="V487" s="423"/>
      <c r="W487" s="423"/>
      <c r="X487" s="377"/>
      <c r="Y487" s="377"/>
      <c r="Z487" s="377"/>
      <c r="AA487" s="377"/>
      <c r="AB487" s="377"/>
    </row>
    <row r="488">
      <c r="A488" s="423"/>
      <c r="B488" s="423"/>
      <c r="C488" s="423"/>
      <c r="D488" s="456"/>
      <c r="E488" s="383">
        <v>0.0</v>
      </c>
      <c r="F488" s="383">
        <f t="shared" si="77"/>
        <v>0</v>
      </c>
      <c r="G488" s="414">
        <f t="shared" si="83"/>
        <v>0</v>
      </c>
      <c r="H488" s="439"/>
      <c r="I488" s="422"/>
      <c r="J488" s="423"/>
      <c r="K488" s="423"/>
      <c r="L488" s="440"/>
      <c r="M488" s="423"/>
      <c r="N488" s="423"/>
      <c r="O488" s="423"/>
      <c r="P488" s="423"/>
      <c r="Q488" s="423"/>
      <c r="R488" s="423"/>
      <c r="S488" s="423"/>
      <c r="T488" s="423"/>
      <c r="U488" s="423"/>
      <c r="V488" s="423"/>
      <c r="W488" s="423"/>
      <c r="X488" s="377"/>
      <c r="Y488" s="377"/>
      <c r="Z488" s="377"/>
      <c r="AA488" s="377"/>
      <c r="AB488" s="377"/>
    </row>
    <row r="489">
      <c r="A489" s="423"/>
      <c r="B489" s="423"/>
      <c r="C489" s="423"/>
      <c r="D489" s="456"/>
      <c r="E489" s="383">
        <v>0.0</v>
      </c>
      <c r="F489" s="383">
        <f t="shared" si="77"/>
        <v>0</v>
      </c>
      <c r="G489" s="414">
        <f t="shared" si="83"/>
        <v>0</v>
      </c>
      <c r="H489" s="439"/>
      <c r="I489" s="422"/>
      <c r="J489" s="423"/>
      <c r="K489" s="423"/>
      <c r="L489" s="440"/>
      <c r="M489" s="423"/>
      <c r="N489" s="423"/>
      <c r="O489" s="423"/>
      <c r="P489" s="423"/>
      <c r="Q489" s="423"/>
      <c r="R489" s="423"/>
      <c r="S489" s="423"/>
      <c r="T489" s="423"/>
      <c r="U489" s="423"/>
      <c r="V489" s="423"/>
      <c r="W489" s="423"/>
      <c r="X489" s="377"/>
      <c r="Y489" s="377"/>
      <c r="Z489" s="377"/>
      <c r="AA489" s="377"/>
      <c r="AB489" s="377"/>
    </row>
    <row r="490">
      <c r="A490" s="423"/>
      <c r="B490" s="423"/>
      <c r="C490" s="423"/>
      <c r="D490" s="456"/>
      <c r="E490" s="383">
        <v>0.0</v>
      </c>
      <c r="F490" s="383">
        <f t="shared" si="77"/>
        <v>0</v>
      </c>
      <c r="G490" s="414">
        <f t="shared" si="83"/>
        <v>0</v>
      </c>
      <c r="H490" s="439"/>
      <c r="I490" s="422"/>
      <c r="J490" s="423"/>
      <c r="K490" s="423"/>
      <c r="L490" s="440"/>
      <c r="M490" s="423"/>
      <c r="N490" s="423"/>
      <c r="O490" s="423"/>
      <c r="P490" s="423"/>
      <c r="Q490" s="423"/>
      <c r="R490" s="423"/>
      <c r="S490" s="423"/>
      <c r="T490" s="423"/>
      <c r="U490" s="423"/>
      <c r="V490" s="423"/>
      <c r="W490" s="423"/>
      <c r="X490" s="377"/>
      <c r="Y490" s="377"/>
      <c r="Z490" s="377"/>
      <c r="AA490" s="377"/>
      <c r="AB490" s="377"/>
    </row>
    <row r="491">
      <c r="A491" s="423"/>
      <c r="B491" s="423"/>
      <c r="C491" s="423"/>
      <c r="D491" s="456"/>
      <c r="E491" s="383">
        <v>0.0</v>
      </c>
      <c r="F491" s="383">
        <f t="shared" si="77"/>
        <v>0</v>
      </c>
      <c r="G491" s="414">
        <f t="shared" si="83"/>
        <v>0</v>
      </c>
      <c r="H491" s="439"/>
      <c r="I491" s="422"/>
      <c r="J491" s="423"/>
      <c r="K491" s="423"/>
      <c r="L491" s="440"/>
      <c r="M491" s="423"/>
      <c r="N491" s="423"/>
      <c r="O491" s="423"/>
      <c r="P491" s="423"/>
      <c r="Q491" s="423"/>
      <c r="R491" s="423"/>
      <c r="S491" s="423"/>
      <c r="T491" s="423"/>
      <c r="U491" s="423"/>
      <c r="V491" s="423"/>
      <c r="W491" s="423"/>
      <c r="X491" s="377"/>
      <c r="Y491" s="377"/>
      <c r="Z491" s="377"/>
      <c r="AA491" s="377"/>
      <c r="AB491" s="377"/>
    </row>
    <row r="492">
      <c r="A492" s="423"/>
      <c r="B492" s="423"/>
      <c r="C492" s="423"/>
      <c r="D492" s="456"/>
      <c r="E492" s="383">
        <v>0.0</v>
      </c>
      <c r="F492" s="383">
        <f t="shared" si="77"/>
        <v>0</v>
      </c>
      <c r="G492" s="414">
        <f t="shared" si="83"/>
        <v>0</v>
      </c>
      <c r="H492" s="439"/>
      <c r="I492" s="422"/>
      <c r="J492" s="423"/>
      <c r="K492" s="423"/>
      <c r="L492" s="440"/>
      <c r="M492" s="423"/>
      <c r="N492" s="423"/>
      <c r="O492" s="423"/>
      <c r="P492" s="423"/>
      <c r="Q492" s="423"/>
      <c r="R492" s="423"/>
      <c r="S492" s="423"/>
      <c r="T492" s="423"/>
      <c r="U492" s="423"/>
      <c r="V492" s="423"/>
      <c r="W492" s="423"/>
      <c r="X492" s="377"/>
      <c r="Y492" s="377"/>
      <c r="Z492" s="377"/>
      <c r="AA492" s="377"/>
      <c r="AB492" s="377"/>
    </row>
    <row r="493">
      <c r="A493" s="423"/>
      <c r="B493" s="423"/>
      <c r="C493" s="423"/>
      <c r="D493" s="456"/>
      <c r="E493" s="383">
        <v>0.0</v>
      </c>
      <c r="F493" s="383">
        <f t="shared" si="77"/>
        <v>0</v>
      </c>
      <c r="G493" s="414">
        <f t="shared" si="83"/>
        <v>0</v>
      </c>
      <c r="H493" s="439"/>
      <c r="I493" s="422"/>
      <c r="J493" s="423"/>
      <c r="K493" s="423"/>
      <c r="L493" s="440"/>
      <c r="M493" s="423"/>
      <c r="N493" s="423"/>
      <c r="O493" s="423"/>
      <c r="P493" s="423"/>
      <c r="Q493" s="423"/>
      <c r="R493" s="423"/>
      <c r="S493" s="423"/>
      <c r="T493" s="423"/>
      <c r="U493" s="423"/>
      <c r="V493" s="423"/>
      <c r="W493" s="423"/>
      <c r="X493" s="377"/>
      <c r="Y493" s="377"/>
      <c r="Z493" s="377"/>
      <c r="AA493" s="377"/>
      <c r="AB493" s="377"/>
    </row>
    <row r="494">
      <c r="A494" s="423"/>
      <c r="B494" s="423"/>
      <c r="C494" s="423"/>
      <c r="D494" s="456"/>
      <c r="E494" s="383">
        <v>0.0</v>
      </c>
      <c r="F494" s="383">
        <f t="shared" si="77"/>
        <v>0</v>
      </c>
      <c r="G494" s="414">
        <f t="shared" si="83"/>
        <v>0</v>
      </c>
      <c r="H494" s="439"/>
      <c r="I494" s="422"/>
      <c r="J494" s="423"/>
      <c r="K494" s="423"/>
      <c r="L494" s="440"/>
      <c r="M494" s="423"/>
      <c r="N494" s="423"/>
      <c r="O494" s="423"/>
      <c r="P494" s="423"/>
      <c r="Q494" s="423"/>
      <c r="R494" s="423"/>
      <c r="S494" s="423"/>
      <c r="T494" s="423"/>
      <c r="U494" s="423"/>
      <c r="V494" s="423"/>
      <c r="W494" s="423"/>
      <c r="X494" s="377"/>
      <c r="Y494" s="377"/>
      <c r="Z494" s="377"/>
      <c r="AA494" s="377"/>
      <c r="AB494" s="377"/>
    </row>
    <row r="495">
      <c r="A495" s="423"/>
      <c r="B495" s="423"/>
      <c r="C495" s="423"/>
      <c r="D495" s="456"/>
      <c r="E495" s="383">
        <v>0.0</v>
      </c>
      <c r="F495" s="383">
        <f t="shared" si="77"/>
        <v>0</v>
      </c>
      <c r="G495" s="414">
        <f t="shared" si="83"/>
        <v>0</v>
      </c>
      <c r="H495" s="439"/>
      <c r="I495" s="422"/>
      <c r="J495" s="423"/>
      <c r="K495" s="423"/>
      <c r="L495" s="440"/>
      <c r="M495" s="423"/>
      <c r="N495" s="423"/>
      <c r="O495" s="423"/>
      <c r="P495" s="423"/>
      <c r="Q495" s="423"/>
      <c r="R495" s="423"/>
      <c r="S495" s="423"/>
      <c r="T495" s="423"/>
      <c r="U495" s="423"/>
      <c r="V495" s="423"/>
      <c r="W495" s="423"/>
      <c r="X495" s="377"/>
      <c r="Y495" s="377"/>
      <c r="Z495" s="377"/>
      <c r="AA495" s="377"/>
      <c r="AB495" s="377"/>
    </row>
    <row r="496">
      <c r="A496" s="423"/>
      <c r="B496" s="423"/>
      <c r="C496" s="423"/>
      <c r="D496" s="456"/>
      <c r="E496" s="383">
        <v>0.0</v>
      </c>
      <c r="F496" s="383">
        <f t="shared" si="77"/>
        <v>0</v>
      </c>
      <c r="G496" s="414">
        <f t="shared" si="83"/>
        <v>0</v>
      </c>
      <c r="H496" s="439"/>
      <c r="I496" s="422"/>
      <c r="J496" s="423"/>
      <c r="K496" s="423"/>
      <c r="L496" s="440"/>
      <c r="M496" s="423"/>
      <c r="N496" s="423"/>
      <c r="O496" s="423"/>
      <c r="P496" s="423"/>
      <c r="Q496" s="423"/>
      <c r="R496" s="423"/>
      <c r="S496" s="423"/>
      <c r="T496" s="423"/>
      <c r="U496" s="423"/>
      <c r="V496" s="423"/>
      <c r="W496" s="423"/>
      <c r="X496" s="377"/>
      <c r="Y496" s="377"/>
      <c r="Z496" s="377"/>
      <c r="AA496" s="377"/>
      <c r="AB496" s="377"/>
    </row>
    <row r="497">
      <c r="A497" s="423"/>
      <c r="B497" s="423"/>
      <c r="C497" s="423"/>
      <c r="D497" s="456"/>
      <c r="E497" s="383">
        <v>0.0</v>
      </c>
      <c r="F497" s="383">
        <f t="shared" si="77"/>
        <v>0</v>
      </c>
      <c r="G497" s="414">
        <f t="shared" si="83"/>
        <v>0</v>
      </c>
      <c r="H497" s="439"/>
      <c r="I497" s="422"/>
      <c r="J497" s="423"/>
      <c r="K497" s="423"/>
      <c r="L497" s="440"/>
      <c r="M497" s="423"/>
      <c r="N497" s="423"/>
      <c r="O497" s="423"/>
      <c r="P497" s="423"/>
      <c r="Q497" s="423"/>
      <c r="R497" s="423"/>
      <c r="S497" s="423"/>
      <c r="T497" s="423"/>
      <c r="U497" s="423"/>
      <c r="V497" s="423"/>
      <c r="W497" s="423"/>
      <c r="X497" s="377"/>
      <c r="Y497" s="377"/>
      <c r="Z497" s="377"/>
      <c r="AA497" s="377"/>
      <c r="AB497" s="377"/>
    </row>
    <row r="498">
      <c r="A498" s="423"/>
      <c r="B498" s="423"/>
      <c r="C498" s="423"/>
      <c r="D498" s="456"/>
      <c r="E498" s="383">
        <v>0.0</v>
      </c>
      <c r="F498" s="383">
        <f t="shared" si="77"/>
        <v>0</v>
      </c>
      <c r="G498" s="414">
        <f t="shared" si="83"/>
        <v>0</v>
      </c>
      <c r="H498" s="439"/>
      <c r="I498" s="422"/>
      <c r="J498" s="423"/>
      <c r="K498" s="423"/>
      <c r="L498" s="440"/>
      <c r="M498" s="423"/>
      <c r="N498" s="423"/>
      <c r="O498" s="423"/>
      <c r="P498" s="423"/>
      <c r="Q498" s="423"/>
      <c r="R498" s="423"/>
      <c r="S498" s="423"/>
      <c r="T498" s="423"/>
      <c r="U498" s="423"/>
      <c r="V498" s="423"/>
      <c r="W498" s="423"/>
      <c r="X498" s="377"/>
      <c r="Y498" s="377"/>
      <c r="Z498" s="377"/>
      <c r="AA498" s="377"/>
      <c r="AB498" s="377"/>
    </row>
    <row r="499">
      <c r="A499" s="423"/>
      <c r="B499" s="423"/>
      <c r="C499" s="423"/>
      <c r="D499" s="456"/>
      <c r="E499" s="383">
        <v>0.0</v>
      </c>
      <c r="F499" s="383">
        <f t="shared" si="77"/>
        <v>0</v>
      </c>
      <c r="G499" s="414">
        <f t="shared" si="83"/>
        <v>0</v>
      </c>
      <c r="H499" s="439"/>
      <c r="I499" s="422"/>
      <c r="J499" s="423"/>
      <c r="K499" s="423"/>
      <c r="L499" s="440"/>
      <c r="M499" s="423"/>
      <c r="N499" s="423"/>
      <c r="O499" s="423"/>
      <c r="P499" s="423"/>
      <c r="Q499" s="423"/>
      <c r="R499" s="423"/>
      <c r="S499" s="423"/>
      <c r="T499" s="423"/>
      <c r="U499" s="423"/>
      <c r="V499" s="423"/>
      <c r="W499" s="423"/>
      <c r="X499" s="377"/>
      <c r="Y499" s="377"/>
      <c r="Z499" s="377"/>
      <c r="AA499" s="377"/>
      <c r="AB499" s="377"/>
    </row>
    <row r="500">
      <c r="A500" s="423"/>
      <c r="B500" s="423"/>
      <c r="C500" s="423"/>
      <c r="D500" s="456"/>
      <c r="E500" s="383">
        <v>0.0</v>
      </c>
      <c r="F500" s="383">
        <f t="shared" si="77"/>
        <v>0</v>
      </c>
      <c r="G500" s="414">
        <f t="shared" si="83"/>
        <v>0</v>
      </c>
      <c r="H500" s="439"/>
      <c r="I500" s="422"/>
      <c r="J500" s="423"/>
      <c r="K500" s="423"/>
      <c r="L500" s="440"/>
      <c r="M500" s="423"/>
      <c r="N500" s="423"/>
      <c r="O500" s="423"/>
      <c r="P500" s="423"/>
      <c r="Q500" s="423"/>
      <c r="R500" s="423"/>
      <c r="S500" s="423"/>
      <c r="T500" s="423"/>
      <c r="U500" s="423"/>
      <c r="V500" s="423"/>
      <c r="W500" s="423"/>
      <c r="X500" s="377"/>
      <c r="Y500" s="377"/>
      <c r="Z500" s="377"/>
      <c r="AA500" s="377"/>
      <c r="AB500" s="377"/>
    </row>
    <row r="501">
      <c r="A501" s="423"/>
      <c r="B501" s="423"/>
      <c r="C501" s="423"/>
      <c r="D501" s="456"/>
      <c r="E501" s="383">
        <v>0.0</v>
      </c>
      <c r="F501" s="383">
        <f t="shared" si="77"/>
        <v>0</v>
      </c>
      <c r="G501" s="414">
        <f t="shared" si="83"/>
        <v>0</v>
      </c>
      <c r="H501" s="439"/>
      <c r="I501" s="422"/>
      <c r="J501" s="423"/>
      <c r="K501" s="423"/>
      <c r="L501" s="440"/>
      <c r="M501" s="423"/>
      <c r="N501" s="423"/>
      <c r="O501" s="423"/>
      <c r="P501" s="423"/>
      <c r="Q501" s="423"/>
      <c r="R501" s="423"/>
      <c r="S501" s="423"/>
      <c r="T501" s="423"/>
      <c r="U501" s="423"/>
      <c r="V501" s="423"/>
      <c r="W501" s="423"/>
      <c r="X501" s="377"/>
      <c r="Y501" s="377"/>
      <c r="Z501" s="377"/>
      <c r="AA501" s="377"/>
      <c r="AB501" s="377"/>
    </row>
    <row r="502">
      <c r="A502" s="423"/>
      <c r="B502" s="423"/>
      <c r="C502" s="423"/>
      <c r="D502" s="456"/>
      <c r="E502" s="383">
        <v>0.0</v>
      </c>
      <c r="F502" s="383">
        <f t="shared" si="77"/>
        <v>0</v>
      </c>
      <c r="G502" s="414">
        <f t="shared" si="83"/>
        <v>0</v>
      </c>
      <c r="H502" s="439"/>
      <c r="I502" s="422"/>
      <c r="J502" s="423"/>
      <c r="K502" s="423"/>
      <c r="L502" s="440"/>
      <c r="M502" s="423"/>
      <c r="N502" s="423"/>
      <c r="O502" s="423"/>
      <c r="P502" s="423"/>
      <c r="Q502" s="423"/>
      <c r="R502" s="423"/>
      <c r="S502" s="423"/>
      <c r="T502" s="423"/>
      <c r="U502" s="423"/>
      <c r="V502" s="423"/>
      <c r="W502" s="423"/>
      <c r="X502" s="377"/>
      <c r="Y502" s="377"/>
      <c r="Z502" s="377"/>
      <c r="AA502" s="377"/>
      <c r="AB502" s="377"/>
    </row>
    <row r="503">
      <c r="A503" s="423"/>
      <c r="B503" s="423"/>
      <c r="C503" s="423"/>
      <c r="D503" s="456"/>
      <c r="E503" s="383">
        <v>0.0</v>
      </c>
      <c r="F503" s="383">
        <f t="shared" si="77"/>
        <v>0</v>
      </c>
      <c r="G503" s="414">
        <f t="shared" si="83"/>
        <v>0</v>
      </c>
      <c r="H503" s="439"/>
      <c r="I503" s="422"/>
      <c r="J503" s="423"/>
      <c r="K503" s="423"/>
      <c r="L503" s="440"/>
      <c r="M503" s="423"/>
      <c r="N503" s="423"/>
      <c r="O503" s="423"/>
      <c r="P503" s="423"/>
      <c r="Q503" s="423"/>
      <c r="R503" s="423"/>
      <c r="S503" s="423"/>
      <c r="T503" s="423"/>
      <c r="U503" s="423"/>
      <c r="V503" s="423"/>
      <c r="W503" s="423"/>
      <c r="X503" s="377"/>
      <c r="Y503" s="377"/>
      <c r="Z503" s="377"/>
      <c r="AA503" s="377"/>
      <c r="AB503" s="377"/>
    </row>
    <row r="504">
      <c r="A504" s="423"/>
      <c r="B504" s="423"/>
      <c r="C504" s="423"/>
      <c r="D504" s="456"/>
      <c r="E504" s="383">
        <v>0.0</v>
      </c>
      <c r="F504" s="383">
        <f t="shared" si="77"/>
        <v>0</v>
      </c>
      <c r="G504" s="414">
        <f t="shared" si="83"/>
        <v>0</v>
      </c>
      <c r="H504" s="439"/>
      <c r="I504" s="422"/>
      <c r="J504" s="423"/>
      <c r="K504" s="423"/>
      <c r="L504" s="440"/>
      <c r="M504" s="423"/>
      <c r="N504" s="423"/>
      <c r="O504" s="423"/>
      <c r="P504" s="423"/>
      <c r="Q504" s="423"/>
      <c r="R504" s="423"/>
      <c r="S504" s="423"/>
      <c r="T504" s="423"/>
      <c r="U504" s="423"/>
      <c r="V504" s="423"/>
      <c r="W504" s="423"/>
      <c r="X504" s="377"/>
      <c r="Y504" s="377"/>
      <c r="Z504" s="377"/>
      <c r="AA504" s="377"/>
      <c r="AB504" s="377"/>
    </row>
    <row r="505">
      <c r="A505" s="423"/>
      <c r="B505" s="423"/>
      <c r="C505" s="423"/>
      <c r="D505" s="456"/>
      <c r="E505" s="383">
        <v>0.0</v>
      </c>
      <c r="F505" s="383">
        <f t="shared" si="77"/>
        <v>0</v>
      </c>
      <c r="G505" s="414">
        <f t="shared" si="83"/>
        <v>0</v>
      </c>
      <c r="H505" s="439"/>
      <c r="I505" s="422"/>
      <c r="J505" s="423"/>
      <c r="K505" s="423"/>
      <c r="L505" s="440"/>
      <c r="M505" s="423"/>
      <c r="N505" s="423"/>
      <c r="O505" s="423"/>
      <c r="P505" s="423"/>
      <c r="Q505" s="423"/>
      <c r="R505" s="423"/>
      <c r="S505" s="423"/>
      <c r="T505" s="423"/>
      <c r="U505" s="423"/>
      <c r="V505" s="423"/>
      <c r="W505" s="423"/>
      <c r="X505" s="377"/>
      <c r="Y505" s="377"/>
      <c r="Z505" s="377"/>
      <c r="AA505" s="377"/>
      <c r="AB505" s="377"/>
    </row>
    <row r="506">
      <c r="A506" s="423"/>
      <c r="B506" s="423"/>
      <c r="C506" s="423"/>
      <c r="D506" s="456"/>
      <c r="E506" s="383">
        <v>0.0</v>
      </c>
      <c r="F506" s="383">
        <f t="shared" si="77"/>
        <v>0</v>
      </c>
      <c r="G506" s="414">
        <f t="shared" si="83"/>
        <v>0</v>
      </c>
      <c r="H506" s="439"/>
      <c r="I506" s="422"/>
      <c r="J506" s="423"/>
      <c r="K506" s="423"/>
      <c r="L506" s="440"/>
      <c r="M506" s="423"/>
      <c r="N506" s="423"/>
      <c r="O506" s="423"/>
      <c r="P506" s="423"/>
      <c r="Q506" s="423"/>
      <c r="R506" s="423"/>
      <c r="S506" s="423"/>
      <c r="T506" s="423"/>
      <c r="U506" s="423"/>
      <c r="V506" s="423"/>
      <c r="W506" s="423"/>
      <c r="X506" s="377"/>
      <c r="Y506" s="377"/>
      <c r="Z506" s="377"/>
      <c r="AA506" s="377"/>
      <c r="AB506" s="377"/>
    </row>
    <row r="507">
      <c r="A507" s="423"/>
      <c r="B507" s="423"/>
      <c r="C507" s="423"/>
      <c r="D507" s="456"/>
      <c r="E507" s="383">
        <v>0.0</v>
      </c>
      <c r="F507" s="383">
        <f t="shared" si="77"/>
        <v>0</v>
      </c>
      <c r="G507" s="414">
        <f t="shared" si="83"/>
        <v>0</v>
      </c>
      <c r="H507" s="439"/>
      <c r="I507" s="422"/>
      <c r="J507" s="423"/>
      <c r="K507" s="423"/>
      <c r="L507" s="440"/>
      <c r="M507" s="423"/>
      <c r="N507" s="423"/>
      <c r="O507" s="423"/>
      <c r="P507" s="423"/>
      <c r="Q507" s="423"/>
      <c r="R507" s="423"/>
      <c r="S507" s="423"/>
      <c r="T507" s="423"/>
      <c r="U507" s="423"/>
      <c r="V507" s="423"/>
      <c r="W507" s="423"/>
      <c r="X507" s="377"/>
      <c r="Y507" s="377"/>
      <c r="Z507" s="377"/>
      <c r="AA507" s="377"/>
      <c r="AB507" s="377"/>
    </row>
    <row r="508">
      <c r="A508" s="423"/>
      <c r="B508" s="423"/>
      <c r="C508" s="423"/>
      <c r="D508" s="456"/>
      <c r="E508" s="383">
        <v>0.0</v>
      </c>
      <c r="F508" s="383">
        <f t="shared" si="77"/>
        <v>0</v>
      </c>
      <c r="G508" s="414">
        <f t="shared" si="83"/>
        <v>0</v>
      </c>
      <c r="H508" s="439"/>
      <c r="I508" s="422"/>
      <c r="J508" s="423"/>
      <c r="K508" s="423"/>
      <c r="L508" s="440"/>
      <c r="M508" s="423"/>
      <c r="N508" s="423"/>
      <c r="O508" s="423"/>
      <c r="P508" s="423"/>
      <c r="Q508" s="423"/>
      <c r="R508" s="423"/>
      <c r="S508" s="423"/>
      <c r="T508" s="423"/>
      <c r="U508" s="423"/>
      <c r="V508" s="423"/>
      <c r="W508" s="423"/>
      <c r="X508" s="377"/>
      <c r="Y508" s="377"/>
      <c r="Z508" s="377"/>
      <c r="AA508" s="377"/>
      <c r="AB508" s="377"/>
    </row>
    <row r="509">
      <c r="A509" s="423"/>
      <c r="B509" s="423"/>
      <c r="C509" s="423"/>
      <c r="D509" s="456"/>
      <c r="E509" s="383">
        <v>0.0</v>
      </c>
      <c r="F509" s="383">
        <f t="shared" si="77"/>
        <v>0</v>
      </c>
      <c r="G509" s="414">
        <f t="shared" si="83"/>
        <v>0</v>
      </c>
      <c r="H509" s="439"/>
      <c r="I509" s="422"/>
      <c r="J509" s="423"/>
      <c r="K509" s="423"/>
      <c r="L509" s="440"/>
      <c r="M509" s="423"/>
      <c r="N509" s="423"/>
      <c r="O509" s="423"/>
      <c r="P509" s="423"/>
      <c r="Q509" s="423"/>
      <c r="R509" s="423"/>
      <c r="S509" s="423"/>
      <c r="T509" s="423"/>
      <c r="U509" s="423"/>
      <c r="V509" s="423"/>
      <c r="W509" s="423"/>
      <c r="X509" s="377"/>
      <c r="Y509" s="377"/>
      <c r="Z509" s="377"/>
      <c r="AA509" s="377"/>
      <c r="AB509" s="377"/>
    </row>
    <row r="510">
      <c r="A510" s="423"/>
      <c r="B510" s="423"/>
      <c r="C510" s="423"/>
      <c r="D510" s="456"/>
      <c r="E510" s="383">
        <v>0.0</v>
      </c>
      <c r="F510" s="383">
        <f t="shared" si="77"/>
        <v>0</v>
      </c>
      <c r="G510" s="414">
        <f t="shared" si="83"/>
        <v>0</v>
      </c>
      <c r="H510" s="439"/>
      <c r="I510" s="422"/>
      <c r="J510" s="423"/>
      <c r="K510" s="423"/>
      <c r="L510" s="440"/>
      <c r="M510" s="423"/>
      <c r="N510" s="423"/>
      <c r="O510" s="423"/>
      <c r="P510" s="423"/>
      <c r="Q510" s="423"/>
      <c r="R510" s="423"/>
      <c r="S510" s="423"/>
      <c r="T510" s="423"/>
      <c r="U510" s="423"/>
      <c r="V510" s="423"/>
      <c r="W510" s="423"/>
      <c r="X510" s="377"/>
      <c r="Y510" s="377"/>
      <c r="Z510" s="377"/>
      <c r="AA510" s="377"/>
      <c r="AB510" s="377"/>
    </row>
    <row r="511">
      <c r="A511" s="423"/>
      <c r="B511" s="423"/>
      <c r="C511" s="423"/>
      <c r="D511" s="456"/>
      <c r="E511" s="383">
        <v>0.0</v>
      </c>
      <c r="F511" s="383">
        <f t="shared" si="77"/>
        <v>0</v>
      </c>
      <c r="G511" s="414">
        <f t="shared" si="83"/>
        <v>0</v>
      </c>
      <c r="H511" s="439"/>
      <c r="I511" s="422"/>
      <c r="J511" s="423"/>
      <c r="K511" s="423"/>
      <c r="L511" s="440"/>
      <c r="M511" s="423"/>
      <c r="N511" s="423"/>
      <c r="O511" s="423"/>
      <c r="P511" s="423"/>
      <c r="Q511" s="423"/>
      <c r="R511" s="423"/>
      <c r="S511" s="423"/>
      <c r="T511" s="423"/>
      <c r="U511" s="423"/>
      <c r="V511" s="423"/>
      <c r="W511" s="423"/>
      <c r="X511" s="377"/>
      <c r="Y511" s="377"/>
      <c r="Z511" s="377"/>
      <c r="AA511" s="377"/>
      <c r="AB511" s="377"/>
    </row>
    <row r="512">
      <c r="A512" s="423"/>
      <c r="B512" s="423"/>
      <c r="C512" s="423"/>
      <c r="D512" s="456"/>
      <c r="E512" s="383">
        <v>0.0</v>
      </c>
      <c r="F512" s="383">
        <f t="shared" si="77"/>
        <v>0</v>
      </c>
      <c r="G512" s="414">
        <f t="shared" si="83"/>
        <v>0</v>
      </c>
      <c r="H512" s="439"/>
      <c r="I512" s="422"/>
      <c r="J512" s="423"/>
      <c r="K512" s="423"/>
      <c r="L512" s="440"/>
      <c r="M512" s="423"/>
      <c r="N512" s="423"/>
      <c r="O512" s="423"/>
      <c r="P512" s="423"/>
      <c r="Q512" s="423"/>
      <c r="R512" s="423"/>
      <c r="S512" s="423"/>
      <c r="T512" s="423"/>
      <c r="U512" s="423"/>
      <c r="V512" s="423"/>
      <c r="W512" s="423"/>
      <c r="X512" s="377"/>
      <c r="Y512" s="377"/>
      <c r="Z512" s="377"/>
      <c r="AA512" s="377"/>
      <c r="AB512" s="377"/>
    </row>
    <row r="513">
      <c r="A513" s="423"/>
      <c r="B513" s="423"/>
      <c r="C513" s="423"/>
      <c r="D513" s="456"/>
      <c r="E513" s="383">
        <v>0.0</v>
      </c>
      <c r="F513" s="383">
        <f t="shared" si="77"/>
        <v>0</v>
      </c>
      <c r="G513" s="414">
        <f t="shared" si="83"/>
        <v>0</v>
      </c>
      <c r="H513" s="439"/>
      <c r="I513" s="422"/>
      <c r="J513" s="423"/>
      <c r="K513" s="423"/>
      <c r="L513" s="440"/>
      <c r="M513" s="423"/>
      <c r="N513" s="423"/>
      <c r="O513" s="423"/>
      <c r="P513" s="423"/>
      <c r="Q513" s="423"/>
      <c r="R513" s="423"/>
      <c r="S513" s="423"/>
      <c r="T513" s="423"/>
      <c r="U513" s="423"/>
      <c r="V513" s="423"/>
      <c r="W513" s="423"/>
      <c r="X513" s="377"/>
      <c r="Y513" s="377"/>
      <c r="Z513" s="377"/>
      <c r="AA513" s="377"/>
      <c r="AB513" s="377"/>
    </row>
    <row r="514">
      <c r="A514" s="423"/>
      <c r="B514" s="423"/>
      <c r="C514" s="423"/>
      <c r="D514" s="456"/>
      <c r="E514" s="383">
        <v>0.0</v>
      </c>
      <c r="F514" s="383">
        <f t="shared" si="77"/>
        <v>0</v>
      </c>
      <c r="G514" s="414">
        <f t="shared" si="83"/>
        <v>0</v>
      </c>
      <c r="H514" s="439"/>
      <c r="I514" s="422"/>
      <c r="J514" s="423"/>
      <c r="K514" s="423"/>
      <c r="L514" s="440"/>
      <c r="M514" s="423"/>
      <c r="N514" s="423"/>
      <c r="O514" s="423"/>
      <c r="P514" s="423"/>
      <c r="Q514" s="423"/>
      <c r="R514" s="423"/>
      <c r="S514" s="423"/>
      <c r="T514" s="423"/>
      <c r="U514" s="423"/>
      <c r="V514" s="423"/>
      <c r="W514" s="423"/>
      <c r="X514" s="377"/>
      <c r="Y514" s="377"/>
      <c r="Z514" s="377"/>
      <c r="AA514" s="377"/>
      <c r="AB514" s="377"/>
    </row>
    <row r="515">
      <c r="A515" s="423"/>
      <c r="B515" s="423"/>
      <c r="C515" s="423"/>
      <c r="D515" s="456"/>
      <c r="E515" s="383">
        <v>0.0</v>
      </c>
      <c r="F515" s="383">
        <f t="shared" si="77"/>
        <v>0</v>
      </c>
      <c r="G515" s="414">
        <f t="shared" si="83"/>
        <v>0</v>
      </c>
      <c r="H515" s="439"/>
      <c r="I515" s="422"/>
      <c r="J515" s="423"/>
      <c r="K515" s="423"/>
      <c r="L515" s="440"/>
      <c r="M515" s="423"/>
      <c r="N515" s="423"/>
      <c r="O515" s="423"/>
      <c r="P515" s="423"/>
      <c r="Q515" s="423"/>
      <c r="R515" s="423"/>
      <c r="S515" s="423"/>
      <c r="T515" s="423"/>
      <c r="U515" s="423"/>
      <c r="V515" s="423"/>
      <c r="W515" s="423"/>
      <c r="X515" s="377"/>
      <c r="Y515" s="377"/>
      <c r="Z515" s="377"/>
      <c r="AA515" s="377"/>
      <c r="AB515" s="377"/>
    </row>
    <row r="516">
      <c r="A516" s="423"/>
      <c r="B516" s="423"/>
      <c r="C516" s="423"/>
      <c r="D516" s="456"/>
      <c r="E516" s="383">
        <v>0.0</v>
      </c>
      <c r="F516" s="383">
        <f t="shared" si="77"/>
        <v>0</v>
      </c>
      <c r="G516" s="414">
        <f t="shared" si="83"/>
        <v>0</v>
      </c>
      <c r="H516" s="439"/>
      <c r="I516" s="422"/>
      <c r="J516" s="423"/>
      <c r="K516" s="423"/>
      <c r="L516" s="440"/>
      <c r="M516" s="423"/>
      <c r="N516" s="423"/>
      <c r="O516" s="423"/>
      <c r="P516" s="423"/>
      <c r="Q516" s="423"/>
      <c r="R516" s="423"/>
      <c r="S516" s="423"/>
      <c r="T516" s="423"/>
      <c r="U516" s="423"/>
      <c r="V516" s="423"/>
      <c r="W516" s="423"/>
      <c r="X516" s="377"/>
      <c r="Y516" s="377"/>
      <c r="Z516" s="377"/>
      <c r="AA516" s="377"/>
      <c r="AB516" s="377"/>
    </row>
    <row r="517">
      <c r="A517" s="423"/>
      <c r="B517" s="423"/>
      <c r="C517" s="423"/>
      <c r="D517" s="456"/>
      <c r="E517" s="383">
        <v>0.0</v>
      </c>
      <c r="F517" s="383">
        <f t="shared" si="77"/>
        <v>0</v>
      </c>
      <c r="G517" s="414">
        <f t="shared" si="83"/>
        <v>0</v>
      </c>
      <c r="H517" s="439"/>
      <c r="I517" s="422"/>
      <c r="J517" s="423"/>
      <c r="K517" s="423"/>
      <c r="L517" s="440"/>
      <c r="M517" s="423"/>
      <c r="N517" s="423"/>
      <c r="O517" s="423"/>
      <c r="P517" s="423"/>
      <c r="Q517" s="423"/>
      <c r="R517" s="423"/>
      <c r="S517" s="423"/>
      <c r="T517" s="423"/>
      <c r="U517" s="423"/>
      <c r="V517" s="423"/>
      <c r="W517" s="423"/>
      <c r="X517" s="377"/>
      <c r="Y517" s="377"/>
      <c r="Z517" s="377"/>
      <c r="AA517" s="377"/>
      <c r="AB517" s="377"/>
    </row>
    <row r="518">
      <c r="A518" s="423"/>
      <c r="B518" s="423"/>
      <c r="C518" s="423"/>
      <c r="D518" s="456"/>
      <c r="E518" s="383">
        <v>0.0</v>
      </c>
      <c r="F518" s="383">
        <f t="shared" si="77"/>
        <v>0</v>
      </c>
      <c r="G518" s="414">
        <f t="shared" si="83"/>
        <v>0</v>
      </c>
      <c r="H518" s="439"/>
      <c r="I518" s="422"/>
      <c r="J518" s="423"/>
      <c r="K518" s="423"/>
      <c r="L518" s="440"/>
      <c r="M518" s="423"/>
      <c r="N518" s="423"/>
      <c r="O518" s="423"/>
      <c r="P518" s="423"/>
      <c r="Q518" s="423"/>
      <c r="R518" s="423"/>
      <c r="S518" s="423"/>
      <c r="T518" s="423"/>
      <c r="U518" s="423"/>
      <c r="V518" s="423"/>
      <c r="W518" s="423"/>
      <c r="X518" s="377"/>
      <c r="Y518" s="377"/>
      <c r="Z518" s="377"/>
      <c r="AA518" s="377"/>
      <c r="AB518" s="377"/>
    </row>
    <row r="519">
      <c r="A519" s="423"/>
      <c r="B519" s="423"/>
      <c r="C519" s="423"/>
      <c r="D519" s="456"/>
      <c r="E519" s="383">
        <v>0.0</v>
      </c>
      <c r="F519" s="383">
        <f t="shared" si="77"/>
        <v>0</v>
      </c>
      <c r="G519" s="414">
        <f t="shared" si="83"/>
        <v>0</v>
      </c>
      <c r="H519" s="439"/>
      <c r="I519" s="422"/>
      <c r="J519" s="423"/>
      <c r="K519" s="423"/>
      <c r="L519" s="440"/>
      <c r="M519" s="423"/>
      <c r="N519" s="423"/>
      <c r="O519" s="423"/>
      <c r="P519" s="423"/>
      <c r="Q519" s="423"/>
      <c r="R519" s="423"/>
      <c r="S519" s="423"/>
      <c r="T519" s="423"/>
      <c r="U519" s="423"/>
      <c r="V519" s="423"/>
      <c r="W519" s="423"/>
      <c r="X519" s="377"/>
      <c r="Y519" s="377"/>
      <c r="Z519" s="377"/>
      <c r="AA519" s="377"/>
      <c r="AB519" s="377"/>
    </row>
    <row r="520">
      <c r="A520" s="423"/>
      <c r="B520" s="423"/>
      <c r="C520" s="423"/>
      <c r="D520" s="456"/>
      <c r="E520" s="383">
        <v>0.0</v>
      </c>
      <c r="F520" s="383">
        <f t="shared" si="77"/>
        <v>0</v>
      </c>
      <c r="G520" s="414">
        <f t="shared" si="83"/>
        <v>0</v>
      </c>
      <c r="H520" s="439"/>
      <c r="I520" s="422"/>
      <c r="J520" s="423"/>
      <c r="K520" s="423"/>
      <c r="L520" s="440"/>
      <c r="M520" s="423"/>
      <c r="N520" s="423"/>
      <c r="O520" s="423"/>
      <c r="P520" s="423"/>
      <c r="Q520" s="423"/>
      <c r="R520" s="423"/>
      <c r="S520" s="423"/>
      <c r="T520" s="423"/>
      <c r="U520" s="423"/>
      <c r="V520" s="423"/>
      <c r="W520" s="423"/>
      <c r="X520" s="377"/>
      <c r="Y520" s="377"/>
      <c r="Z520" s="377"/>
      <c r="AA520" s="377"/>
      <c r="AB520" s="377"/>
    </row>
    <row r="521">
      <c r="A521" s="423"/>
      <c r="B521" s="423"/>
      <c r="C521" s="423"/>
      <c r="D521" s="456"/>
      <c r="E521" s="383">
        <v>0.0</v>
      </c>
      <c r="F521" s="383">
        <f t="shared" si="77"/>
        <v>0</v>
      </c>
      <c r="G521" s="414">
        <f t="shared" si="83"/>
        <v>0</v>
      </c>
      <c r="H521" s="439"/>
      <c r="I521" s="422"/>
      <c r="J521" s="423"/>
      <c r="K521" s="423"/>
      <c r="L521" s="440"/>
      <c r="M521" s="423"/>
      <c r="N521" s="423"/>
      <c r="O521" s="423"/>
      <c r="P521" s="423"/>
      <c r="Q521" s="423"/>
      <c r="R521" s="423"/>
      <c r="S521" s="423"/>
      <c r="T521" s="423"/>
      <c r="U521" s="423"/>
      <c r="V521" s="423"/>
      <c r="W521" s="423"/>
      <c r="X521" s="377"/>
      <c r="Y521" s="377"/>
      <c r="Z521" s="377"/>
      <c r="AA521" s="377"/>
      <c r="AB521" s="377"/>
    </row>
    <row r="522">
      <c r="A522" s="423"/>
      <c r="B522" s="423"/>
      <c r="C522" s="423"/>
      <c r="D522" s="456"/>
      <c r="E522" s="383">
        <v>0.0</v>
      </c>
      <c r="F522" s="383">
        <f t="shared" si="77"/>
        <v>0</v>
      </c>
      <c r="G522" s="414">
        <f t="shared" si="83"/>
        <v>0</v>
      </c>
      <c r="H522" s="439"/>
      <c r="I522" s="422"/>
      <c r="J522" s="423"/>
      <c r="K522" s="423"/>
      <c r="L522" s="440"/>
      <c r="M522" s="423"/>
      <c r="N522" s="423"/>
      <c r="O522" s="423"/>
      <c r="P522" s="423"/>
      <c r="Q522" s="423"/>
      <c r="R522" s="423"/>
      <c r="S522" s="423"/>
      <c r="T522" s="423"/>
      <c r="U522" s="423"/>
      <c r="V522" s="423"/>
      <c r="W522" s="423"/>
      <c r="X522" s="377"/>
      <c r="Y522" s="377"/>
      <c r="Z522" s="377"/>
      <c r="AA522" s="377"/>
      <c r="AB522" s="377"/>
    </row>
    <row r="523">
      <c r="A523" s="423"/>
      <c r="B523" s="423"/>
      <c r="C523" s="423"/>
      <c r="D523" s="456"/>
      <c r="E523" s="383">
        <v>0.0</v>
      </c>
      <c r="F523" s="383">
        <f t="shared" si="77"/>
        <v>0</v>
      </c>
      <c r="G523" s="414">
        <f t="shared" si="83"/>
        <v>0</v>
      </c>
      <c r="H523" s="439"/>
      <c r="I523" s="422"/>
      <c r="J523" s="423"/>
      <c r="K523" s="423"/>
      <c r="L523" s="440"/>
      <c r="M523" s="423"/>
      <c r="N523" s="423"/>
      <c r="O523" s="423"/>
      <c r="P523" s="423"/>
      <c r="Q523" s="423"/>
      <c r="R523" s="423"/>
      <c r="S523" s="423"/>
      <c r="T523" s="423"/>
      <c r="U523" s="423"/>
      <c r="V523" s="423"/>
      <c r="W523" s="423"/>
      <c r="X523" s="377"/>
      <c r="Y523" s="377"/>
      <c r="Z523" s="377"/>
      <c r="AA523" s="377"/>
      <c r="AB523" s="377"/>
    </row>
    <row r="524">
      <c r="A524" s="423"/>
      <c r="B524" s="423"/>
      <c r="C524" s="423"/>
      <c r="D524" s="456"/>
      <c r="E524" s="383">
        <v>0.0</v>
      </c>
      <c r="F524" s="383">
        <f t="shared" si="77"/>
        <v>0</v>
      </c>
      <c r="G524" s="414">
        <f t="shared" si="83"/>
        <v>0</v>
      </c>
      <c r="H524" s="439"/>
      <c r="I524" s="422"/>
      <c r="J524" s="423"/>
      <c r="K524" s="423"/>
      <c r="L524" s="440"/>
      <c r="M524" s="423"/>
      <c r="N524" s="423"/>
      <c r="O524" s="423"/>
      <c r="P524" s="423"/>
      <c r="Q524" s="423"/>
      <c r="R524" s="423"/>
      <c r="S524" s="423"/>
      <c r="T524" s="423"/>
      <c r="U524" s="423"/>
      <c r="V524" s="423"/>
      <c r="W524" s="423"/>
      <c r="X524" s="377"/>
      <c r="Y524" s="377"/>
      <c r="Z524" s="377"/>
      <c r="AA524" s="377"/>
      <c r="AB524" s="377"/>
    </row>
    <row r="525">
      <c r="A525" s="423"/>
      <c r="B525" s="423"/>
      <c r="C525" s="423"/>
      <c r="D525" s="456"/>
      <c r="E525" s="383">
        <v>0.0</v>
      </c>
      <c r="F525" s="383">
        <f t="shared" si="77"/>
        <v>0</v>
      </c>
      <c r="G525" s="414">
        <f t="shared" si="83"/>
        <v>0</v>
      </c>
      <c r="H525" s="439"/>
      <c r="I525" s="422"/>
      <c r="J525" s="423"/>
      <c r="K525" s="423"/>
      <c r="L525" s="440"/>
      <c r="M525" s="423"/>
      <c r="N525" s="423"/>
      <c r="O525" s="423"/>
      <c r="P525" s="423"/>
      <c r="Q525" s="423"/>
      <c r="R525" s="423"/>
      <c r="S525" s="423"/>
      <c r="T525" s="423"/>
      <c r="U525" s="423"/>
      <c r="V525" s="423"/>
      <c r="W525" s="423"/>
      <c r="X525" s="377"/>
      <c r="Y525" s="377"/>
      <c r="Z525" s="377"/>
      <c r="AA525" s="377"/>
      <c r="AB525" s="377"/>
    </row>
    <row r="526">
      <c r="A526" s="423"/>
      <c r="B526" s="423"/>
      <c r="C526" s="423"/>
      <c r="D526" s="456"/>
      <c r="E526" s="383">
        <v>0.0</v>
      </c>
      <c r="F526" s="383">
        <f t="shared" si="77"/>
        <v>0</v>
      </c>
      <c r="G526" s="414">
        <f t="shared" si="83"/>
        <v>0</v>
      </c>
      <c r="H526" s="439"/>
      <c r="I526" s="422"/>
      <c r="J526" s="423"/>
      <c r="K526" s="423"/>
      <c r="L526" s="440"/>
      <c r="M526" s="423"/>
      <c r="N526" s="423"/>
      <c r="O526" s="423"/>
      <c r="P526" s="423"/>
      <c r="Q526" s="423"/>
      <c r="R526" s="423"/>
      <c r="S526" s="423"/>
      <c r="T526" s="423"/>
      <c r="U526" s="423"/>
      <c r="V526" s="423"/>
      <c r="W526" s="423"/>
      <c r="X526" s="377"/>
      <c r="Y526" s="377"/>
      <c r="Z526" s="377"/>
      <c r="AA526" s="377"/>
      <c r="AB526" s="377"/>
    </row>
    <row r="527">
      <c r="A527" s="377"/>
      <c r="B527" s="377"/>
      <c r="C527" s="377"/>
      <c r="D527" s="457"/>
      <c r="E527" s="458"/>
      <c r="F527" s="458"/>
      <c r="G527" s="458"/>
      <c r="H527" s="458"/>
      <c r="I527" s="459"/>
      <c r="J527" s="377"/>
      <c r="K527" s="377"/>
      <c r="L527" s="460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  <c r="Z527" s="377"/>
      <c r="AA527" s="377"/>
      <c r="AB527" s="377"/>
    </row>
    <row r="528">
      <c r="A528" s="377"/>
      <c r="B528" s="377"/>
      <c r="C528" s="377"/>
      <c r="D528" s="457"/>
      <c r="E528" s="458"/>
      <c r="F528" s="458"/>
      <c r="G528" s="458"/>
      <c r="H528" s="458"/>
      <c r="I528" s="459"/>
      <c r="J528" s="377"/>
      <c r="K528" s="377"/>
      <c r="L528" s="460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  <c r="Z528" s="377"/>
      <c r="AA528" s="377"/>
      <c r="AB528" s="377"/>
    </row>
    <row r="529">
      <c r="A529" s="377"/>
      <c r="B529" s="377"/>
      <c r="C529" s="377"/>
      <c r="D529" s="457"/>
      <c r="E529" s="458"/>
      <c r="F529" s="458"/>
      <c r="G529" s="458"/>
      <c r="H529" s="458"/>
      <c r="I529" s="459"/>
      <c r="J529" s="377"/>
      <c r="K529" s="377"/>
      <c r="L529" s="460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  <c r="Z529" s="377"/>
      <c r="AA529" s="377"/>
      <c r="AB529" s="377"/>
    </row>
    <row r="530">
      <c r="A530" s="377"/>
      <c r="B530" s="377"/>
      <c r="C530" s="377"/>
      <c r="D530" s="457"/>
      <c r="E530" s="458"/>
      <c r="F530" s="458"/>
      <c r="G530" s="458"/>
      <c r="H530" s="458"/>
      <c r="I530" s="459"/>
      <c r="J530" s="377"/>
      <c r="K530" s="377"/>
      <c r="L530" s="460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  <c r="Z530" s="377"/>
      <c r="AA530" s="377"/>
      <c r="AB530" s="377"/>
    </row>
    <row r="531">
      <c r="A531" s="377"/>
      <c r="B531" s="377"/>
      <c r="C531" s="377"/>
      <c r="D531" s="457"/>
      <c r="E531" s="458"/>
      <c r="F531" s="458"/>
      <c r="G531" s="458"/>
      <c r="H531" s="458"/>
      <c r="I531" s="459"/>
      <c r="J531" s="377"/>
      <c r="K531" s="377"/>
      <c r="L531" s="460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  <c r="Z531" s="377"/>
      <c r="AA531" s="377"/>
      <c r="AB531" s="377"/>
    </row>
    <row r="532">
      <c r="A532" s="377"/>
      <c r="B532" s="377"/>
      <c r="C532" s="377"/>
      <c r="D532" s="457"/>
      <c r="E532" s="458"/>
      <c r="F532" s="458"/>
      <c r="G532" s="458"/>
      <c r="H532" s="458"/>
      <c r="I532" s="459"/>
      <c r="J532" s="377"/>
      <c r="K532" s="377"/>
      <c r="L532" s="460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  <c r="Z532" s="377"/>
      <c r="AA532" s="377"/>
      <c r="AB532" s="377"/>
    </row>
    <row r="533">
      <c r="A533" s="377"/>
      <c r="B533" s="377"/>
      <c r="C533" s="377"/>
      <c r="D533" s="457"/>
      <c r="E533" s="458"/>
      <c r="F533" s="458"/>
      <c r="G533" s="458"/>
      <c r="H533" s="458"/>
      <c r="I533" s="459"/>
      <c r="J533" s="377"/>
      <c r="K533" s="377"/>
      <c r="L533" s="460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  <c r="Z533" s="377"/>
      <c r="AA533" s="377"/>
      <c r="AB533" s="377"/>
    </row>
    <row r="534">
      <c r="A534" s="377"/>
      <c r="B534" s="377"/>
      <c r="C534" s="377"/>
      <c r="D534" s="457"/>
      <c r="E534" s="458"/>
      <c r="F534" s="458"/>
      <c r="G534" s="458"/>
      <c r="H534" s="458"/>
      <c r="I534" s="459"/>
      <c r="J534" s="377"/>
      <c r="K534" s="377"/>
      <c r="L534" s="460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  <c r="Z534" s="377"/>
      <c r="AA534" s="377"/>
      <c r="AB534" s="377"/>
    </row>
    <row r="535">
      <c r="A535" s="377"/>
      <c r="B535" s="377"/>
      <c r="C535" s="377"/>
      <c r="D535" s="457"/>
      <c r="E535" s="458"/>
      <c r="F535" s="458"/>
      <c r="G535" s="458"/>
      <c r="H535" s="458"/>
      <c r="I535" s="459"/>
      <c r="J535" s="377"/>
      <c r="K535" s="377"/>
      <c r="L535" s="460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  <c r="Z535" s="377"/>
      <c r="AA535" s="377"/>
      <c r="AB535" s="377"/>
    </row>
    <row r="536">
      <c r="A536" s="377"/>
      <c r="B536" s="377"/>
      <c r="C536" s="377"/>
      <c r="D536" s="457"/>
      <c r="E536" s="458"/>
      <c r="F536" s="458"/>
      <c r="G536" s="458"/>
      <c r="H536" s="458"/>
      <c r="I536" s="459"/>
      <c r="J536" s="377"/>
      <c r="K536" s="377"/>
      <c r="L536" s="460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  <c r="Z536" s="377"/>
      <c r="AA536" s="377"/>
      <c r="AB536" s="377"/>
    </row>
    <row r="537">
      <c r="A537" s="377"/>
      <c r="B537" s="377"/>
      <c r="C537" s="377"/>
      <c r="D537" s="457"/>
      <c r="E537" s="458"/>
      <c r="F537" s="458"/>
      <c r="G537" s="458"/>
      <c r="H537" s="458"/>
      <c r="I537" s="459"/>
      <c r="J537" s="377"/>
      <c r="K537" s="377"/>
      <c r="L537" s="460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  <c r="Z537" s="377"/>
      <c r="AA537" s="377"/>
      <c r="AB537" s="377"/>
    </row>
    <row r="538">
      <c r="A538" s="377"/>
      <c r="B538" s="377"/>
      <c r="C538" s="377"/>
      <c r="D538" s="457"/>
      <c r="E538" s="458"/>
      <c r="F538" s="458"/>
      <c r="G538" s="458"/>
      <c r="H538" s="458"/>
      <c r="I538" s="459"/>
      <c r="J538" s="377"/>
      <c r="K538" s="377"/>
      <c r="L538" s="460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  <c r="Z538" s="377"/>
      <c r="AA538" s="377"/>
      <c r="AB538" s="377"/>
    </row>
    <row r="539">
      <c r="A539" s="377"/>
      <c r="B539" s="377"/>
      <c r="C539" s="377"/>
      <c r="D539" s="457"/>
      <c r="E539" s="458"/>
      <c r="F539" s="458"/>
      <c r="G539" s="458"/>
      <c r="H539" s="458"/>
      <c r="I539" s="459"/>
      <c r="J539" s="377"/>
      <c r="K539" s="377"/>
      <c r="L539" s="460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  <c r="Z539" s="377"/>
      <c r="AA539" s="377"/>
      <c r="AB539" s="377"/>
    </row>
    <row r="540">
      <c r="A540" s="377"/>
      <c r="B540" s="377"/>
      <c r="C540" s="377"/>
      <c r="D540" s="457"/>
      <c r="E540" s="458"/>
      <c r="F540" s="458"/>
      <c r="G540" s="458"/>
      <c r="H540" s="458"/>
      <c r="I540" s="459"/>
      <c r="J540" s="377"/>
      <c r="K540" s="377"/>
      <c r="L540" s="460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  <c r="Z540" s="377"/>
      <c r="AA540" s="377"/>
      <c r="AB540" s="377"/>
    </row>
    <row r="541">
      <c r="A541" s="377"/>
      <c r="B541" s="377"/>
      <c r="C541" s="377"/>
      <c r="D541" s="457"/>
      <c r="E541" s="458"/>
      <c r="F541" s="458"/>
      <c r="G541" s="458"/>
      <c r="H541" s="458"/>
      <c r="I541" s="459"/>
      <c r="J541" s="377"/>
      <c r="K541" s="377"/>
      <c r="L541" s="460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  <c r="Z541" s="377"/>
      <c r="AA541" s="377"/>
      <c r="AB541" s="377"/>
    </row>
    <row r="542">
      <c r="A542" s="377"/>
      <c r="B542" s="377"/>
      <c r="C542" s="377"/>
      <c r="D542" s="457"/>
      <c r="E542" s="458"/>
      <c r="F542" s="458"/>
      <c r="G542" s="458"/>
      <c r="H542" s="458"/>
      <c r="I542" s="459"/>
      <c r="J542" s="377"/>
      <c r="K542" s="377"/>
      <c r="L542" s="460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  <c r="Z542" s="377"/>
      <c r="AA542" s="377"/>
      <c r="AB542" s="377"/>
    </row>
    <row r="543">
      <c r="A543" s="377"/>
      <c r="B543" s="377"/>
      <c r="C543" s="377"/>
      <c r="D543" s="457"/>
      <c r="E543" s="458"/>
      <c r="F543" s="458"/>
      <c r="G543" s="458"/>
      <c r="H543" s="458"/>
      <c r="I543" s="459"/>
      <c r="J543" s="377"/>
      <c r="K543" s="377"/>
      <c r="L543" s="460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  <c r="Z543" s="377"/>
      <c r="AA543" s="377"/>
      <c r="AB543" s="377"/>
    </row>
    <row r="544">
      <c r="A544" s="377"/>
      <c r="B544" s="377"/>
      <c r="C544" s="377"/>
      <c r="D544" s="457"/>
      <c r="E544" s="458"/>
      <c r="F544" s="458"/>
      <c r="G544" s="458"/>
      <c r="H544" s="458"/>
      <c r="I544" s="459"/>
      <c r="J544" s="377"/>
      <c r="K544" s="377"/>
      <c r="L544" s="460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  <c r="Z544" s="377"/>
      <c r="AA544" s="377"/>
      <c r="AB544" s="377"/>
    </row>
    <row r="545">
      <c r="A545" s="377"/>
      <c r="B545" s="377"/>
      <c r="C545" s="377"/>
      <c r="D545" s="457"/>
      <c r="E545" s="458"/>
      <c r="F545" s="458"/>
      <c r="G545" s="458"/>
      <c r="H545" s="458"/>
      <c r="I545" s="459"/>
      <c r="J545" s="377"/>
      <c r="K545" s="377"/>
      <c r="L545" s="460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  <c r="Z545" s="377"/>
      <c r="AA545" s="377"/>
      <c r="AB545" s="377"/>
    </row>
    <row r="546">
      <c r="A546" s="377"/>
      <c r="B546" s="377"/>
      <c r="C546" s="377"/>
      <c r="D546" s="457"/>
      <c r="E546" s="458"/>
      <c r="F546" s="458"/>
      <c r="G546" s="458"/>
      <c r="H546" s="458"/>
      <c r="I546" s="459"/>
      <c r="J546" s="377"/>
      <c r="K546" s="377"/>
      <c r="L546" s="460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  <c r="Z546" s="377"/>
      <c r="AA546" s="377"/>
      <c r="AB546" s="377"/>
    </row>
    <row r="547">
      <c r="A547" s="377"/>
      <c r="B547" s="377"/>
      <c r="C547" s="377"/>
      <c r="D547" s="457"/>
      <c r="E547" s="458"/>
      <c r="F547" s="458"/>
      <c r="G547" s="458"/>
      <c r="H547" s="458"/>
      <c r="I547" s="459"/>
      <c r="J547" s="377"/>
      <c r="K547" s="377"/>
      <c r="L547" s="460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  <c r="Z547" s="377"/>
      <c r="AA547" s="377"/>
      <c r="AB547" s="377"/>
    </row>
    <row r="548">
      <c r="A548" s="377"/>
      <c r="B548" s="377"/>
      <c r="C548" s="377"/>
      <c r="D548" s="457"/>
      <c r="E548" s="458"/>
      <c r="F548" s="458"/>
      <c r="G548" s="458"/>
      <c r="H548" s="458"/>
      <c r="I548" s="459"/>
      <c r="J548" s="377"/>
      <c r="K548" s="377"/>
      <c r="L548" s="460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  <c r="Z548" s="377"/>
      <c r="AA548" s="377"/>
      <c r="AB548" s="377"/>
    </row>
    <row r="549">
      <c r="A549" s="377"/>
      <c r="B549" s="377"/>
      <c r="C549" s="377"/>
      <c r="D549" s="457"/>
      <c r="E549" s="458"/>
      <c r="F549" s="458"/>
      <c r="G549" s="458"/>
      <c r="H549" s="458"/>
      <c r="I549" s="459"/>
      <c r="J549" s="377"/>
      <c r="K549" s="377"/>
      <c r="L549" s="460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  <c r="Z549" s="377"/>
      <c r="AA549" s="377"/>
      <c r="AB549" s="377"/>
    </row>
    <row r="550">
      <c r="A550" s="377"/>
      <c r="B550" s="377"/>
      <c r="C550" s="377"/>
      <c r="D550" s="457"/>
      <c r="E550" s="458"/>
      <c r="F550" s="458"/>
      <c r="G550" s="458"/>
      <c r="H550" s="458"/>
      <c r="I550" s="459"/>
      <c r="J550" s="377"/>
      <c r="K550" s="377"/>
      <c r="L550" s="460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  <c r="Z550" s="377"/>
      <c r="AA550" s="377"/>
      <c r="AB550" s="377"/>
    </row>
    <row r="551">
      <c r="A551" s="377"/>
      <c r="B551" s="377"/>
      <c r="C551" s="377"/>
      <c r="D551" s="457"/>
      <c r="E551" s="458"/>
      <c r="F551" s="458"/>
      <c r="G551" s="458"/>
      <c r="H551" s="458"/>
      <c r="I551" s="459"/>
      <c r="J551" s="377"/>
      <c r="K551" s="377"/>
      <c r="L551" s="460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  <c r="Z551" s="377"/>
      <c r="AA551" s="377"/>
      <c r="AB551" s="377"/>
    </row>
    <row r="552">
      <c r="A552" s="377"/>
      <c r="B552" s="377"/>
      <c r="C552" s="377"/>
      <c r="D552" s="457"/>
      <c r="E552" s="458"/>
      <c r="F552" s="458"/>
      <c r="G552" s="458"/>
      <c r="H552" s="458"/>
      <c r="I552" s="459"/>
      <c r="J552" s="377"/>
      <c r="K552" s="377"/>
      <c r="L552" s="460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  <c r="Z552" s="377"/>
      <c r="AA552" s="377"/>
      <c r="AB552" s="377"/>
    </row>
    <row r="553">
      <c r="A553" s="377"/>
      <c r="B553" s="377"/>
      <c r="C553" s="377"/>
      <c r="D553" s="457"/>
      <c r="E553" s="458"/>
      <c r="F553" s="458"/>
      <c r="G553" s="458"/>
      <c r="H553" s="458"/>
      <c r="I553" s="459"/>
      <c r="J553" s="377"/>
      <c r="K553" s="377"/>
      <c r="L553" s="460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  <c r="Z553" s="377"/>
      <c r="AA553" s="377"/>
      <c r="AB553" s="377"/>
    </row>
    <row r="554">
      <c r="A554" s="377"/>
      <c r="B554" s="377"/>
      <c r="C554" s="377"/>
      <c r="D554" s="457"/>
      <c r="E554" s="458"/>
      <c r="F554" s="458"/>
      <c r="G554" s="458"/>
      <c r="H554" s="458"/>
      <c r="I554" s="459"/>
      <c r="J554" s="377"/>
      <c r="K554" s="377"/>
      <c r="L554" s="460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  <c r="Z554" s="377"/>
      <c r="AA554" s="377"/>
      <c r="AB554" s="377"/>
    </row>
    <row r="555">
      <c r="A555" s="377"/>
      <c r="B555" s="377"/>
      <c r="C555" s="377"/>
      <c r="D555" s="457"/>
      <c r="E555" s="458"/>
      <c r="F555" s="458"/>
      <c r="G555" s="458"/>
      <c r="H555" s="458"/>
      <c r="I555" s="459"/>
      <c r="J555" s="377"/>
      <c r="K555" s="377"/>
      <c r="L555" s="460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  <c r="Z555" s="377"/>
      <c r="AA555" s="377"/>
      <c r="AB555" s="377"/>
    </row>
    <row r="556">
      <c r="A556" s="377"/>
      <c r="B556" s="377"/>
      <c r="C556" s="377"/>
      <c r="D556" s="457"/>
      <c r="E556" s="458"/>
      <c r="F556" s="458"/>
      <c r="G556" s="458"/>
      <c r="H556" s="458"/>
      <c r="I556" s="459"/>
      <c r="J556" s="377"/>
      <c r="K556" s="377"/>
      <c r="L556" s="460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  <c r="Z556" s="377"/>
      <c r="AA556" s="377"/>
      <c r="AB556" s="377"/>
    </row>
    <row r="557">
      <c r="A557" s="377"/>
      <c r="B557" s="377"/>
      <c r="C557" s="377"/>
      <c r="D557" s="457"/>
      <c r="E557" s="458"/>
      <c r="F557" s="458"/>
      <c r="G557" s="458"/>
      <c r="H557" s="458"/>
      <c r="I557" s="459"/>
      <c r="J557" s="377"/>
      <c r="K557" s="377"/>
      <c r="L557" s="460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  <c r="Z557" s="377"/>
      <c r="AA557" s="377"/>
      <c r="AB557" s="377"/>
    </row>
    <row r="558">
      <c r="A558" s="377"/>
      <c r="B558" s="377"/>
      <c r="C558" s="377"/>
      <c r="D558" s="457"/>
      <c r="E558" s="458"/>
      <c r="F558" s="458"/>
      <c r="G558" s="458"/>
      <c r="H558" s="458"/>
      <c r="I558" s="459"/>
      <c r="J558" s="377"/>
      <c r="K558" s="377"/>
      <c r="L558" s="460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  <c r="Z558" s="377"/>
      <c r="AA558" s="377"/>
      <c r="AB558" s="377"/>
    </row>
    <row r="559">
      <c r="A559" s="377"/>
      <c r="B559" s="377"/>
      <c r="C559" s="377"/>
      <c r="D559" s="457"/>
      <c r="E559" s="458"/>
      <c r="F559" s="458"/>
      <c r="G559" s="458"/>
      <c r="H559" s="458"/>
      <c r="I559" s="459"/>
      <c r="J559" s="377"/>
      <c r="K559" s="377"/>
      <c r="L559" s="460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  <c r="Z559" s="377"/>
      <c r="AA559" s="377"/>
      <c r="AB559" s="377"/>
    </row>
    <row r="560">
      <c r="A560" s="377"/>
      <c r="B560" s="377"/>
      <c r="C560" s="377"/>
      <c r="D560" s="457"/>
      <c r="E560" s="458"/>
      <c r="F560" s="458"/>
      <c r="G560" s="458"/>
      <c r="H560" s="458"/>
      <c r="I560" s="459"/>
      <c r="J560" s="377"/>
      <c r="K560" s="377"/>
      <c r="L560" s="460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  <c r="Z560" s="377"/>
      <c r="AA560" s="377"/>
      <c r="AB560" s="377"/>
    </row>
    <row r="561">
      <c r="A561" s="377"/>
      <c r="B561" s="377"/>
      <c r="C561" s="377"/>
      <c r="D561" s="457"/>
      <c r="E561" s="458"/>
      <c r="F561" s="458"/>
      <c r="G561" s="458"/>
      <c r="H561" s="458"/>
      <c r="I561" s="459"/>
      <c r="J561" s="377"/>
      <c r="K561" s="377"/>
      <c r="L561" s="460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  <c r="Z561" s="377"/>
      <c r="AA561" s="377"/>
      <c r="AB561" s="377"/>
    </row>
    <row r="562">
      <c r="A562" s="377"/>
      <c r="B562" s="377"/>
      <c r="C562" s="377"/>
      <c r="D562" s="457"/>
      <c r="E562" s="458"/>
      <c r="F562" s="458"/>
      <c r="G562" s="458"/>
      <c r="H562" s="458"/>
      <c r="I562" s="459"/>
      <c r="J562" s="377"/>
      <c r="K562" s="377"/>
      <c r="L562" s="460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  <c r="Z562" s="377"/>
      <c r="AA562" s="377"/>
      <c r="AB562" s="377"/>
    </row>
    <row r="563">
      <c r="A563" s="377"/>
      <c r="B563" s="377"/>
      <c r="C563" s="377"/>
      <c r="D563" s="457"/>
      <c r="E563" s="458"/>
      <c r="F563" s="458"/>
      <c r="G563" s="458"/>
      <c r="H563" s="458"/>
      <c r="I563" s="459"/>
      <c r="J563" s="377"/>
      <c r="K563" s="377"/>
      <c r="L563" s="460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  <c r="Z563" s="377"/>
      <c r="AA563" s="377"/>
      <c r="AB563" s="377"/>
    </row>
    <row r="564">
      <c r="A564" s="377"/>
      <c r="B564" s="377"/>
      <c r="C564" s="377"/>
      <c r="D564" s="457"/>
      <c r="E564" s="458"/>
      <c r="F564" s="458"/>
      <c r="G564" s="458"/>
      <c r="H564" s="458"/>
      <c r="I564" s="459"/>
      <c r="J564" s="377"/>
      <c r="K564" s="377"/>
      <c r="L564" s="460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  <c r="Z564" s="377"/>
      <c r="AA564" s="377"/>
      <c r="AB564" s="377"/>
    </row>
    <row r="565">
      <c r="A565" s="377"/>
      <c r="B565" s="377"/>
      <c r="C565" s="377"/>
      <c r="D565" s="457"/>
      <c r="E565" s="458"/>
      <c r="F565" s="458"/>
      <c r="G565" s="458"/>
      <c r="H565" s="458"/>
      <c r="I565" s="459"/>
      <c r="J565" s="377"/>
      <c r="K565" s="377"/>
      <c r="L565" s="460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  <c r="Z565" s="377"/>
      <c r="AA565" s="377"/>
      <c r="AB565" s="377"/>
    </row>
    <row r="566">
      <c r="A566" s="377"/>
      <c r="B566" s="377"/>
      <c r="C566" s="377"/>
      <c r="D566" s="457"/>
      <c r="E566" s="458"/>
      <c r="F566" s="458"/>
      <c r="G566" s="458"/>
      <c r="H566" s="458"/>
      <c r="I566" s="459"/>
      <c r="J566" s="377"/>
      <c r="K566" s="377"/>
      <c r="L566" s="460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  <c r="Z566" s="377"/>
      <c r="AA566" s="377"/>
      <c r="AB566" s="377"/>
    </row>
    <row r="567">
      <c r="A567" s="377"/>
      <c r="B567" s="377"/>
      <c r="C567" s="377"/>
      <c r="D567" s="457"/>
      <c r="E567" s="458"/>
      <c r="F567" s="458"/>
      <c r="G567" s="458"/>
      <c r="H567" s="458"/>
      <c r="I567" s="459"/>
      <c r="J567" s="377"/>
      <c r="K567" s="377"/>
      <c r="L567" s="460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  <c r="Z567" s="377"/>
      <c r="AA567" s="377"/>
      <c r="AB567" s="377"/>
    </row>
    <row r="568">
      <c r="A568" s="377"/>
      <c r="B568" s="377"/>
      <c r="C568" s="377"/>
      <c r="D568" s="457"/>
      <c r="E568" s="458"/>
      <c r="F568" s="458"/>
      <c r="G568" s="458"/>
      <c r="H568" s="458"/>
      <c r="I568" s="459"/>
      <c r="J568" s="377"/>
      <c r="K568" s="377"/>
      <c r="L568" s="460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  <c r="Z568" s="377"/>
      <c r="AA568" s="377"/>
      <c r="AB568" s="377"/>
    </row>
    <row r="569">
      <c r="A569" s="377"/>
      <c r="B569" s="377"/>
      <c r="C569" s="377"/>
      <c r="D569" s="457"/>
      <c r="E569" s="458"/>
      <c r="F569" s="458"/>
      <c r="G569" s="458"/>
      <c r="H569" s="458"/>
      <c r="I569" s="459"/>
      <c r="J569" s="377"/>
      <c r="K569" s="377"/>
      <c r="L569" s="460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  <c r="Z569" s="377"/>
      <c r="AA569" s="377"/>
      <c r="AB569" s="377"/>
    </row>
    <row r="570">
      <c r="A570" s="377"/>
      <c r="B570" s="377"/>
      <c r="C570" s="377"/>
      <c r="D570" s="457"/>
      <c r="E570" s="458"/>
      <c r="F570" s="458"/>
      <c r="G570" s="458"/>
      <c r="H570" s="458"/>
      <c r="I570" s="459"/>
      <c r="J570" s="377"/>
      <c r="K570" s="377"/>
      <c r="L570" s="460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  <c r="Z570" s="377"/>
      <c r="AA570" s="377"/>
      <c r="AB570" s="377"/>
    </row>
    <row r="571">
      <c r="A571" s="377"/>
      <c r="B571" s="377"/>
      <c r="C571" s="377"/>
      <c r="D571" s="457"/>
      <c r="E571" s="458"/>
      <c r="F571" s="458"/>
      <c r="G571" s="458"/>
      <c r="H571" s="458"/>
      <c r="I571" s="459"/>
      <c r="J571" s="377"/>
      <c r="K571" s="377"/>
      <c r="L571" s="460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  <c r="Z571" s="377"/>
      <c r="AA571" s="377"/>
      <c r="AB571" s="377"/>
    </row>
    <row r="572">
      <c r="A572" s="377"/>
      <c r="B572" s="377"/>
      <c r="C572" s="377"/>
      <c r="D572" s="457"/>
      <c r="E572" s="458"/>
      <c r="F572" s="458"/>
      <c r="G572" s="458"/>
      <c r="H572" s="458"/>
      <c r="I572" s="459"/>
      <c r="J572" s="377"/>
      <c r="K572" s="377"/>
      <c r="L572" s="460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  <c r="Z572" s="377"/>
      <c r="AA572" s="377"/>
      <c r="AB572" s="377"/>
    </row>
    <row r="573">
      <c r="A573" s="377"/>
      <c r="B573" s="377"/>
      <c r="C573" s="377"/>
      <c r="D573" s="457"/>
      <c r="E573" s="458"/>
      <c r="F573" s="458"/>
      <c r="G573" s="458"/>
      <c r="H573" s="458"/>
      <c r="I573" s="459"/>
      <c r="J573" s="377"/>
      <c r="K573" s="377"/>
      <c r="L573" s="460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  <c r="Z573" s="377"/>
      <c r="AA573" s="377"/>
      <c r="AB573" s="377"/>
    </row>
    <row r="574">
      <c r="A574" s="377"/>
      <c r="B574" s="377"/>
      <c r="C574" s="377"/>
      <c r="D574" s="457"/>
      <c r="E574" s="458"/>
      <c r="F574" s="458"/>
      <c r="G574" s="458"/>
      <c r="H574" s="458"/>
      <c r="I574" s="459"/>
      <c r="J574" s="377"/>
      <c r="K574" s="377"/>
      <c r="L574" s="460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  <c r="Z574" s="377"/>
      <c r="AA574" s="377"/>
      <c r="AB574" s="377"/>
    </row>
    <row r="575">
      <c r="A575" s="377"/>
      <c r="B575" s="377"/>
      <c r="C575" s="377"/>
      <c r="D575" s="457"/>
      <c r="E575" s="458"/>
      <c r="F575" s="458"/>
      <c r="G575" s="458"/>
      <c r="H575" s="458"/>
      <c r="I575" s="459"/>
      <c r="J575" s="377"/>
      <c r="K575" s="377"/>
      <c r="L575" s="460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  <c r="Z575" s="377"/>
      <c r="AA575" s="377"/>
      <c r="AB575" s="377"/>
    </row>
    <row r="576">
      <c r="A576" s="377"/>
      <c r="B576" s="377"/>
      <c r="C576" s="377"/>
      <c r="D576" s="457"/>
      <c r="E576" s="458"/>
      <c r="F576" s="458"/>
      <c r="G576" s="458"/>
      <c r="H576" s="458"/>
      <c r="I576" s="459"/>
      <c r="J576" s="377"/>
      <c r="K576" s="377"/>
      <c r="L576" s="460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  <c r="Z576" s="377"/>
      <c r="AA576" s="377"/>
      <c r="AB576" s="377"/>
    </row>
    <row r="577">
      <c r="A577" s="377"/>
      <c r="B577" s="377"/>
      <c r="C577" s="377"/>
      <c r="D577" s="457"/>
      <c r="E577" s="458"/>
      <c r="F577" s="458"/>
      <c r="G577" s="458"/>
      <c r="H577" s="458"/>
      <c r="I577" s="459"/>
      <c r="J577" s="377"/>
      <c r="K577" s="377"/>
      <c r="L577" s="460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  <c r="Z577" s="377"/>
      <c r="AA577" s="377"/>
      <c r="AB577" s="377"/>
    </row>
    <row r="578">
      <c r="A578" s="377"/>
      <c r="B578" s="377"/>
      <c r="C578" s="377"/>
      <c r="D578" s="457"/>
      <c r="E578" s="458"/>
      <c r="F578" s="458"/>
      <c r="G578" s="458"/>
      <c r="H578" s="458"/>
      <c r="I578" s="459"/>
      <c r="J578" s="377"/>
      <c r="K578" s="377"/>
      <c r="L578" s="460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  <c r="Z578" s="377"/>
      <c r="AA578" s="377"/>
      <c r="AB578" s="377"/>
    </row>
    <row r="579">
      <c r="A579" s="377"/>
      <c r="B579" s="377"/>
      <c r="C579" s="377"/>
      <c r="D579" s="457"/>
      <c r="E579" s="458"/>
      <c r="F579" s="458"/>
      <c r="G579" s="458"/>
      <c r="H579" s="458"/>
      <c r="I579" s="459"/>
      <c r="J579" s="377"/>
      <c r="K579" s="377"/>
      <c r="L579" s="460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  <c r="Z579" s="377"/>
      <c r="AA579" s="377"/>
      <c r="AB579" s="377"/>
    </row>
    <row r="580">
      <c r="A580" s="377"/>
      <c r="B580" s="377"/>
      <c r="C580" s="377"/>
      <c r="D580" s="457"/>
      <c r="E580" s="458"/>
      <c r="F580" s="458"/>
      <c r="G580" s="458"/>
      <c r="H580" s="458"/>
      <c r="I580" s="459"/>
      <c r="J580" s="377"/>
      <c r="K580" s="377"/>
      <c r="L580" s="460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  <c r="Z580" s="377"/>
      <c r="AA580" s="377"/>
      <c r="AB580" s="377"/>
    </row>
    <row r="581">
      <c r="A581" s="377"/>
      <c r="B581" s="377"/>
      <c r="C581" s="377"/>
      <c r="D581" s="457"/>
      <c r="E581" s="458"/>
      <c r="F581" s="458"/>
      <c r="G581" s="458"/>
      <c r="H581" s="458"/>
      <c r="I581" s="459"/>
      <c r="J581" s="377"/>
      <c r="K581" s="377"/>
      <c r="L581" s="460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  <c r="Z581" s="377"/>
      <c r="AA581" s="377"/>
      <c r="AB581" s="377"/>
    </row>
    <row r="582">
      <c r="A582" s="377"/>
      <c r="B582" s="377"/>
      <c r="C582" s="377"/>
      <c r="D582" s="457"/>
      <c r="E582" s="458"/>
      <c r="F582" s="458"/>
      <c r="G582" s="458"/>
      <c r="H582" s="458"/>
      <c r="I582" s="459"/>
      <c r="J582" s="377"/>
      <c r="K582" s="377"/>
      <c r="L582" s="460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  <c r="Z582" s="377"/>
      <c r="AA582" s="377"/>
      <c r="AB582" s="377"/>
    </row>
    <row r="583">
      <c r="A583" s="377"/>
      <c r="B583" s="377"/>
      <c r="C583" s="377"/>
      <c r="D583" s="457"/>
      <c r="E583" s="458"/>
      <c r="F583" s="458"/>
      <c r="G583" s="458"/>
      <c r="H583" s="458"/>
      <c r="I583" s="459"/>
      <c r="J583" s="377"/>
      <c r="K583" s="377"/>
      <c r="L583" s="460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  <c r="Z583" s="377"/>
      <c r="AA583" s="377"/>
      <c r="AB583" s="377"/>
    </row>
    <row r="584">
      <c r="A584" s="377"/>
      <c r="B584" s="377"/>
      <c r="C584" s="377"/>
      <c r="D584" s="457"/>
      <c r="E584" s="458"/>
      <c r="F584" s="458"/>
      <c r="G584" s="458"/>
      <c r="H584" s="458"/>
      <c r="I584" s="459"/>
      <c r="J584" s="377"/>
      <c r="K584" s="377"/>
      <c r="L584" s="460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  <c r="Z584" s="377"/>
      <c r="AA584" s="377"/>
      <c r="AB584" s="377"/>
    </row>
    <row r="585">
      <c r="A585" s="377"/>
      <c r="B585" s="377"/>
      <c r="C585" s="377"/>
      <c r="D585" s="457"/>
      <c r="E585" s="458"/>
      <c r="F585" s="458"/>
      <c r="G585" s="458"/>
      <c r="H585" s="458"/>
      <c r="I585" s="459"/>
      <c r="J585" s="377"/>
      <c r="K585" s="377"/>
      <c r="L585" s="460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  <c r="Z585" s="377"/>
      <c r="AA585" s="377"/>
      <c r="AB585" s="377"/>
    </row>
    <row r="586">
      <c r="A586" s="377"/>
      <c r="B586" s="377"/>
      <c r="C586" s="377"/>
      <c r="D586" s="457"/>
      <c r="E586" s="458"/>
      <c r="F586" s="458"/>
      <c r="G586" s="458"/>
      <c r="H586" s="458"/>
      <c r="I586" s="459"/>
      <c r="J586" s="377"/>
      <c r="K586" s="377"/>
      <c r="L586" s="460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  <c r="Z586" s="377"/>
      <c r="AA586" s="377"/>
      <c r="AB586" s="377"/>
    </row>
    <row r="587">
      <c r="A587" s="377"/>
      <c r="B587" s="377"/>
      <c r="C587" s="377"/>
      <c r="D587" s="457"/>
      <c r="E587" s="458"/>
      <c r="F587" s="458"/>
      <c r="G587" s="458"/>
      <c r="H587" s="458"/>
      <c r="I587" s="459"/>
      <c r="J587" s="377"/>
      <c r="K587" s="377"/>
      <c r="L587" s="460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  <c r="Z587" s="377"/>
      <c r="AA587" s="377"/>
      <c r="AB587" s="377"/>
    </row>
    <row r="588">
      <c r="A588" s="377"/>
      <c r="B588" s="377"/>
      <c r="C588" s="377"/>
      <c r="D588" s="457"/>
      <c r="E588" s="458"/>
      <c r="F588" s="458"/>
      <c r="G588" s="458"/>
      <c r="H588" s="458"/>
      <c r="I588" s="459"/>
      <c r="J588" s="377"/>
      <c r="K588" s="377"/>
      <c r="L588" s="460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  <c r="Z588" s="377"/>
      <c r="AA588" s="377"/>
      <c r="AB588" s="377"/>
    </row>
    <row r="589">
      <c r="A589" s="377"/>
      <c r="B589" s="377"/>
      <c r="C589" s="377"/>
      <c r="D589" s="457"/>
      <c r="E589" s="458"/>
      <c r="F589" s="458"/>
      <c r="G589" s="458"/>
      <c r="H589" s="458"/>
      <c r="I589" s="459"/>
      <c r="J589" s="377"/>
      <c r="K589" s="377"/>
      <c r="L589" s="460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  <c r="Z589" s="377"/>
      <c r="AA589" s="377"/>
      <c r="AB589" s="377"/>
    </row>
    <row r="590">
      <c r="A590" s="377"/>
      <c r="B590" s="377"/>
      <c r="C590" s="377"/>
      <c r="D590" s="457"/>
      <c r="E590" s="458"/>
      <c r="F590" s="458"/>
      <c r="G590" s="458"/>
      <c r="H590" s="458"/>
      <c r="I590" s="459"/>
      <c r="J590" s="377"/>
      <c r="K590" s="377"/>
      <c r="L590" s="460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  <c r="Z590" s="377"/>
      <c r="AA590" s="377"/>
      <c r="AB590" s="377"/>
    </row>
    <row r="591">
      <c r="A591" s="377"/>
      <c r="B591" s="377"/>
      <c r="C591" s="377"/>
      <c r="D591" s="457"/>
      <c r="E591" s="458"/>
      <c r="F591" s="458"/>
      <c r="G591" s="458"/>
      <c r="H591" s="458"/>
      <c r="I591" s="459"/>
      <c r="J591" s="377"/>
      <c r="K591" s="377"/>
      <c r="L591" s="460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  <c r="Z591" s="377"/>
      <c r="AA591" s="377"/>
      <c r="AB591" s="377"/>
    </row>
    <row r="592">
      <c r="A592" s="377"/>
      <c r="B592" s="377"/>
      <c r="C592" s="377"/>
      <c r="D592" s="457"/>
      <c r="E592" s="458"/>
      <c r="F592" s="458"/>
      <c r="G592" s="458"/>
      <c r="H592" s="458"/>
      <c r="I592" s="459"/>
      <c r="J592" s="377"/>
      <c r="K592" s="377"/>
      <c r="L592" s="460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  <c r="Z592" s="377"/>
      <c r="AA592" s="377"/>
      <c r="AB592" s="377"/>
    </row>
    <row r="593">
      <c r="A593" s="377"/>
      <c r="B593" s="377"/>
      <c r="C593" s="377"/>
      <c r="D593" s="457"/>
      <c r="E593" s="458"/>
      <c r="F593" s="458"/>
      <c r="G593" s="458"/>
      <c r="H593" s="458"/>
      <c r="I593" s="459"/>
      <c r="J593" s="377"/>
      <c r="K593" s="377"/>
      <c r="L593" s="460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  <c r="Z593" s="377"/>
      <c r="AA593" s="377"/>
      <c r="AB593" s="377"/>
    </row>
    <row r="594">
      <c r="A594" s="377"/>
      <c r="B594" s="377"/>
      <c r="C594" s="377"/>
      <c r="D594" s="457"/>
      <c r="E594" s="458"/>
      <c r="F594" s="458"/>
      <c r="G594" s="458"/>
      <c r="H594" s="458"/>
      <c r="I594" s="459"/>
      <c r="J594" s="377"/>
      <c r="K594" s="377"/>
      <c r="L594" s="460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  <c r="Z594" s="377"/>
      <c r="AA594" s="377"/>
      <c r="AB594" s="377"/>
    </row>
    <row r="595">
      <c r="A595" s="377"/>
      <c r="B595" s="377"/>
      <c r="C595" s="377"/>
      <c r="D595" s="457"/>
      <c r="E595" s="458"/>
      <c r="F595" s="458"/>
      <c r="G595" s="458"/>
      <c r="H595" s="458"/>
      <c r="I595" s="459"/>
      <c r="J595" s="377"/>
      <c r="K595" s="377"/>
      <c r="L595" s="460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  <c r="Z595" s="377"/>
      <c r="AA595" s="377"/>
      <c r="AB595" s="377"/>
    </row>
    <row r="596">
      <c r="A596" s="377"/>
      <c r="B596" s="377"/>
      <c r="C596" s="377"/>
      <c r="D596" s="457"/>
      <c r="E596" s="458"/>
      <c r="F596" s="458"/>
      <c r="G596" s="458"/>
      <c r="H596" s="458"/>
      <c r="I596" s="459"/>
      <c r="J596" s="377"/>
      <c r="K596" s="377"/>
      <c r="L596" s="460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  <c r="Z596" s="377"/>
      <c r="AA596" s="377"/>
      <c r="AB596" s="377"/>
    </row>
    <row r="597">
      <c r="A597" s="377"/>
      <c r="B597" s="377"/>
      <c r="C597" s="377"/>
      <c r="D597" s="457"/>
      <c r="E597" s="458"/>
      <c r="F597" s="458"/>
      <c r="G597" s="458"/>
      <c r="H597" s="458"/>
      <c r="I597" s="459"/>
      <c r="J597" s="377"/>
      <c r="K597" s="377"/>
      <c r="L597" s="460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  <c r="Z597" s="377"/>
      <c r="AA597" s="377"/>
      <c r="AB597" s="377"/>
    </row>
    <row r="598">
      <c r="A598" s="377"/>
      <c r="B598" s="377"/>
      <c r="C598" s="377"/>
      <c r="D598" s="457"/>
      <c r="E598" s="458"/>
      <c r="F598" s="458"/>
      <c r="G598" s="458"/>
      <c r="H598" s="458"/>
      <c r="I598" s="459"/>
      <c r="J598" s="377"/>
      <c r="K598" s="377"/>
      <c r="L598" s="460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  <c r="Z598" s="377"/>
      <c r="AA598" s="377"/>
      <c r="AB598" s="377"/>
    </row>
    <row r="599">
      <c r="A599" s="377"/>
      <c r="B599" s="377"/>
      <c r="C599" s="377"/>
      <c r="D599" s="457"/>
      <c r="E599" s="458"/>
      <c r="F599" s="458"/>
      <c r="G599" s="458"/>
      <c r="H599" s="458"/>
      <c r="I599" s="459"/>
      <c r="J599" s="377"/>
      <c r="K599" s="377"/>
      <c r="L599" s="460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  <c r="Z599" s="377"/>
      <c r="AA599" s="377"/>
      <c r="AB599" s="377"/>
    </row>
    <row r="600">
      <c r="A600" s="377"/>
      <c r="B600" s="377"/>
      <c r="C600" s="377"/>
      <c r="D600" s="457"/>
      <c r="E600" s="458"/>
      <c r="F600" s="458"/>
      <c r="G600" s="458"/>
      <c r="H600" s="458"/>
      <c r="I600" s="459"/>
      <c r="J600" s="377"/>
      <c r="K600" s="377"/>
      <c r="L600" s="460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  <c r="Z600" s="377"/>
      <c r="AA600" s="377"/>
      <c r="AB600" s="377"/>
    </row>
    <row r="601">
      <c r="A601" s="377"/>
      <c r="B601" s="377"/>
      <c r="C601" s="377"/>
      <c r="D601" s="457"/>
      <c r="E601" s="458"/>
      <c r="F601" s="458"/>
      <c r="G601" s="458"/>
      <c r="H601" s="458"/>
      <c r="I601" s="459"/>
      <c r="J601" s="377"/>
      <c r="K601" s="377"/>
      <c r="L601" s="460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  <c r="Z601" s="377"/>
      <c r="AA601" s="377"/>
      <c r="AB601" s="377"/>
    </row>
    <row r="602">
      <c r="A602" s="377"/>
      <c r="B602" s="377"/>
      <c r="C602" s="377"/>
      <c r="D602" s="457"/>
      <c r="E602" s="458"/>
      <c r="F602" s="458"/>
      <c r="G602" s="458"/>
      <c r="H602" s="458"/>
      <c r="I602" s="459"/>
      <c r="J602" s="377"/>
      <c r="K602" s="377"/>
      <c r="L602" s="460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  <c r="Z602" s="377"/>
      <c r="AA602" s="377"/>
      <c r="AB602" s="377"/>
    </row>
    <row r="603">
      <c r="A603" s="377"/>
      <c r="B603" s="377"/>
      <c r="C603" s="377"/>
      <c r="D603" s="457"/>
      <c r="E603" s="458"/>
      <c r="F603" s="458"/>
      <c r="G603" s="458"/>
      <c r="H603" s="458"/>
      <c r="I603" s="459"/>
      <c r="J603" s="377"/>
      <c r="K603" s="377"/>
      <c r="L603" s="460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  <c r="Z603" s="377"/>
      <c r="AA603" s="377"/>
      <c r="AB603" s="377"/>
    </row>
    <row r="604">
      <c r="A604" s="377"/>
      <c r="B604" s="377"/>
      <c r="C604" s="377"/>
      <c r="D604" s="457"/>
      <c r="E604" s="458"/>
      <c r="F604" s="458"/>
      <c r="G604" s="458"/>
      <c r="H604" s="458"/>
      <c r="I604" s="459"/>
      <c r="J604" s="377"/>
      <c r="K604" s="377"/>
      <c r="L604" s="460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  <c r="Z604" s="377"/>
      <c r="AA604" s="377"/>
      <c r="AB604" s="377"/>
    </row>
    <row r="605">
      <c r="A605" s="377"/>
      <c r="B605" s="377"/>
      <c r="C605" s="377"/>
      <c r="D605" s="457"/>
      <c r="E605" s="458"/>
      <c r="F605" s="458"/>
      <c r="G605" s="458"/>
      <c r="H605" s="458"/>
      <c r="I605" s="459"/>
      <c r="J605" s="377"/>
      <c r="K605" s="377"/>
      <c r="L605" s="460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  <c r="Z605" s="377"/>
      <c r="AA605" s="377"/>
      <c r="AB605" s="377"/>
    </row>
    <row r="606">
      <c r="A606" s="377"/>
      <c r="B606" s="377"/>
      <c r="C606" s="377"/>
      <c r="D606" s="457"/>
      <c r="E606" s="458"/>
      <c r="F606" s="458"/>
      <c r="G606" s="458"/>
      <c r="H606" s="458"/>
      <c r="I606" s="459"/>
      <c r="J606" s="377"/>
      <c r="K606" s="377"/>
      <c r="L606" s="460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  <c r="Z606" s="377"/>
      <c r="AA606" s="377"/>
      <c r="AB606" s="377"/>
    </row>
    <row r="607">
      <c r="A607" s="377"/>
      <c r="B607" s="377"/>
      <c r="C607" s="377"/>
      <c r="D607" s="457"/>
      <c r="E607" s="458"/>
      <c r="F607" s="458"/>
      <c r="G607" s="458"/>
      <c r="H607" s="458"/>
      <c r="I607" s="459"/>
      <c r="J607" s="377"/>
      <c r="K607" s="377"/>
      <c r="L607" s="460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  <c r="Z607" s="377"/>
      <c r="AA607" s="377"/>
      <c r="AB607" s="377"/>
    </row>
    <row r="608">
      <c r="A608" s="377"/>
      <c r="B608" s="377"/>
      <c r="C608" s="377"/>
      <c r="D608" s="457"/>
      <c r="E608" s="458"/>
      <c r="F608" s="458"/>
      <c r="G608" s="458"/>
      <c r="H608" s="458"/>
      <c r="I608" s="459"/>
      <c r="J608" s="377"/>
      <c r="K608" s="377"/>
      <c r="L608" s="460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  <c r="Z608" s="377"/>
      <c r="AA608" s="377"/>
      <c r="AB608" s="377"/>
    </row>
    <row r="609">
      <c r="A609" s="377"/>
      <c r="B609" s="377"/>
      <c r="C609" s="377"/>
      <c r="D609" s="457"/>
      <c r="E609" s="458"/>
      <c r="F609" s="458"/>
      <c r="G609" s="458"/>
      <c r="H609" s="458"/>
      <c r="I609" s="459"/>
      <c r="J609" s="377"/>
      <c r="K609" s="377"/>
      <c r="L609" s="460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  <c r="Z609" s="377"/>
      <c r="AA609" s="377"/>
      <c r="AB609" s="377"/>
    </row>
    <row r="610">
      <c r="A610" s="377"/>
      <c r="B610" s="377"/>
      <c r="C610" s="377"/>
      <c r="D610" s="457"/>
      <c r="E610" s="458"/>
      <c r="F610" s="458"/>
      <c r="G610" s="458"/>
      <c r="H610" s="458"/>
      <c r="I610" s="459"/>
      <c r="J610" s="377"/>
      <c r="K610" s="377"/>
      <c r="L610" s="460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  <c r="Z610" s="377"/>
      <c r="AA610" s="377"/>
      <c r="AB610" s="377"/>
    </row>
    <row r="611">
      <c r="A611" s="377"/>
      <c r="B611" s="377"/>
      <c r="C611" s="377"/>
      <c r="D611" s="457"/>
      <c r="E611" s="458"/>
      <c r="F611" s="458"/>
      <c r="G611" s="458"/>
      <c r="H611" s="458"/>
      <c r="I611" s="459"/>
      <c r="J611" s="377"/>
      <c r="K611" s="377"/>
      <c r="L611" s="460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  <c r="Z611" s="377"/>
      <c r="AA611" s="377"/>
      <c r="AB611" s="377"/>
    </row>
    <row r="612">
      <c r="A612" s="377"/>
      <c r="B612" s="377"/>
      <c r="C612" s="377"/>
      <c r="D612" s="457"/>
      <c r="E612" s="458"/>
      <c r="F612" s="458"/>
      <c r="G612" s="458"/>
      <c r="H612" s="458"/>
      <c r="I612" s="459"/>
      <c r="J612" s="377"/>
      <c r="K612" s="377"/>
      <c r="L612" s="460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  <c r="Z612" s="377"/>
      <c r="AA612" s="377"/>
      <c r="AB612" s="377"/>
    </row>
    <row r="613">
      <c r="A613" s="377"/>
      <c r="B613" s="377"/>
      <c r="C613" s="377"/>
      <c r="D613" s="457"/>
      <c r="E613" s="458"/>
      <c r="F613" s="458"/>
      <c r="G613" s="458"/>
      <c r="H613" s="458"/>
      <c r="I613" s="459"/>
      <c r="J613" s="377"/>
      <c r="K613" s="377"/>
      <c r="L613" s="460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  <c r="Z613" s="377"/>
      <c r="AA613" s="377"/>
      <c r="AB613" s="377"/>
    </row>
    <row r="614">
      <c r="A614" s="377"/>
      <c r="B614" s="377"/>
      <c r="C614" s="377"/>
      <c r="D614" s="457"/>
      <c r="E614" s="458"/>
      <c r="F614" s="458"/>
      <c r="G614" s="458"/>
      <c r="H614" s="458"/>
      <c r="I614" s="459"/>
      <c r="J614" s="377"/>
      <c r="K614" s="377"/>
      <c r="L614" s="460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  <c r="Z614" s="377"/>
      <c r="AA614" s="377"/>
      <c r="AB614" s="377"/>
    </row>
    <row r="615">
      <c r="A615" s="377"/>
      <c r="B615" s="377"/>
      <c r="C615" s="377"/>
      <c r="D615" s="457"/>
      <c r="E615" s="458"/>
      <c r="F615" s="458"/>
      <c r="G615" s="458"/>
      <c r="H615" s="458"/>
      <c r="I615" s="459"/>
      <c r="J615" s="377"/>
      <c r="K615" s="377"/>
      <c r="L615" s="460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  <c r="Z615" s="377"/>
      <c r="AA615" s="377"/>
      <c r="AB615" s="377"/>
    </row>
    <row r="616">
      <c r="A616" s="377"/>
      <c r="B616" s="377"/>
      <c r="C616" s="377"/>
      <c r="D616" s="457"/>
      <c r="E616" s="458"/>
      <c r="F616" s="458"/>
      <c r="G616" s="458"/>
      <c r="H616" s="458"/>
      <c r="I616" s="459"/>
      <c r="J616" s="377"/>
      <c r="K616" s="377"/>
      <c r="L616" s="460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  <c r="Z616" s="377"/>
      <c r="AA616" s="377"/>
      <c r="AB616" s="377"/>
    </row>
    <row r="617">
      <c r="A617" s="377"/>
      <c r="B617" s="377"/>
      <c r="C617" s="377"/>
      <c r="D617" s="457"/>
      <c r="E617" s="458"/>
      <c r="F617" s="458"/>
      <c r="G617" s="458"/>
      <c r="H617" s="458"/>
      <c r="I617" s="459"/>
      <c r="J617" s="377"/>
      <c r="K617" s="377"/>
      <c r="L617" s="460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  <c r="Z617" s="377"/>
      <c r="AA617" s="377"/>
      <c r="AB617" s="377"/>
    </row>
    <row r="618">
      <c r="A618" s="377"/>
      <c r="B618" s="377"/>
      <c r="C618" s="377"/>
      <c r="D618" s="457"/>
      <c r="E618" s="458"/>
      <c r="F618" s="458"/>
      <c r="G618" s="458"/>
      <c r="H618" s="458"/>
      <c r="I618" s="459"/>
      <c r="J618" s="377"/>
      <c r="K618" s="377"/>
      <c r="L618" s="460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  <c r="Z618" s="377"/>
      <c r="AA618" s="377"/>
      <c r="AB618" s="377"/>
    </row>
    <row r="619">
      <c r="A619" s="377"/>
      <c r="B619" s="377"/>
      <c r="C619" s="377"/>
      <c r="D619" s="457"/>
      <c r="E619" s="458"/>
      <c r="F619" s="458"/>
      <c r="G619" s="458"/>
      <c r="H619" s="458"/>
      <c r="I619" s="459"/>
      <c r="J619" s="377"/>
      <c r="K619" s="377"/>
      <c r="L619" s="460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  <c r="Z619" s="377"/>
      <c r="AA619" s="377"/>
      <c r="AB619" s="377"/>
    </row>
    <row r="620">
      <c r="A620" s="377"/>
      <c r="B620" s="377"/>
      <c r="C620" s="377"/>
      <c r="D620" s="457"/>
      <c r="E620" s="458"/>
      <c r="F620" s="458"/>
      <c r="G620" s="458"/>
      <c r="H620" s="458"/>
      <c r="I620" s="459"/>
      <c r="J620" s="377"/>
      <c r="K620" s="377"/>
      <c r="L620" s="460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  <c r="Z620" s="377"/>
      <c r="AA620" s="377"/>
      <c r="AB620" s="377"/>
    </row>
    <row r="621">
      <c r="A621" s="377"/>
      <c r="B621" s="377"/>
      <c r="C621" s="377"/>
      <c r="D621" s="457"/>
      <c r="E621" s="458"/>
      <c r="F621" s="458"/>
      <c r="G621" s="458"/>
      <c r="H621" s="458"/>
      <c r="I621" s="459"/>
      <c r="J621" s="377"/>
      <c r="K621" s="377"/>
      <c r="L621" s="460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  <c r="Z621" s="377"/>
      <c r="AA621" s="377"/>
      <c r="AB621" s="377"/>
    </row>
    <row r="622">
      <c r="A622" s="377"/>
      <c r="B622" s="377"/>
      <c r="C622" s="377"/>
      <c r="D622" s="457"/>
      <c r="E622" s="458"/>
      <c r="F622" s="458"/>
      <c r="G622" s="458"/>
      <c r="H622" s="458"/>
      <c r="I622" s="459"/>
      <c r="J622" s="377"/>
      <c r="K622" s="377"/>
      <c r="L622" s="460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  <c r="Z622" s="377"/>
      <c r="AA622" s="377"/>
      <c r="AB622" s="377"/>
    </row>
    <row r="623">
      <c r="A623" s="377"/>
      <c r="B623" s="377"/>
      <c r="C623" s="377"/>
      <c r="D623" s="457"/>
      <c r="E623" s="458"/>
      <c r="F623" s="458"/>
      <c r="G623" s="458"/>
      <c r="H623" s="458"/>
      <c r="I623" s="459"/>
      <c r="J623" s="377"/>
      <c r="K623" s="377"/>
      <c r="L623" s="460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  <c r="Z623" s="377"/>
      <c r="AA623" s="377"/>
      <c r="AB623" s="377"/>
    </row>
    <row r="624">
      <c r="A624" s="377"/>
      <c r="B624" s="377"/>
      <c r="C624" s="377"/>
      <c r="D624" s="457"/>
      <c r="E624" s="458"/>
      <c r="F624" s="458"/>
      <c r="G624" s="458"/>
      <c r="H624" s="458"/>
      <c r="I624" s="459"/>
      <c r="J624" s="377"/>
      <c r="K624" s="377"/>
      <c r="L624" s="460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  <c r="Z624" s="377"/>
      <c r="AA624" s="377"/>
      <c r="AB624" s="377"/>
    </row>
    <row r="625">
      <c r="A625" s="377"/>
      <c r="B625" s="377"/>
      <c r="C625" s="377"/>
      <c r="D625" s="457"/>
      <c r="E625" s="458"/>
      <c r="F625" s="458"/>
      <c r="G625" s="458"/>
      <c r="H625" s="458"/>
      <c r="I625" s="459"/>
      <c r="J625" s="377"/>
      <c r="K625" s="377"/>
      <c r="L625" s="460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  <c r="Z625" s="377"/>
      <c r="AA625" s="377"/>
      <c r="AB625" s="377"/>
    </row>
    <row r="626">
      <c r="A626" s="377"/>
      <c r="B626" s="377"/>
      <c r="C626" s="377"/>
      <c r="D626" s="457"/>
      <c r="E626" s="458"/>
      <c r="F626" s="458"/>
      <c r="G626" s="458"/>
      <c r="H626" s="458"/>
      <c r="I626" s="459"/>
      <c r="J626" s="377"/>
      <c r="K626" s="377"/>
      <c r="L626" s="460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  <c r="Z626" s="377"/>
      <c r="AA626" s="377"/>
      <c r="AB626" s="377"/>
    </row>
    <row r="627">
      <c r="A627" s="377"/>
      <c r="B627" s="377"/>
      <c r="C627" s="377"/>
      <c r="D627" s="457"/>
      <c r="E627" s="458"/>
      <c r="F627" s="458"/>
      <c r="G627" s="458"/>
      <c r="H627" s="458"/>
      <c r="I627" s="459"/>
      <c r="J627" s="377"/>
      <c r="K627" s="377"/>
      <c r="L627" s="460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  <c r="Z627" s="377"/>
      <c r="AA627" s="377"/>
      <c r="AB627" s="377"/>
    </row>
    <row r="628">
      <c r="A628" s="377"/>
      <c r="B628" s="377"/>
      <c r="C628" s="377"/>
      <c r="D628" s="457"/>
      <c r="E628" s="458"/>
      <c r="F628" s="458"/>
      <c r="G628" s="458"/>
      <c r="H628" s="458"/>
      <c r="I628" s="459"/>
      <c r="J628" s="377"/>
      <c r="K628" s="377"/>
      <c r="L628" s="460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  <c r="Z628" s="377"/>
      <c r="AA628" s="377"/>
      <c r="AB628" s="377"/>
    </row>
    <row r="629">
      <c r="A629" s="377"/>
      <c r="B629" s="377"/>
      <c r="C629" s="377"/>
      <c r="D629" s="457"/>
      <c r="E629" s="458"/>
      <c r="F629" s="458"/>
      <c r="G629" s="458"/>
      <c r="H629" s="458"/>
      <c r="I629" s="459"/>
      <c r="J629" s="377"/>
      <c r="K629" s="377"/>
      <c r="L629" s="460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  <c r="Z629" s="377"/>
      <c r="AA629" s="377"/>
      <c r="AB629" s="377"/>
    </row>
    <row r="630">
      <c r="A630" s="377"/>
      <c r="B630" s="377"/>
      <c r="C630" s="377"/>
      <c r="D630" s="457"/>
      <c r="E630" s="458"/>
      <c r="F630" s="458"/>
      <c r="G630" s="458"/>
      <c r="H630" s="458"/>
      <c r="I630" s="459"/>
      <c r="J630" s="377"/>
      <c r="K630" s="377"/>
      <c r="L630" s="460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  <c r="Z630" s="377"/>
      <c r="AA630" s="377"/>
      <c r="AB630" s="377"/>
    </row>
    <row r="631">
      <c r="A631" s="377"/>
      <c r="B631" s="377"/>
      <c r="C631" s="377"/>
      <c r="D631" s="457"/>
      <c r="E631" s="458"/>
      <c r="F631" s="458"/>
      <c r="G631" s="458"/>
      <c r="H631" s="458"/>
      <c r="I631" s="459"/>
      <c r="J631" s="377"/>
      <c r="K631" s="377"/>
      <c r="L631" s="460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  <c r="Z631" s="377"/>
      <c r="AA631" s="377"/>
      <c r="AB631" s="377"/>
    </row>
    <row r="632">
      <c r="A632" s="377"/>
      <c r="B632" s="377"/>
      <c r="C632" s="377"/>
      <c r="D632" s="457"/>
      <c r="E632" s="458"/>
      <c r="F632" s="458"/>
      <c r="G632" s="458"/>
      <c r="H632" s="458"/>
      <c r="I632" s="459"/>
      <c r="J632" s="377"/>
      <c r="K632" s="377"/>
      <c r="L632" s="460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  <c r="Z632" s="377"/>
      <c r="AA632" s="377"/>
      <c r="AB632" s="377"/>
    </row>
    <row r="633">
      <c r="A633" s="377"/>
      <c r="B633" s="377"/>
      <c r="C633" s="377"/>
      <c r="D633" s="457"/>
      <c r="E633" s="458"/>
      <c r="F633" s="458"/>
      <c r="G633" s="458"/>
      <c r="H633" s="458"/>
      <c r="I633" s="459"/>
      <c r="J633" s="377"/>
      <c r="K633" s="377"/>
      <c r="L633" s="460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  <c r="Z633" s="377"/>
      <c r="AA633" s="377"/>
      <c r="AB633" s="377"/>
    </row>
    <row r="634">
      <c r="A634" s="377"/>
      <c r="B634" s="377"/>
      <c r="C634" s="377"/>
      <c r="D634" s="457"/>
      <c r="E634" s="458"/>
      <c r="F634" s="458"/>
      <c r="G634" s="458"/>
      <c r="H634" s="458"/>
      <c r="I634" s="459"/>
      <c r="J634" s="377"/>
      <c r="K634" s="377"/>
      <c r="L634" s="460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  <c r="Z634" s="377"/>
      <c r="AA634" s="377"/>
      <c r="AB634" s="377"/>
    </row>
    <row r="635">
      <c r="A635" s="377"/>
      <c r="B635" s="377"/>
      <c r="C635" s="377"/>
      <c r="D635" s="457"/>
      <c r="E635" s="458"/>
      <c r="F635" s="458"/>
      <c r="G635" s="458"/>
      <c r="H635" s="458"/>
      <c r="I635" s="459"/>
      <c r="J635" s="377"/>
      <c r="K635" s="377"/>
      <c r="L635" s="460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  <c r="Z635" s="377"/>
      <c r="AA635" s="377"/>
      <c r="AB635" s="377"/>
    </row>
    <row r="636">
      <c r="A636" s="377"/>
      <c r="B636" s="377"/>
      <c r="C636" s="377"/>
      <c r="D636" s="457"/>
      <c r="E636" s="458"/>
      <c r="F636" s="458"/>
      <c r="G636" s="458"/>
      <c r="H636" s="458"/>
      <c r="I636" s="459"/>
      <c r="J636" s="377"/>
      <c r="K636" s="377"/>
      <c r="L636" s="460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  <c r="Z636" s="377"/>
      <c r="AA636" s="377"/>
      <c r="AB636" s="377"/>
    </row>
    <row r="637">
      <c r="A637" s="377"/>
      <c r="B637" s="377"/>
      <c r="C637" s="377"/>
      <c r="D637" s="457"/>
      <c r="E637" s="458"/>
      <c r="F637" s="458"/>
      <c r="G637" s="458"/>
      <c r="H637" s="458"/>
      <c r="I637" s="459"/>
      <c r="J637" s="377"/>
      <c r="K637" s="377"/>
      <c r="L637" s="460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  <c r="Z637" s="377"/>
      <c r="AA637" s="377"/>
      <c r="AB637" s="377"/>
    </row>
    <row r="638">
      <c r="A638" s="377"/>
      <c r="B638" s="377"/>
      <c r="C638" s="377"/>
      <c r="D638" s="457"/>
      <c r="E638" s="458"/>
      <c r="F638" s="458"/>
      <c r="G638" s="458"/>
      <c r="H638" s="458"/>
      <c r="I638" s="459"/>
      <c r="J638" s="377"/>
      <c r="K638" s="377"/>
      <c r="L638" s="460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  <c r="Z638" s="377"/>
      <c r="AA638" s="377"/>
      <c r="AB638" s="377"/>
    </row>
    <row r="639">
      <c r="A639" s="377"/>
      <c r="B639" s="377"/>
      <c r="C639" s="377"/>
      <c r="D639" s="457"/>
      <c r="E639" s="458"/>
      <c r="F639" s="458"/>
      <c r="G639" s="458"/>
      <c r="H639" s="458"/>
      <c r="I639" s="459"/>
      <c r="J639" s="377"/>
      <c r="K639" s="377"/>
      <c r="L639" s="460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  <c r="Z639" s="377"/>
      <c r="AA639" s="377"/>
      <c r="AB639" s="377"/>
    </row>
    <row r="640">
      <c r="A640" s="377"/>
      <c r="B640" s="377"/>
      <c r="C640" s="377"/>
      <c r="D640" s="457"/>
      <c r="E640" s="458"/>
      <c r="F640" s="458"/>
      <c r="G640" s="458"/>
      <c r="H640" s="458"/>
      <c r="I640" s="459"/>
      <c r="J640" s="377"/>
      <c r="K640" s="377"/>
      <c r="L640" s="460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  <c r="Z640" s="377"/>
      <c r="AA640" s="377"/>
      <c r="AB640" s="377"/>
    </row>
    <row r="641">
      <c r="A641" s="377"/>
      <c r="B641" s="377"/>
      <c r="C641" s="377"/>
      <c r="D641" s="457"/>
      <c r="E641" s="458"/>
      <c r="F641" s="458"/>
      <c r="G641" s="458"/>
      <c r="H641" s="458"/>
      <c r="I641" s="459"/>
      <c r="J641" s="377"/>
      <c r="K641" s="377"/>
      <c r="L641" s="460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  <c r="Z641" s="377"/>
      <c r="AA641" s="377"/>
      <c r="AB641" s="377"/>
    </row>
    <row r="642">
      <c r="A642" s="377"/>
      <c r="B642" s="377"/>
      <c r="C642" s="377"/>
      <c r="D642" s="457"/>
      <c r="E642" s="458"/>
      <c r="F642" s="458"/>
      <c r="G642" s="458"/>
      <c r="H642" s="458"/>
      <c r="I642" s="459"/>
      <c r="J642" s="377"/>
      <c r="K642" s="377"/>
      <c r="L642" s="460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  <c r="Z642" s="377"/>
      <c r="AA642" s="377"/>
      <c r="AB642" s="377"/>
    </row>
    <row r="643">
      <c r="A643" s="377"/>
      <c r="B643" s="377"/>
      <c r="C643" s="377"/>
      <c r="D643" s="457"/>
      <c r="E643" s="458"/>
      <c r="F643" s="458"/>
      <c r="G643" s="458"/>
      <c r="H643" s="458"/>
      <c r="I643" s="459"/>
      <c r="J643" s="377"/>
      <c r="K643" s="377"/>
      <c r="L643" s="460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  <c r="Z643" s="377"/>
      <c r="AA643" s="377"/>
      <c r="AB643" s="377"/>
    </row>
    <row r="644">
      <c r="A644" s="377"/>
      <c r="B644" s="377"/>
      <c r="C644" s="377"/>
      <c r="D644" s="457"/>
      <c r="E644" s="458"/>
      <c r="F644" s="458"/>
      <c r="G644" s="458"/>
      <c r="H644" s="458"/>
      <c r="I644" s="459"/>
      <c r="J644" s="377"/>
      <c r="K644" s="377"/>
      <c r="L644" s="460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  <c r="Z644" s="377"/>
      <c r="AA644" s="377"/>
      <c r="AB644" s="377"/>
    </row>
    <row r="645">
      <c r="A645" s="377"/>
      <c r="B645" s="377"/>
      <c r="C645" s="377"/>
      <c r="D645" s="457"/>
      <c r="E645" s="458"/>
      <c r="F645" s="458"/>
      <c r="G645" s="458"/>
      <c r="H645" s="458"/>
      <c r="I645" s="459"/>
      <c r="J645" s="377"/>
      <c r="K645" s="377"/>
      <c r="L645" s="460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  <c r="Z645" s="377"/>
      <c r="AA645" s="377"/>
      <c r="AB645" s="377"/>
    </row>
    <row r="646">
      <c r="A646" s="377"/>
      <c r="B646" s="377"/>
      <c r="C646" s="377"/>
      <c r="D646" s="457"/>
      <c r="E646" s="458"/>
      <c r="F646" s="458"/>
      <c r="G646" s="458"/>
      <c r="H646" s="458"/>
      <c r="I646" s="459"/>
      <c r="J646" s="377"/>
      <c r="K646" s="377"/>
      <c r="L646" s="460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  <c r="Z646" s="377"/>
      <c r="AA646" s="377"/>
      <c r="AB646" s="377"/>
    </row>
    <row r="647">
      <c r="A647" s="377"/>
      <c r="B647" s="377"/>
      <c r="C647" s="377"/>
      <c r="D647" s="457"/>
      <c r="E647" s="458"/>
      <c r="F647" s="458"/>
      <c r="G647" s="458"/>
      <c r="H647" s="458"/>
      <c r="I647" s="459"/>
      <c r="J647" s="377"/>
      <c r="K647" s="377"/>
      <c r="L647" s="460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  <c r="Z647" s="377"/>
      <c r="AA647" s="377"/>
      <c r="AB647" s="377"/>
    </row>
    <row r="648">
      <c r="A648" s="377"/>
      <c r="B648" s="377"/>
      <c r="C648" s="377"/>
      <c r="D648" s="457"/>
      <c r="E648" s="458"/>
      <c r="F648" s="458"/>
      <c r="G648" s="458"/>
      <c r="H648" s="458"/>
      <c r="I648" s="459"/>
      <c r="J648" s="377"/>
      <c r="K648" s="377"/>
      <c r="L648" s="460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  <c r="Z648" s="377"/>
      <c r="AA648" s="377"/>
      <c r="AB648" s="377"/>
    </row>
    <row r="649">
      <c r="A649" s="377"/>
      <c r="B649" s="377"/>
      <c r="C649" s="377"/>
      <c r="D649" s="457"/>
      <c r="E649" s="458"/>
      <c r="F649" s="458"/>
      <c r="G649" s="458"/>
      <c r="H649" s="458"/>
      <c r="I649" s="459"/>
      <c r="J649" s="377"/>
      <c r="K649" s="377"/>
      <c r="L649" s="460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  <c r="Z649" s="377"/>
      <c r="AA649" s="377"/>
      <c r="AB649" s="377"/>
    </row>
    <row r="650">
      <c r="A650" s="377"/>
      <c r="B650" s="377"/>
      <c r="C650" s="377"/>
      <c r="D650" s="457"/>
      <c r="E650" s="458"/>
      <c r="F650" s="458"/>
      <c r="G650" s="458"/>
      <c r="H650" s="458"/>
      <c r="I650" s="459"/>
      <c r="J650" s="377"/>
      <c r="K650" s="377"/>
      <c r="L650" s="460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  <c r="Z650" s="377"/>
      <c r="AA650" s="377"/>
      <c r="AB650" s="377"/>
    </row>
    <row r="651">
      <c r="A651" s="377"/>
      <c r="B651" s="377"/>
      <c r="C651" s="377"/>
      <c r="D651" s="457"/>
      <c r="E651" s="458"/>
      <c r="F651" s="458"/>
      <c r="G651" s="458"/>
      <c r="H651" s="458"/>
      <c r="I651" s="459"/>
      <c r="J651" s="377"/>
      <c r="K651" s="377"/>
      <c r="L651" s="460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  <c r="Z651" s="377"/>
      <c r="AA651" s="377"/>
      <c r="AB651" s="377"/>
    </row>
    <row r="652">
      <c r="A652" s="377"/>
      <c r="B652" s="377"/>
      <c r="C652" s="377"/>
      <c r="D652" s="457"/>
      <c r="E652" s="458"/>
      <c r="F652" s="458"/>
      <c r="G652" s="458"/>
      <c r="H652" s="458"/>
      <c r="I652" s="459"/>
      <c r="J652" s="377"/>
      <c r="K652" s="377"/>
      <c r="L652" s="460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  <c r="Z652" s="377"/>
      <c r="AA652" s="377"/>
      <c r="AB652" s="377"/>
    </row>
    <row r="653">
      <c r="A653" s="377"/>
      <c r="B653" s="377"/>
      <c r="C653" s="377"/>
      <c r="D653" s="457"/>
      <c r="E653" s="458"/>
      <c r="F653" s="458"/>
      <c r="G653" s="458"/>
      <c r="H653" s="458"/>
      <c r="I653" s="459"/>
      <c r="J653" s="377"/>
      <c r="K653" s="377"/>
      <c r="L653" s="460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  <c r="Z653" s="377"/>
      <c r="AA653" s="377"/>
      <c r="AB653" s="377"/>
    </row>
    <row r="654">
      <c r="A654" s="377"/>
      <c r="B654" s="377"/>
      <c r="C654" s="377"/>
      <c r="D654" s="457"/>
      <c r="E654" s="458"/>
      <c r="F654" s="458"/>
      <c r="G654" s="458"/>
      <c r="H654" s="458"/>
      <c r="I654" s="459"/>
      <c r="J654" s="377"/>
      <c r="K654" s="377"/>
      <c r="L654" s="460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  <c r="Z654" s="377"/>
      <c r="AA654" s="377"/>
      <c r="AB654" s="377"/>
    </row>
    <row r="655">
      <c r="A655" s="377"/>
      <c r="B655" s="377"/>
      <c r="C655" s="377"/>
      <c r="D655" s="457"/>
      <c r="E655" s="458"/>
      <c r="F655" s="458"/>
      <c r="G655" s="458"/>
      <c r="H655" s="458"/>
      <c r="I655" s="459"/>
      <c r="J655" s="377"/>
      <c r="K655" s="377"/>
      <c r="L655" s="460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  <c r="Z655" s="377"/>
      <c r="AA655" s="377"/>
      <c r="AB655" s="377"/>
    </row>
    <row r="656">
      <c r="A656" s="377"/>
      <c r="B656" s="377"/>
      <c r="C656" s="377"/>
      <c r="D656" s="457"/>
      <c r="E656" s="458"/>
      <c r="F656" s="458"/>
      <c r="G656" s="458"/>
      <c r="H656" s="458"/>
      <c r="I656" s="459"/>
      <c r="J656" s="377"/>
      <c r="K656" s="377"/>
      <c r="L656" s="460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  <c r="Z656" s="377"/>
      <c r="AA656" s="377"/>
      <c r="AB656" s="377"/>
    </row>
    <row r="657">
      <c r="A657" s="377"/>
      <c r="B657" s="377"/>
      <c r="C657" s="377"/>
      <c r="D657" s="457"/>
      <c r="E657" s="458"/>
      <c r="F657" s="458"/>
      <c r="G657" s="458"/>
      <c r="H657" s="458"/>
      <c r="I657" s="459"/>
      <c r="J657" s="377"/>
      <c r="K657" s="377"/>
      <c r="L657" s="460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  <c r="Z657" s="377"/>
      <c r="AA657" s="377"/>
      <c r="AB657" s="377"/>
    </row>
    <row r="658">
      <c r="A658" s="377"/>
      <c r="B658" s="377"/>
      <c r="C658" s="377"/>
      <c r="D658" s="457"/>
      <c r="E658" s="458"/>
      <c r="F658" s="458"/>
      <c r="G658" s="458"/>
      <c r="H658" s="458"/>
      <c r="I658" s="459"/>
      <c r="J658" s="377"/>
      <c r="K658" s="377"/>
      <c r="L658" s="460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  <c r="Z658" s="377"/>
      <c r="AA658" s="377"/>
      <c r="AB658" s="377"/>
    </row>
    <row r="659">
      <c r="A659" s="377"/>
      <c r="B659" s="377"/>
      <c r="C659" s="377"/>
      <c r="D659" s="457"/>
      <c r="E659" s="458"/>
      <c r="F659" s="458"/>
      <c r="G659" s="458"/>
      <c r="H659" s="458"/>
      <c r="I659" s="459"/>
      <c r="J659" s="377"/>
      <c r="K659" s="377"/>
      <c r="L659" s="460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  <c r="Z659" s="377"/>
      <c r="AA659" s="377"/>
      <c r="AB659" s="377"/>
    </row>
    <row r="660">
      <c r="A660" s="377"/>
      <c r="B660" s="377"/>
      <c r="C660" s="377"/>
      <c r="D660" s="457"/>
      <c r="E660" s="458"/>
      <c r="F660" s="458"/>
      <c r="G660" s="458"/>
      <c r="H660" s="458"/>
      <c r="I660" s="459"/>
      <c r="J660" s="377"/>
      <c r="K660" s="377"/>
      <c r="L660" s="460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  <c r="Z660" s="377"/>
      <c r="AA660" s="377"/>
      <c r="AB660" s="377"/>
    </row>
    <row r="661">
      <c r="A661" s="377"/>
      <c r="B661" s="377"/>
      <c r="C661" s="377"/>
      <c r="D661" s="457"/>
      <c r="E661" s="458"/>
      <c r="F661" s="458"/>
      <c r="G661" s="458"/>
      <c r="H661" s="458"/>
      <c r="I661" s="459"/>
      <c r="J661" s="377"/>
      <c r="K661" s="377"/>
      <c r="L661" s="460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  <c r="Z661" s="377"/>
      <c r="AA661" s="377"/>
      <c r="AB661" s="377"/>
    </row>
    <row r="662">
      <c r="A662" s="377"/>
      <c r="B662" s="377"/>
      <c r="C662" s="377"/>
      <c r="D662" s="457"/>
      <c r="E662" s="458"/>
      <c r="F662" s="458"/>
      <c r="G662" s="458"/>
      <c r="H662" s="458"/>
      <c r="I662" s="459"/>
      <c r="J662" s="377"/>
      <c r="K662" s="377"/>
      <c r="L662" s="460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  <c r="Z662" s="377"/>
      <c r="AA662" s="377"/>
      <c r="AB662" s="377"/>
    </row>
    <row r="663">
      <c r="A663" s="377"/>
      <c r="B663" s="377"/>
      <c r="C663" s="377"/>
      <c r="D663" s="457"/>
      <c r="E663" s="458"/>
      <c r="F663" s="458"/>
      <c r="G663" s="458"/>
      <c r="H663" s="458"/>
      <c r="I663" s="459"/>
      <c r="J663" s="377"/>
      <c r="K663" s="377"/>
      <c r="L663" s="460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  <c r="Z663" s="377"/>
      <c r="AA663" s="377"/>
      <c r="AB663" s="377"/>
    </row>
    <row r="664">
      <c r="A664" s="377"/>
      <c r="B664" s="377"/>
      <c r="C664" s="377"/>
      <c r="D664" s="457"/>
      <c r="E664" s="458"/>
      <c r="F664" s="458"/>
      <c r="G664" s="458"/>
      <c r="H664" s="458"/>
      <c r="I664" s="459"/>
      <c r="J664" s="377"/>
      <c r="K664" s="377"/>
      <c r="L664" s="460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  <c r="Z664" s="377"/>
      <c r="AA664" s="377"/>
      <c r="AB664" s="377"/>
    </row>
    <row r="665">
      <c r="A665" s="377"/>
      <c r="B665" s="377"/>
      <c r="C665" s="377"/>
      <c r="D665" s="457"/>
      <c r="E665" s="458"/>
      <c r="F665" s="458"/>
      <c r="G665" s="458"/>
      <c r="H665" s="458"/>
      <c r="I665" s="459"/>
      <c r="J665" s="377"/>
      <c r="K665" s="377"/>
      <c r="L665" s="460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  <c r="Z665" s="377"/>
      <c r="AA665" s="377"/>
      <c r="AB665" s="377"/>
    </row>
    <row r="666">
      <c r="A666" s="377"/>
      <c r="B666" s="377"/>
      <c r="C666" s="377"/>
      <c r="D666" s="457"/>
      <c r="E666" s="458"/>
      <c r="F666" s="458"/>
      <c r="G666" s="458"/>
      <c r="H666" s="458"/>
      <c r="I666" s="459"/>
      <c r="J666" s="377"/>
      <c r="K666" s="377"/>
      <c r="L666" s="460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  <c r="Z666" s="377"/>
      <c r="AA666" s="377"/>
      <c r="AB666" s="377"/>
    </row>
    <row r="667">
      <c r="A667" s="377"/>
      <c r="B667" s="377"/>
      <c r="C667" s="377"/>
      <c r="D667" s="457"/>
      <c r="E667" s="458"/>
      <c r="F667" s="458"/>
      <c r="G667" s="458"/>
      <c r="H667" s="458"/>
      <c r="I667" s="459"/>
      <c r="J667" s="377"/>
      <c r="K667" s="377"/>
      <c r="L667" s="460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  <c r="Z667" s="377"/>
      <c r="AA667" s="377"/>
      <c r="AB667" s="377"/>
    </row>
    <row r="668">
      <c r="A668" s="377"/>
      <c r="B668" s="377"/>
      <c r="C668" s="377"/>
      <c r="D668" s="457"/>
      <c r="E668" s="458"/>
      <c r="F668" s="458"/>
      <c r="G668" s="458"/>
      <c r="H668" s="458"/>
      <c r="I668" s="459"/>
      <c r="J668" s="377"/>
      <c r="K668" s="377"/>
      <c r="L668" s="460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  <c r="Z668" s="377"/>
      <c r="AA668" s="377"/>
      <c r="AB668" s="377"/>
    </row>
    <row r="669">
      <c r="A669" s="377"/>
      <c r="B669" s="377"/>
      <c r="C669" s="377"/>
      <c r="D669" s="457"/>
      <c r="E669" s="458"/>
      <c r="F669" s="458"/>
      <c r="G669" s="458"/>
      <c r="H669" s="458"/>
      <c r="I669" s="459"/>
      <c r="J669" s="377"/>
      <c r="K669" s="377"/>
      <c r="L669" s="460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  <c r="Z669" s="377"/>
      <c r="AA669" s="377"/>
      <c r="AB669" s="377"/>
    </row>
    <row r="670">
      <c r="A670" s="377"/>
      <c r="B670" s="377"/>
      <c r="C670" s="377"/>
      <c r="D670" s="457"/>
      <c r="E670" s="458"/>
      <c r="F670" s="458"/>
      <c r="G670" s="458"/>
      <c r="H670" s="458"/>
      <c r="I670" s="459"/>
      <c r="J670" s="377"/>
      <c r="K670" s="377"/>
      <c r="L670" s="460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  <c r="Z670" s="377"/>
      <c r="AA670" s="377"/>
      <c r="AB670" s="377"/>
    </row>
    <row r="671">
      <c r="A671" s="377"/>
      <c r="B671" s="377"/>
      <c r="C671" s="377"/>
      <c r="D671" s="457"/>
      <c r="E671" s="458"/>
      <c r="F671" s="458"/>
      <c r="G671" s="458"/>
      <c r="H671" s="458"/>
      <c r="I671" s="459"/>
      <c r="J671" s="377"/>
      <c r="K671" s="377"/>
      <c r="L671" s="460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  <c r="Z671" s="377"/>
      <c r="AA671" s="377"/>
      <c r="AB671" s="377"/>
    </row>
    <row r="672">
      <c r="A672" s="377"/>
      <c r="B672" s="377"/>
      <c r="C672" s="377"/>
      <c r="D672" s="457"/>
      <c r="E672" s="458"/>
      <c r="F672" s="458"/>
      <c r="G672" s="458"/>
      <c r="H672" s="458"/>
      <c r="I672" s="459"/>
      <c r="J672" s="377"/>
      <c r="K672" s="377"/>
      <c r="L672" s="460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  <c r="Z672" s="377"/>
      <c r="AA672" s="377"/>
      <c r="AB672" s="377"/>
    </row>
    <row r="673">
      <c r="A673" s="377"/>
      <c r="B673" s="377"/>
      <c r="C673" s="377"/>
      <c r="D673" s="457"/>
      <c r="E673" s="458"/>
      <c r="F673" s="458"/>
      <c r="G673" s="458"/>
      <c r="H673" s="458"/>
      <c r="I673" s="459"/>
      <c r="J673" s="377"/>
      <c r="K673" s="377"/>
      <c r="L673" s="460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  <c r="Z673" s="377"/>
      <c r="AA673" s="377"/>
      <c r="AB673" s="377"/>
    </row>
    <row r="674">
      <c r="A674" s="377"/>
      <c r="B674" s="377"/>
      <c r="C674" s="377"/>
      <c r="D674" s="457"/>
      <c r="E674" s="458"/>
      <c r="F674" s="458"/>
      <c r="G674" s="458"/>
      <c r="H674" s="458"/>
      <c r="I674" s="459"/>
      <c r="J674" s="377"/>
      <c r="K674" s="377"/>
      <c r="L674" s="460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  <c r="Z674" s="377"/>
      <c r="AA674" s="377"/>
      <c r="AB674" s="377"/>
    </row>
    <row r="675">
      <c r="A675" s="377"/>
      <c r="B675" s="377"/>
      <c r="C675" s="377"/>
      <c r="D675" s="457"/>
      <c r="E675" s="458"/>
      <c r="F675" s="458"/>
      <c r="G675" s="458"/>
      <c r="H675" s="458"/>
      <c r="I675" s="459"/>
      <c r="J675" s="377"/>
      <c r="K675" s="377"/>
      <c r="L675" s="460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  <c r="Z675" s="377"/>
      <c r="AA675" s="377"/>
      <c r="AB675" s="377"/>
    </row>
    <row r="676">
      <c r="A676" s="377"/>
      <c r="B676" s="377"/>
      <c r="C676" s="377"/>
      <c r="D676" s="457"/>
      <c r="E676" s="458"/>
      <c r="F676" s="458"/>
      <c r="G676" s="458"/>
      <c r="H676" s="458"/>
      <c r="I676" s="459"/>
      <c r="J676" s="377"/>
      <c r="K676" s="377"/>
      <c r="L676" s="460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  <c r="Z676" s="377"/>
      <c r="AA676" s="377"/>
      <c r="AB676" s="377"/>
    </row>
    <row r="677">
      <c r="A677" s="377"/>
      <c r="B677" s="377"/>
      <c r="C677" s="377"/>
      <c r="D677" s="457"/>
      <c r="E677" s="458"/>
      <c r="F677" s="458"/>
      <c r="G677" s="458"/>
      <c r="H677" s="458"/>
      <c r="I677" s="459"/>
      <c r="J677" s="377"/>
      <c r="K677" s="377"/>
      <c r="L677" s="460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  <c r="Z677" s="377"/>
      <c r="AA677" s="377"/>
      <c r="AB677" s="377"/>
    </row>
    <row r="678">
      <c r="A678" s="377"/>
      <c r="B678" s="377"/>
      <c r="C678" s="377"/>
      <c r="D678" s="457"/>
      <c r="E678" s="458"/>
      <c r="F678" s="458"/>
      <c r="G678" s="458"/>
      <c r="H678" s="458"/>
      <c r="I678" s="459"/>
      <c r="J678" s="377"/>
      <c r="K678" s="377"/>
      <c r="L678" s="460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  <c r="Z678" s="377"/>
      <c r="AA678" s="377"/>
      <c r="AB678" s="377"/>
    </row>
    <row r="679">
      <c r="A679" s="377"/>
      <c r="B679" s="377"/>
      <c r="C679" s="377"/>
      <c r="D679" s="457"/>
      <c r="E679" s="458"/>
      <c r="F679" s="458"/>
      <c r="G679" s="458"/>
      <c r="H679" s="458"/>
      <c r="I679" s="459"/>
      <c r="J679" s="377"/>
      <c r="K679" s="377"/>
      <c r="L679" s="460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  <c r="Z679" s="377"/>
      <c r="AA679" s="377"/>
      <c r="AB679" s="377"/>
    </row>
    <row r="680">
      <c r="A680" s="377"/>
      <c r="B680" s="377"/>
      <c r="C680" s="377"/>
      <c r="D680" s="457"/>
      <c r="E680" s="458"/>
      <c r="F680" s="458"/>
      <c r="G680" s="458"/>
      <c r="H680" s="458"/>
      <c r="I680" s="459"/>
      <c r="J680" s="377"/>
      <c r="K680" s="377"/>
      <c r="L680" s="460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  <c r="Z680" s="377"/>
      <c r="AA680" s="377"/>
      <c r="AB680" s="377"/>
    </row>
    <row r="681">
      <c r="A681" s="377"/>
      <c r="B681" s="377"/>
      <c r="C681" s="377"/>
      <c r="D681" s="457"/>
      <c r="E681" s="458"/>
      <c r="F681" s="458"/>
      <c r="G681" s="458"/>
      <c r="H681" s="458"/>
      <c r="I681" s="459"/>
      <c r="J681" s="377"/>
      <c r="K681" s="377"/>
      <c r="L681" s="460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  <c r="Z681" s="377"/>
      <c r="AA681" s="377"/>
      <c r="AB681" s="377"/>
    </row>
    <row r="682">
      <c r="A682" s="377"/>
      <c r="B682" s="377"/>
      <c r="C682" s="377"/>
      <c r="D682" s="457"/>
      <c r="E682" s="458"/>
      <c r="F682" s="458"/>
      <c r="G682" s="458"/>
      <c r="H682" s="458"/>
      <c r="I682" s="459"/>
      <c r="J682" s="377"/>
      <c r="K682" s="377"/>
      <c r="L682" s="460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  <c r="Z682" s="377"/>
      <c r="AA682" s="377"/>
      <c r="AB682" s="377"/>
    </row>
    <row r="683">
      <c r="A683" s="377"/>
      <c r="B683" s="377"/>
      <c r="C683" s="377"/>
      <c r="D683" s="457"/>
      <c r="E683" s="458"/>
      <c r="F683" s="458"/>
      <c r="G683" s="458"/>
      <c r="H683" s="458"/>
      <c r="I683" s="459"/>
      <c r="J683" s="377"/>
      <c r="K683" s="377"/>
      <c r="L683" s="460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  <c r="Z683" s="377"/>
      <c r="AA683" s="377"/>
      <c r="AB683" s="377"/>
    </row>
    <row r="684">
      <c r="A684" s="377"/>
      <c r="B684" s="377"/>
      <c r="C684" s="377"/>
      <c r="D684" s="457"/>
      <c r="E684" s="458"/>
      <c r="F684" s="458"/>
      <c r="G684" s="458"/>
      <c r="H684" s="458"/>
      <c r="I684" s="459"/>
      <c r="J684" s="377"/>
      <c r="K684" s="377"/>
      <c r="L684" s="460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  <c r="Z684" s="377"/>
      <c r="AA684" s="377"/>
      <c r="AB684" s="377"/>
    </row>
    <row r="685">
      <c r="A685" s="377"/>
      <c r="B685" s="377"/>
      <c r="C685" s="377"/>
      <c r="D685" s="457"/>
      <c r="E685" s="458"/>
      <c r="F685" s="458"/>
      <c r="G685" s="458"/>
      <c r="H685" s="458"/>
      <c r="I685" s="459"/>
      <c r="J685" s="377"/>
      <c r="K685" s="377"/>
      <c r="L685" s="460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  <c r="Z685" s="377"/>
      <c r="AA685" s="377"/>
      <c r="AB685" s="377"/>
    </row>
    <row r="686">
      <c r="A686" s="377"/>
      <c r="B686" s="377"/>
      <c r="C686" s="377"/>
      <c r="D686" s="457"/>
      <c r="E686" s="458"/>
      <c r="F686" s="458"/>
      <c r="G686" s="458"/>
      <c r="H686" s="458"/>
      <c r="I686" s="459"/>
      <c r="J686" s="377"/>
      <c r="K686" s="377"/>
      <c r="L686" s="460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  <c r="Z686" s="377"/>
      <c r="AA686" s="377"/>
      <c r="AB686" s="377"/>
    </row>
    <row r="687">
      <c r="A687" s="377"/>
      <c r="B687" s="377"/>
      <c r="C687" s="377"/>
      <c r="D687" s="457"/>
      <c r="E687" s="458"/>
      <c r="F687" s="458"/>
      <c r="G687" s="458"/>
      <c r="H687" s="458"/>
      <c r="I687" s="459"/>
      <c r="J687" s="377"/>
      <c r="K687" s="377"/>
      <c r="L687" s="460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  <c r="Z687" s="377"/>
      <c r="AA687" s="377"/>
      <c r="AB687" s="377"/>
    </row>
    <row r="688">
      <c r="A688" s="377"/>
      <c r="B688" s="377"/>
      <c r="C688" s="377"/>
      <c r="D688" s="457"/>
      <c r="E688" s="458"/>
      <c r="F688" s="458"/>
      <c r="G688" s="458"/>
      <c r="H688" s="458"/>
      <c r="I688" s="459"/>
      <c r="J688" s="377"/>
      <c r="K688" s="377"/>
      <c r="L688" s="460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  <c r="Z688" s="377"/>
      <c r="AA688" s="377"/>
      <c r="AB688" s="377"/>
    </row>
    <row r="689">
      <c r="A689" s="377"/>
      <c r="B689" s="377"/>
      <c r="C689" s="377"/>
      <c r="D689" s="457"/>
      <c r="E689" s="458"/>
      <c r="F689" s="458"/>
      <c r="G689" s="458"/>
      <c r="H689" s="458"/>
      <c r="I689" s="459"/>
      <c r="J689" s="377"/>
      <c r="K689" s="377"/>
      <c r="L689" s="460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  <c r="Z689" s="377"/>
      <c r="AA689" s="377"/>
      <c r="AB689" s="377"/>
    </row>
    <row r="690">
      <c r="A690" s="377"/>
      <c r="B690" s="377"/>
      <c r="C690" s="377"/>
      <c r="D690" s="457"/>
      <c r="E690" s="458"/>
      <c r="F690" s="458"/>
      <c r="G690" s="458"/>
      <c r="H690" s="458"/>
      <c r="I690" s="459"/>
      <c r="J690" s="377"/>
      <c r="K690" s="377"/>
      <c r="L690" s="460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  <c r="Z690" s="377"/>
      <c r="AA690" s="377"/>
      <c r="AB690" s="377"/>
    </row>
    <row r="691">
      <c r="A691" s="377"/>
      <c r="B691" s="377"/>
      <c r="C691" s="377"/>
      <c r="D691" s="457"/>
      <c r="E691" s="458"/>
      <c r="F691" s="458"/>
      <c r="G691" s="458"/>
      <c r="H691" s="458"/>
      <c r="I691" s="459"/>
      <c r="J691" s="377"/>
      <c r="K691" s="377"/>
      <c r="L691" s="460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  <c r="Z691" s="377"/>
      <c r="AA691" s="377"/>
      <c r="AB691" s="377"/>
    </row>
    <row r="692">
      <c r="A692" s="377"/>
      <c r="B692" s="377"/>
      <c r="C692" s="377"/>
      <c r="D692" s="457"/>
      <c r="E692" s="458"/>
      <c r="F692" s="458"/>
      <c r="G692" s="458"/>
      <c r="H692" s="458"/>
      <c r="I692" s="459"/>
      <c r="J692" s="377"/>
      <c r="K692" s="377"/>
      <c r="L692" s="460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  <c r="Z692" s="377"/>
      <c r="AA692" s="377"/>
      <c r="AB692" s="377"/>
    </row>
    <row r="693">
      <c r="A693" s="377"/>
      <c r="B693" s="377"/>
      <c r="C693" s="377"/>
      <c r="D693" s="457"/>
      <c r="E693" s="458"/>
      <c r="F693" s="458"/>
      <c r="G693" s="458"/>
      <c r="H693" s="458"/>
      <c r="I693" s="459"/>
      <c r="J693" s="377"/>
      <c r="K693" s="377"/>
      <c r="L693" s="460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  <c r="Z693" s="377"/>
      <c r="AA693" s="377"/>
      <c r="AB693" s="377"/>
    </row>
    <row r="694">
      <c r="A694" s="377"/>
      <c r="B694" s="377"/>
      <c r="C694" s="377"/>
      <c r="D694" s="457"/>
      <c r="E694" s="458"/>
      <c r="F694" s="458"/>
      <c r="G694" s="458"/>
      <c r="H694" s="458"/>
      <c r="I694" s="459"/>
      <c r="J694" s="377"/>
      <c r="K694" s="377"/>
      <c r="L694" s="460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  <c r="Z694" s="377"/>
      <c r="AA694" s="377"/>
      <c r="AB694" s="377"/>
    </row>
    <row r="695">
      <c r="A695" s="377"/>
      <c r="B695" s="377"/>
      <c r="C695" s="377"/>
      <c r="D695" s="457"/>
      <c r="E695" s="458"/>
      <c r="F695" s="458"/>
      <c r="G695" s="458"/>
      <c r="H695" s="458"/>
      <c r="I695" s="459"/>
      <c r="J695" s="377"/>
      <c r="K695" s="377"/>
      <c r="L695" s="460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  <c r="Z695" s="377"/>
      <c r="AA695" s="377"/>
      <c r="AB695" s="377"/>
    </row>
    <row r="696">
      <c r="A696" s="377"/>
      <c r="B696" s="377"/>
      <c r="C696" s="377"/>
      <c r="D696" s="457"/>
      <c r="E696" s="458"/>
      <c r="F696" s="458"/>
      <c r="G696" s="458"/>
      <c r="H696" s="458"/>
      <c r="I696" s="459"/>
      <c r="J696" s="377"/>
      <c r="K696" s="377"/>
      <c r="L696" s="460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  <c r="Z696" s="377"/>
      <c r="AA696" s="377"/>
      <c r="AB696" s="377"/>
    </row>
    <row r="697">
      <c r="A697" s="377"/>
      <c r="B697" s="377"/>
      <c r="C697" s="377"/>
      <c r="D697" s="457"/>
      <c r="E697" s="458"/>
      <c r="F697" s="458"/>
      <c r="G697" s="458"/>
      <c r="H697" s="458"/>
      <c r="I697" s="459"/>
      <c r="J697" s="377"/>
      <c r="K697" s="377"/>
      <c r="L697" s="460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  <c r="Z697" s="377"/>
      <c r="AA697" s="377"/>
      <c r="AB697" s="377"/>
    </row>
    <row r="698">
      <c r="A698" s="377"/>
      <c r="B698" s="377"/>
      <c r="C698" s="377"/>
      <c r="D698" s="457"/>
      <c r="E698" s="458"/>
      <c r="F698" s="458"/>
      <c r="G698" s="458"/>
      <c r="H698" s="458"/>
      <c r="I698" s="459"/>
      <c r="J698" s="377"/>
      <c r="K698" s="377"/>
      <c r="L698" s="460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  <c r="Z698" s="377"/>
      <c r="AA698" s="377"/>
      <c r="AB698" s="377"/>
    </row>
    <row r="699">
      <c r="A699" s="377"/>
      <c r="B699" s="377"/>
      <c r="C699" s="377"/>
      <c r="D699" s="457"/>
      <c r="E699" s="458"/>
      <c r="F699" s="458"/>
      <c r="G699" s="458"/>
      <c r="H699" s="458"/>
      <c r="I699" s="459"/>
      <c r="J699" s="377"/>
      <c r="K699" s="377"/>
      <c r="L699" s="460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  <c r="Z699" s="377"/>
      <c r="AA699" s="377"/>
      <c r="AB699" s="377"/>
    </row>
    <row r="700">
      <c r="A700" s="377"/>
      <c r="B700" s="377"/>
      <c r="C700" s="377"/>
      <c r="D700" s="457"/>
      <c r="E700" s="458"/>
      <c r="F700" s="458"/>
      <c r="G700" s="458"/>
      <c r="H700" s="458"/>
      <c r="I700" s="459"/>
      <c r="J700" s="377"/>
      <c r="K700" s="377"/>
      <c r="L700" s="460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  <c r="Z700" s="377"/>
      <c r="AA700" s="377"/>
      <c r="AB700" s="377"/>
    </row>
    <row r="701">
      <c r="A701" s="377"/>
      <c r="B701" s="377"/>
      <c r="C701" s="377"/>
      <c r="D701" s="457"/>
      <c r="E701" s="458"/>
      <c r="F701" s="458"/>
      <c r="G701" s="458"/>
      <c r="H701" s="458"/>
      <c r="I701" s="459"/>
      <c r="J701" s="377"/>
      <c r="K701" s="377"/>
      <c r="L701" s="460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  <c r="Z701" s="377"/>
      <c r="AA701" s="377"/>
      <c r="AB701" s="377"/>
    </row>
    <row r="702">
      <c r="A702" s="377"/>
      <c r="B702" s="377"/>
      <c r="C702" s="377"/>
      <c r="D702" s="457"/>
      <c r="E702" s="458"/>
      <c r="F702" s="458"/>
      <c r="G702" s="458"/>
      <c r="H702" s="458"/>
      <c r="I702" s="459"/>
      <c r="J702" s="377"/>
      <c r="K702" s="377"/>
      <c r="L702" s="460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  <c r="Z702" s="377"/>
      <c r="AA702" s="377"/>
      <c r="AB702" s="377"/>
    </row>
    <row r="703">
      <c r="A703" s="377"/>
      <c r="B703" s="377"/>
      <c r="C703" s="377"/>
      <c r="D703" s="457"/>
      <c r="E703" s="458"/>
      <c r="F703" s="458"/>
      <c r="G703" s="458"/>
      <c r="H703" s="458"/>
      <c r="I703" s="459"/>
      <c r="J703" s="377"/>
      <c r="K703" s="377"/>
      <c r="L703" s="460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  <c r="Z703" s="377"/>
      <c r="AA703" s="377"/>
      <c r="AB703" s="377"/>
    </row>
    <row r="704">
      <c r="A704" s="377"/>
      <c r="B704" s="377"/>
      <c r="C704" s="377"/>
      <c r="D704" s="457"/>
      <c r="E704" s="458"/>
      <c r="F704" s="458"/>
      <c r="G704" s="458"/>
      <c r="H704" s="458"/>
      <c r="I704" s="459"/>
      <c r="J704" s="377"/>
      <c r="K704" s="377"/>
      <c r="L704" s="460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  <c r="Z704" s="377"/>
      <c r="AA704" s="377"/>
      <c r="AB704" s="377"/>
    </row>
    <row r="705">
      <c r="A705" s="377"/>
      <c r="B705" s="377"/>
      <c r="C705" s="377"/>
      <c r="D705" s="457"/>
      <c r="E705" s="458"/>
      <c r="F705" s="458"/>
      <c r="G705" s="458"/>
      <c r="H705" s="458"/>
      <c r="I705" s="459"/>
      <c r="J705" s="377"/>
      <c r="K705" s="377"/>
      <c r="L705" s="460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  <c r="Z705" s="377"/>
      <c r="AA705" s="377"/>
      <c r="AB705" s="377"/>
    </row>
    <row r="706">
      <c r="A706" s="377"/>
      <c r="B706" s="377"/>
      <c r="C706" s="377"/>
      <c r="D706" s="457"/>
      <c r="E706" s="458"/>
      <c r="F706" s="458"/>
      <c r="G706" s="458"/>
      <c r="H706" s="458"/>
      <c r="I706" s="459"/>
      <c r="J706" s="377"/>
      <c r="K706" s="377"/>
      <c r="L706" s="460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  <c r="Z706" s="377"/>
      <c r="AA706" s="377"/>
      <c r="AB706" s="377"/>
    </row>
    <row r="707">
      <c r="A707" s="377"/>
      <c r="B707" s="377"/>
      <c r="C707" s="377"/>
      <c r="D707" s="457"/>
      <c r="E707" s="458"/>
      <c r="F707" s="458"/>
      <c r="G707" s="458"/>
      <c r="H707" s="458"/>
      <c r="I707" s="459"/>
      <c r="J707" s="377"/>
      <c r="K707" s="377"/>
      <c r="L707" s="460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  <c r="Z707" s="377"/>
      <c r="AA707" s="377"/>
      <c r="AB707" s="377"/>
    </row>
    <row r="708">
      <c r="A708" s="377"/>
      <c r="B708" s="377"/>
      <c r="C708" s="377"/>
      <c r="D708" s="457"/>
      <c r="E708" s="458"/>
      <c r="F708" s="458"/>
      <c r="G708" s="458"/>
      <c r="H708" s="458"/>
      <c r="I708" s="459"/>
      <c r="J708" s="377"/>
      <c r="K708" s="377"/>
      <c r="L708" s="460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  <c r="Z708" s="377"/>
      <c r="AA708" s="377"/>
      <c r="AB708" s="377"/>
    </row>
    <row r="709">
      <c r="A709" s="377"/>
      <c r="B709" s="377"/>
      <c r="C709" s="377"/>
      <c r="D709" s="457"/>
      <c r="E709" s="458"/>
      <c r="F709" s="458"/>
      <c r="G709" s="458"/>
      <c r="H709" s="458"/>
      <c r="I709" s="459"/>
      <c r="J709" s="377"/>
      <c r="K709" s="377"/>
      <c r="L709" s="460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  <c r="Z709" s="377"/>
      <c r="AA709" s="377"/>
      <c r="AB709" s="377"/>
    </row>
    <row r="710">
      <c r="A710" s="377"/>
      <c r="B710" s="377"/>
      <c r="C710" s="377"/>
      <c r="D710" s="457"/>
      <c r="E710" s="458"/>
      <c r="F710" s="458"/>
      <c r="G710" s="458"/>
      <c r="H710" s="458"/>
      <c r="I710" s="459"/>
      <c r="J710" s="377"/>
      <c r="K710" s="377"/>
      <c r="L710" s="460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  <c r="Z710" s="377"/>
      <c r="AA710" s="377"/>
      <c r="AB710" s="377"/>
    </row>
    <row r="711">
      <c r="A711" s="377"/>
      <c r="B711" s="377"/>
      <c r="C711" s="377"/>
      <c r="D711" s="457"/>
      <c r="E711" s="458"/>
      <c r="F711" s="458"/>
      <c r="G711" s="458"/>
      <c r="H711" s="458"/>
      <c r="I711" s="459"/>
      <c r="J711" s="377"/>
      <c r="K711" s="377"/>
      <c r="L711" s="460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  <c r="Z711" s="377"/>
      <c r="AA711" s="377"/>
      <c r="AB711" s="377"/>
    </row>
    <row r="712">
      <c r="A712" s="377"/>
      <c r="B712" s="377"/>
      <c r="C712" s="377"/>
      <c r="D712" s="457"/>
      <c r="E712" s="458"/>
      <c r="F712" s="458"/>
      <c r="G712" s="458"/>
      <c r="H712" s="458"/>
      <c r="I712" s="459"/>
      <c r="J712" s="377"/>
      <c r="K712" s="377"/>
      <c r="L712" s="460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  <c r="Z712" s="377"/>
      <c r="AA712" s="377"/>
      <c r="AB712" s="377"/>
    </row>
    <row r="713">
      <c r="A713" s="377"/>
      <c r="B713" s="377"/>
      <c r="C713" s="377"/>
      <c r="D713" s="457"/>
      <c r="E713" s="458"/>
      <c r="F713" s="458"/>
      <c r="G713" s="458"/>
      <c r="H713" s="458"/>
      <c r="I713" s="459"/>
      <c r="J713" s="377"/>
      <c r="K713" s="377"/>
      <c r="L713" s="460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  <c r="Z713" s="377"/>
      <c r="AA713" s="377"/>
      <c r="AB713" s="377"/>
    </row>
    <row r="714">
      <c r="A714" s="377"/>
      <c r="B714" s="377"/>
      <c r="C714" s="377"/>
      <c r="D714" s="457"/>
      <c r="E714" s="458"/>
      <c r="F714" s="458"/>
      <c r="G714" s="458"/>
      <c r="H714" s="458"/>
      <c r="I714" s="459"/>
      <c r="J714" s="377"/>
      <c r="K714" s="377"/>
      <c r="L714" s="460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  <c r="Z714" s="377"/>
      <c r="AA714" s="377"/>
      <c r="AB714" s="377"/>
    </row>
    <row r="715">
      <c r="A715" s="377"/>
      <c r="B715" s="377"/>
      <c r="C715" s="377"/>
      <c r="D715" s="457"/>
      <c r="E715" s="458"/>
      <c r="F715" s="458"/>
      <c r="G715" s="458"/>
      <c r="H715" s="458"/>
      <c r="I715" s="459"/>
      <c r="J715" s="377"/>
      <c r="K715" s="377"/>
      <c r="L715" s="460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  <c r="Z715" s="377"/>
      <c r="AA715" s="377"/>
      <c r="AB715" s="377"/>
    </row>
    <row r="716">
      <c r="A716" s="377"/>
      <c r="B716" s="377"/>
      <c r="C716" s="377"/>
      <c r="D716" s="457"/>
      <c r="E716" s="458"/>
      <c r="F716" s="458"/>
      <c r="G716" s="458"/>
      <c r="H716" s="458"/>
      <c r="I716" s="459"/>
      <c r="J716" s="377"/>
      <c r="K716" s="377"/>
      <c r="L716" s="460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  <c r="Z716" s="377"/>
      <c r="AA716" s="377"/>
      <c r="AB716" s="377"/>
    </row>
    <row r="717">
      <c r="A717" s="377"/>
      <c r="B717" s="377"/>
      <c r="C717" s="377"/>
      <c r="D717" s="457"/>
      <c r="E717" s="458"/>
      <c r="F717" s="458"/>
      <c r="G717" s="458"/>
      <c r="H717" s="458"/>
      <c r="I717" s="459"/>
      <c r="J717" s="377"/>
      <c r="K717" s="377"/>
      <c r="L717" s="460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  <c r="Z717" s="377"/>
      <c r="AA717" s="377"/>
      <c r="AB717" s="377"/>
    </row>
    <row r="718">
      <c r="A718" s="377"/>
      <c r="B718" s="377"/>
      <c r="C718" s="377"/>
      <c r="D718" s="457"/>
      <c r="E718" s="458"/>
      <c r="F718" s="458"/>
      <c r="G718" s="458"/>
      <c r="H718" s="458"/>
      <c r="I718" s="459"/>
      <c r="J718" s="377"/>
      <c r="K718" s="377"/>
      <c r="L718" s="460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  <c r="Z718" s="377"/>
      <c r="AA718" s="377"/>
      <c r="AB718" s="377"/>
    </row>
    <row r="719">
      <c r="A719" s="377"/>
      <c r="B719" s="377"/>
      <c r="C719" s="377"/>
      <c r="D719" s="457"/>
      <c r="E719" s="458"/>
      <c r="F719" s="458"/>
      <c r="G719" s="458"/>
      <c r="H719" s="458"/>
      <c r="I719" s="459"/>
      <c r="J719" s="377"/>
      <c r="K719" s="377"/>
      <c r="L719" s="460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  <c r="Z719" s="377"/>
      <c r="AA719" s="377"/>
      <c r="AB719" s="377"/>
    </row>
    <row r="720">
      <c r="A720" s="377"/>
      <c r="B720" s="377"/>
      <c r="C720" s="377"/>
      <c r="D720" s="457"/>
      <c r="E720" s="458"/>
      <c r="F720" s="458"/>
      <c r="G720" s="458"/>
      <c r="H720" s="458"/>
      <c r="I720" s="459"/>
      <c r="J720" s="377"/>
      <c r="K720" s="377"/>
      <c r="L720" s="460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  <c r="Z720" s="377"/>
      <c r="AA720" s="377"/>
      <c r="AB720" s="377"/>
    </row>
    <row r="721">
      <c r="A721" s="377"/>
      <c r="B721" s="377"/>
      <c r="C721" s="377"/>
      <c r="D721" s="457"/>
      <c r="E721" s="458"/>
      <c r="F721" s="458"/>
      <c r="G721" s="458"/>
      <c r="H721" s="458"/>
      <c r="I721" s="459"/>
      <c r="J721" s="377"/>
      <c r="K721" s="377"/>
      <c r="L721" s="460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  <c r="Z721" s="377"/>
      <c r="AA721" s="377"/>
      <c r="AB721" s="377"/>
    </row>
    <row r="722">
      <c r="A722" s="377"/>
      <c r="B722" s="377"/>
      <c r="C722" s="377"/>
      <c r="D722" s="457"/>
      <c r="E722" s="458"/>
      <c r="F722" s="458"/>
      <c r="G722" s="458"/>
      <c r="H722" s="458"/>
      <c r="I722" s="459"/>
      <c r="J722" s="377"/>
      <c r="K722" s="377"/>
      <c r="L722" s="460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  <c r="Z722" s="377"/>
      <c r="AA722" s="377"/>
      <c r="AB722" s="377"/>
    </row>
    <row r="723">
      <c r="A723" s="377"/>
      <c r="B723" s="377"/>
      <c r="C723" s="377"/>
      <c r="D723" s="457"/>
      <c r="E723" s="458"/>
      <c r="F723" s="458"/>
      <c r="G723" s="458"/>
      <c r="H723" s="458"/>
      <c r="I723" s="459"/>
      <c r="J723" s="377"/>
      <c r="K723" s="377"/>
      <c r="L723" s="460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  <c r="Z723" s="377"/>
      <c r="AA723" s="377"/>
      <c r="AB723" s="377"/>
    </row>
    <row r="724">
      <c r="A724" s="377"/>
      <c r="B724" s="377"/>
      <c r="C724" s="377"/>
      <c r="D724" s="457"/>
      <c r="E724" s="458"/>
      <c r="F724" s="458"/>
      <c r="G724" s="458"/>
      <c r="H724" s="458"/>
      <c r="I724" s="459"/>
      <c r="J724" s="377"/>
      <c r="K724" s="377"/>
      <c r="L724" s="460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  <c r="Z724" s="377"/>
      <c r="AA724" s="377"/>
      <c r="AB724" s="377"/>
    </row>
    <row r="725">
      <c r="A725" s="377"/>
      <c r="B725" s="377"/>
      <c r="C725" s="377"/>
      <c r="D725" s="457"/>
      <c r="E725" s="458"/>
      <c r="F725" s="458"/>
      <c r="G725" s="458"/>
      <c r="H725" s="458"/>
      <c r="I725" s="459"/>
      <c r="J725" s="377"/>
      <c r="K725" s="377"/>
      <c r="L725" s="460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  <c r="Z725" s="377"/>
      <c r="AA725" s="377"/>
      <c r="AB725" s="377"/>
    </row>
    <row r="726">
      <c r="A726" s="377"/>
      <c r="B726" s="377"/>
      <c r="C726" s="377"/>
      <c r="D726" s="457"/>
      <c r="E726" s="458"/>
      <c r="F726" s="458"/>
      <c r="G726" s="458"/>
      <c r="H726" s="458"/>
      <c r="I726" s="459"/>
      <c r="J726" s="377"/>
      <c r="K726" s="377"/>
      <c r="L726" s="460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  <c r="Z726" s="377"/>
      <c r="AA726" s="377"/>
      <c r="AB726" s="377"/>
    </row>
    <row r="727">
      <c r="A727" s="377"/>
      <c r="B727" s="377"/>
      <c r="C727" s="377"/>
      <c r="D727" s="457"/>
      <c r="E727" s="458"/>
      <c r="F727" s="458"/>
      <c r="G727" s="458"/>
      <c r="H727" s="458"/>
      <c r="I727" s="459"/>
      <c r="J727" s="377"/>
      <c r="K727" s="377"/>
      <c r="L727" s="460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  <c r="Z727" s="377"/>
      <c r="AA727" s="377"/>
      <c r="AB727" s="377"/>
    </row>
    <row r="728">
      <c r="A728" s="377"/>
      <c r="B728" s="377"/>
      <c r="C728" s="377"/>
      <c r="D728" s="457"/>
      <c r="E728" s="458"/>
      <c r="F728" s="458"/>
      <c r="G728" s="458"/>
      <c r="H728" s="458"/>
      <c r="I728" s="459"/>
      <c r="J728" s="377"/>
      <c r="K728" s="377"/>
      <c r="L728" s="460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  <c r="Z728" s="377"/>
      <c r="AA728" s="377"/>
      <c r="AB728" s="377"/>
    </row>
    <row r="729">
      <c r="A729" s="377"/>
      <c r="B729" s="377"/>
      <c r="C729" s="377"/>
      <c r="D729" s="457"/>
      <c r="E729" s="458"/>
      <c r="F729" s="458"/>
      <c r="G729" s="458"/>
      <c r="H729" s="458"/>
      <c r="I729" s="459"/>
      <c r="J729" s="377"/>
      <c r="K729" s="377"/>
      <c r="L729" s="460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  <c r="Z729" s="377"/>
      <c r="AA729" s="377"/>
      <c r="AB729" s="377"/>
    </row>
    <row r="730">
      <c r="A730" s="377"/>
      <c r="B730" s="377"/>
      <c r="C730" s="377"/>
      <c r="D730" s="457"/>
      <c r="E730" s="458"/>
      <c r="F730" s="458"/>
      <c r="G730" s="458"/>
      <c r="H730" s="458"/>
      <c r="I730" s="459"/>
      <c r="J730" s="377"/>
      <c r="K730" s="377"/>
      <c r="L730" s="460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  <c r="Z730" s="377"/>
      <c r="AA730" s="377"/>
      <c r="AB730" s="377"/>
    </row>
    <row r="731">
      <c r="A731" s="377"/>
      <c r="B731" s="377"/>
      <c r="C731" s="377"/>
      <c r="D731" s="457"/>
      <c r="E731" s="458"/>
      <c r="F731" s="458"/>
      <c r="G731" s="458"/>
      <c r="H731" s="458"/>
      <c r="I731" s="459"/>
      <c r="J731" s="377"/>
      <c r="K731" s="377"/>
      <c r="L731" s="460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  <c r="Z731" s="377"/>
      <c r="AA731" s="377"/>
      <c r="AB731" s="377"/>
    </row>
    <row r="732">
      <c r="A732" s="377"/>
      <c r="B732" s="377"/>
      <c r="C732" s="377"/>
      <c r="D732" s="457"/>
      <c r="E732" s="458"/>
      <c r="F732" s="458"/>
      <c r="G732" s="458"/>
      <c r="H732" s="458"/>
      <c r="I732" s="459"/>
      <c r="J732" s="377"/>
      <c r="K732" s="377"/>
      <c r="L732" s="460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  <c r="Z732" s="377"/>
      <c r="AA732" s="377"/>
      <c r="AB732" s="377"/>
    </row>
    <row r="733">
      <c r="A733" s="377"/>
      <c r="B733" s="377"/>
      <c r="C733" s="377"/>
      <c r="D733" s="457"/>
      <c r="E733" s="458"/>
      <c r="F733" s="458"/>
      <c r="G733" s="458"/>
      <c r="H733" s="458"/>
      <c r="I733" s="459"/>
      <c r="J733" s="377"/>
      <c r="K733" s="377"/>
      <c r="L733" s="460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  <c r="Z733" s="377"/>
      <c r="AA733" s="377"/>
      <c r="AB733" s="377"/>
    </row>
    <row r="734">
      <c r="A734" s="377"/>
      <c r="B734" s="377"/>
      <c r="C734" s="377"/>
      <c r="D734" s="457"/>
      <c r="E734" s="458"/>
      <c r="F734" s="458"/>
      <c r="G734" s="458"/>
      <c r="H734" s="458"/>
      <c r="I734" s="459"/>
      <c r="J734" s="377"/>
      <c r="K734" s="377"/>
      <c r="L734" s="460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  <c r="Z734" s="377"/>
      <c r="AA734" s="377"/>
      <c r="AB734" s="377"/>
    </row>
    <row r="735">
      <c r="A735" s="377"/>
      <c r="B735" s="377"/>
      <c r="C735" s="377"/>
      <c r="D735" s="457"/>
      <c r="E735" s="458"/>
      <c r="F735" s="458"/>
      <c r="G735" s="458"/>
      <c r="H735" s="458"/>
      <c r="I735" s="459"/>
      <c r="J735" s="377"/>
      <c r="K735" s="377"/>
      <c r="L735" s="460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  <c r="Z735" s="377"/>
      <c r="AA735" s="377"/>
      <c r="AB735" s="377"/>
    </row>
    <row r="736">
      <c r="A736" s="377"/>
      <c r="B736" s="377"/>
      <c r="C736" s="377"/>
      <c r="D736" s="457"/>
      <c r="E736" s="458"/>
      <c r="F736" s="458"/>
      <c r="G736" s="458"/>
      <c r="H736" s="458"/>
      <c r="I736" s="459"/>
      <c r="J736" s="377"/>
      <c r="K736" s="377"/>
      <c r="L736" s="460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  <c r="Z736" s="377"/>
      <c r="AA736" s="377"/>
      <c r="AB736" s="377"/>
    </row>
    <row r="737">
      <c r="A737" s="377"/>
      <c r="B737" s="377"/>
      <c r="C737" s="377"/>
      <c r="D737" s="457"/>
      <c r="E737" s="458"/>
      <c r="F737" s="458"/>
      <c r="G737" s="458"/>
      <c r="H737" s="458"/>
      <c r="I737" s="459"/>
      <c r="J737" s="377"/>
      <c r="K737" s="377"/>
      <c r="L737" s="460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  <c r="Z737" s="377"/>
      <c r="AA737" s="377"/>
      <c r="AB737" s="377"/>
    </row>
    <row r="738">
      <c r="A738" s="377"/>
      <c r="B738" s="377"/>
      <c r="C738" s="377"/>
      <c r="D738" s="457"/>
      <c r="E738" s="458"/>
      <c r="F738" s="458"/>
      <c r="G738" s="458"/>
      <c r="H738" s="458"/>
      <c r="I738" s="459"/>
      <c r="J738" s="377"/>
      <c r="K738" s="377"/>
      <c r="L738" s="460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  <c r="Z738" s="377"/>
      <c r="AA738" s="377"/>
      <c r="AB738" s="377"/>
    </row>
    <row r="739">
      <c r="A739" s="377"/>
      <c r="B739" s="377"/>
      <c r="C739" s="377"/>
      <c r="D739" s="457"/>
      <c r="E739" s="458"/>
      <c r="F739" s="458"/>
      <c r="G739" s="458"/>
      <c r="H739" s="458"/>
      <c r="I739" s="459"/>
      <c r="J739" s="377"/>
      <c r="K739" s="377"/>
      <c r="L739" s="460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  <c r="Z739" s="377"/>
      <c r="AA739" s="377"/>
      <c r="AB739" s="377"/>
    </row>
    <row r="740">
      <c r="A740" s="377"/>
      <c r="B740" s="377"/>
      <c r="C740" s="377"/>
      <c r="D740" s="457"/>
      <c r="E740" s="458"/>
      <c r="F740" s="458"/>
      <c r="G740" s="458"/>
      <c r="H740" s="458"/>
      <c r="I740" s="459"/>
      <c r="J740" s="377"/>
      <c r="K740" s="377"/>
      <c r="L740" s="460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  <c r="Z740" s="377"/>
      <c r="AA740" s="377"/>
      <c r="AB740" s="377"/>
    </row>
    <row r="741">
      <c r="A741" s="377"/>
      <c r="B741" s="377"/>
      <c r="C741" s="377"/>
      <c r="D741" s="457"/>
      <c r="E741" s="458"/>
      <c r="F741" s="458"/>
      <c r="G741" s="458"/>
      <c r="H741" s="458"/>
      <c r="I741" s="459"/>
      <c r="J741" s="377"/>
      <c r="K741" s="377"/>
      <c r="L741" s="460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  <c r="Z741" s="377"/>
      <c r="AA741" s="377"/>
      <c r="AB741" s="377"/>
    </row>
    <row r="742">
      <c r="A742" s="377"/>
      <c r="B742" s="377"/>
      <c r="C742" s="377"/>
      <c r="D742" s="457"/>
      <c r="E742" s="458"/>
      <c r="F742" s="458"/>
      <c r="G742" s="458"/>
      <c r="H742" s="458"/>
      <c r="I742" s="459"/>
      <c r="J742" s="377"/>
      <c r="K742" s="377"/>
      <c r="L742" s="460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  <c r="Z742" s="377"/>
      <c r="AA742" s="377"/>
      <c r="AB742" s="377"/>
    </row>
    <row r="743">
      <c r="A743" s="377"/>
      <c r="B743" s="377"/>
      <c r="C743" s="377"/>
      <c r="D743" s="457"/>
      <c r="E743" s="458"/>
      <c r="F743" s="458"/>
      <c r="G743" s="458"/>
      <c r="H743" s="458"/>
      <c r="I743" s="459"/>
      <c r="J743" s="377"/>
      <c r="K743" s="377"/>
      <c r="L743" s="460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  <c r="Z743" s="377"/>
      <c r="AA743" s="377"/>
      <c r="AB743" s="377"/>
    </row>
    <row r="744">
      <c r="A744" s="377"/>
      <c r="B744" s="377"/>
      <c r="C744" s="377"/>
      <c r="D744" s="457"/>
      <c r="E744" s="458"/>
      <c r="F744" s="458"/>
      <c r="G744" s="458"/>
      <c r="H744" s="458"/>
      <c r="I744" s="459"/>
      <c r="J744" s="377"/>
      <c r="K744" s="377"/>
      <c r="L744" s="460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  <c r="Z744" s="377"/>
      <c r="AA744" s="377"/>
      <c r="AB744" s="377"/>
    </row>
    <row r="745">
      <c r="A745" s="377"/>
      <c r="B745" s="377"/>
      <c r="C745" s="377"/>
      <c r="D745" s="457"/>
      <c r="E745" s="458"/>
      <c r="F745" s="458"/>
      <c r="G745" s="458"/>
      <c r="H745" s="458"/>
      <c r="I745" s="459"/>
      <c r="J745" s="377"/>
      <c r="K745" s="377"/>
      <c r="L745" s="460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  <c r="Z745" s="377"/>
      <c r="AA745" s="377"/>
      <c r="AB745" s="377"/>
    </row>
    <row r="746">
      <c r="A746" s="377"/>
      <c r="B746" s="377"/>
      <c r="C746" s="377"/>
      <c r="D746" s="457"/>
      <c r="E746" s="458"/>
      <c r="F746" s="458"/>
      <c r="G746" s="458"/>
      <c r="H746" s="458"/>
      <c r="I746" s="459"/>
      <c r="J746" s="377"/>
      <c r="K746" s="377"/>
      <c r="L746" s="460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  <c r="Z746" s="377"/>
      <c r="AA746" s="377"/>
      <c r="AB746" s="377"/>
    </row>
    <row r="747">
      <c r="A747" s="377"/>
      <c r="B747" s="377"/>
      <c r="C747" s="377"/>
      <c r="D747" s="457"/>
      <c r="E747" s="458"/>
      <c r="F747" s="458"/>
      <c r="G747" s="458"/>
      <c r="H747" s="458"/>
      <c r="I747" s="459"/>
      <c r="J747" s="377"/>
      <c r="K747" s="377"/>
      <c r="L747" s="460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  <c r="Z747" s="377"/>
      <c r="AA747" s="377"/>
      <c r="AB747" s="377"/>
    </row>
    <row r="748">
      <c r="A748" s="377"/>
      <c r="B748" s="377"/>
      <c r="C748" s="377"/>
      <c r="D748" s="457"/>
      <c r="E748" s="458"/>
      <c r="F748" s="458"/>
      <c r="G748" s="458"/>
      <c r="H748" s="458"/>
      <c r="I748" s="459"/>
      <c r="J748" s="377"/>
      <c r="K748" s="377"/>
      <c r="L748" s="460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  <c r="Z748" s="377"/>
      <c r="AA748" s="377"/>
      <c r="AB748" s="377"/>
    </row>
    <row r="749">
      <c r="A749" s="377"/>
      <c r="B749" s="377"/>
      <c r="C749" s="377"/>
      <c r="D749" s="457"/>
      <c r="E749" s="458"/>
      <c r="F749" s="458"/>
      <c r="G749" s="458"/>
      <c r="H749" s="458"/>
      <c r="I749" s="459"/>
      <c r="J749" s="377"/>
      <c r="K749" s="377"/>
      <c r="L749" s="460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  <c r="Z749" s="377"/>
      <c r="AA749" s="377"/>
      <c r="AB749" s="377"/>
    </row>
    <row r="750">
      <c r="A750" s="377"/>
      <c r="B750" s="377"/>
      <c r="C750" s="377"/>
      <c r="D750" s="457"/>
      <c r="E750" s="458"/>
      <c r="F750" s="458"/>
      <c r="G750" s="458"/>
      <c r="H750" s="458"/>
      <c r="I750" s="459"/>
      <c r="J750" s="377"/>
      <c r="K750" s="377"/>
      <c r="L750" s="460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  <c r="Z750" s="377"/>
      <c r="AA750" s="377"/>
      <c r="AB750" s="377"/>
    </row>
    <row r="751">
      <c r="A751" s="377"/>
      <c r="B751" s="377"/>
      <c r="C751" s="377"/>
      <c r="D751" s="457"/>
      <c r="E751" s="458"/>
      <c r="F751" s="458"/>
      <c r="G751" s="458"/>
      <c r="H751" s="458"/>
      <c r="I751" s="459"/>
      <c r="J751" s="377"/>
      <c r="K751" s="377"/>
      <c r="L751" s="460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  <c r="Z751" s="377"/>
      <c r="AA751" s="377"/>
      <c r="AB751" s="377"/>
    </row>
    <row r="752">
      <c r="A752" s="377"/>
      <c r="B752" s="377"/>
      <c r="C752" s="377"/>
      <c r="D752" s="457"/>
      <c r="E752" s="458"/>
      <c r="F752" s="458"/>
      <c r="G752" s="458"/>
      <c r="H752" s="458"/>
      <c r="I752" s="459"/>
      <c r="J752" s="377"/>
      <c r="K752" s="377"/>
      <c r="L752" s="460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  <c r="Z752" s="377"/>
      <c r="AA752" s="377"/>
      <c r="AB752" s="377"/>
    </row>
    <row r="753">
      <c r="A753" s="377"/>
      <c r="B753" s="377"/>
      <c r="C753" s="377"/>
      <c r="D753" s="457"/>
      <c r="E753" s="458"/>
      <c r="F753" s="458"/>
      <c r="G753" s="458"/>
      <c r="H753" s="458"/>
      <c r="I753" s="459"/>
      <c r="J753" s="377"/>
      <c r="K753" s="377"/>
      <c r="L753" s="460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  <c r="Z753" s="377"/>
      <c r="AA753" s="377"/>
      <c r="AB753" s="377"/>
    </row>
    <row r="754">
      <c r="A754" s="377"/>
      <c r="B754" s="377"/>
      <c r="C754" s="377"/>
      <c r="D754" s="457"/>
      <c r="E754" s="458"/>
      <c r="F754" s="458"/>
      <c r="G754" s="458"/>
      <c r="H754" s="458"/>
      <c r="I754" s="459"/>
      <c r="J754" s="377"/>
      <c r="K754" s="377"/>
      <c r="L754" s="460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  <c r="Z754" s="377"/>
      <c r="AA754" s="377"/>
      <c r="AB754" s="377"/>
    </row>
    <row r="755">
      <c r="A755" s="377"/>
      <c r="B755" s="377"/>
      <c r="C755" s="377"/>
      <c r="D755" s="457"/>
      <c r="E755" s="458"/>
      <c r="F755" s="458"/>
      <c r="G755" s="458"/>
      <c r="H755" s="458"/>
      <c r="I755" s="459"/>
      <c r="J755" s="377"/>
      <c r="K755" s="377"/>
      <c r="L755" s="460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  <c r="Z755" s="377"/>
      <c r="AA755" s="377"/>
      <c r="AB755" s="377"/>
    </row>
    <row r="756">
      <c r="A756" s="377"/>
      <c r="B756" s="377"/>
      <c r="C756" s="377"/>
      <c r="D756" s="457"/>
      <c r="E756" s="458"/>
      <c r="F756" s="458"/>
      <c r="G756" s="458"/>
      <c r="H756" s="458"/>
      <c r="I756" s="459"/>
      <c r="J756" s="377"/>
      <c r="K756" s="377"/>
      <c r="L756" s="460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  <c r="Z756" s="377"/>
      <c r="AA756" s="377"/>
      <c r="AB756" s="377"/>
    </row>
    <row r="757">
      <c r="A757" s="377"/>
      <c r="B757" s="377"/>
      <c r="C757" s="377"/>
      <c r="D757" s="457"/>
      <c r="E757" s="458"/>
      <c r="F757" s="458"/>
      <c r="G757" s="458"/>
      <c r="H757" s="458"/>
      <c r="I757" s="459"/>
      <c r="J757" s="377"/>
      <c r="K757" s="377"/>
      <c r="L757" s="460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  <c r="Z757" s="377"/>
      <c r="AA757" s="377"/>
      <c r="AB757" s="377"/>
    </row>
    <row r="758">
      <c r="A758" s="377"/>
      <c r="B758" s="377"/>
      <c r="C758" s="377"/>
      <c r="D758" s="457"/>
      <c r="E758" s="458"/>
      <c r="F758" s="458"/>
      <c r="G758" s="458"/>
      <c r="H758" s="458"/>
      <c r="I758" s="459"/>
      <c r="J758" s="377"/>
      <c r="K758" s="377"/>
      <c r="L758" s="460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  <c r="Z758" s="377"/>
      <c r="AA758" s="377"/>
      <c r="AB758" s="377"/>
    </row>
    <row r="759">
      <c r="A759" s="377"/>
      <c r="B759" s="377"/>
      <c r="C759" s="377"/>
      <c r="D759" s="457"/>
      <c r="E759" s="458"/>
      <c r="F759" s="458"/>
      <c r="G759" s="458"/>
      <c r="H759" s="458"/>
      <c r="I759" s="459"/>
      <c r="J759" s="377"/>
      <c r="K759" s="377"/>
      <c r="L759" s="460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  <c r="Z759" s="377"/>
      <c r="AA759" s="377"/>
      <c r="AB759" s="377"/>
    </row>
    <row r="760">
      <c r="A760" s="377"/>
      <c r="B760" s="377"/>
      <c r="C760" s="377"/>
      <c r="D760" s="457"/>
      <c r="E760" s="458"/>
      <c r="F760" s="458"/>
      <c r="G760" s="458"/>
      <c r="H760" s="458"/>
      <c r="I760" s="459"/>
      <c r="J760" s="377"/>
      <c r="K760" s="377"/>
      <c r="L760" s="460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  <c r="Z760" s="377"/>
      <c r="AA760" s="377"/>
      <c r="AB760" s="377"/>
    </row>
    <row r="761">
      <c r="A761" s="377"/>
      <c r="B761" s="377"/>
      <c r="C761" s="377"/>
      <c r="D761" s="457"/>
      <c r="E761" s="458"/>
      <c r="F761" s="458"/>
      <c r="G761" s="458"/>
      <c r="H761" s="458"/>
      <c r="I761" s="459"/>
      <c r="J761" s="377"/>
      <c r="K761" s="377"/>
      <c r="L761" s="460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  <c r="Z761" s="377"/>
      <c r="AA761" s="377"/>
      <c r="AB761" s="377"/>
    </row>
    <row r="762">
      <c r="A762" s="377"/>
      <c r="B762" s="377"/>
      <c r="C762" s="377"/>
      <c r="D762" s="457"/>
      <c r="E762" s="458"/>
      <c r="F762" s="458"/>
      <c r="G762" s="458"/>
      <c r="H762" s="458"/>
      <c r="I762" s="459"/>
      <c r="J762" s="377"/>
      <c r="K762" s="377"/>
      <c r="L762" s="460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  <c r="Z762" s="377"/>
      <c r="AA762" s="377"/>
      <c r="AB762" s="377"/>
    </row>
    <row r="763">
      <c r="A763" s="377"/>
      <c r="B763" s="377"/>
      <c r="C763" s="377"/>
      <c r="D763" s="457"/>
      <c r="E763" s="458"/>
      <c r="F763" s="458"/>
      <c r="G763" s="458"/>
      <c r="H763" s="458"/>
      <c r="I763" s="459"/>
      <c r="J763" s="377"/>
      <c r="K763" s="377"/>
      <c r="L763" s="460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  <c r="Z763" s="377"/>
      <c r="AA763" s="377"/>
      <c r="AB763" s="377"/>
    </row>
    <row r="764">
      <c r="A764" s="377"/>
      <c r="B764" s="377"/>
      <c r="C764" s="377"/>
      <c r="D764" s="457"/>
      <c r="E764" s="458"/>
      <c r="F764" s="458"/>
      <c r="G764" s="458"/>
      <c r="H764" s="458"/>
      <c r="I764" s="459"/>
      <c r="J764" s="377"/>
      <c r="K764" s="377"/>
      <c r="L764" s="460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  <c r="Z764" s="377"/>
      <c r="AA764" s="377"/>
      <c r="AB764" s="377"/>
    </row>
    <row r="765">
      <c r="A765" s="377"/>
      <c r="B765" s="377"/>
      <c r="C765" s="377"/>
      <c r="D765" s="457"/>
      <c r="E765" s="458"/>
      <c r="F765" s="458"/>
      <c r="G765" s="458"/>
      <c r="H765" s="458"/>
      <c r="I765" s="459"/>
      <c r="J765" s="377"/>
      <c r="K765" s="377"/>
      <c r="L765" s="460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  <c r="Z765" s="377"/>
      <c r="AA765" s="377"/>
      <c r="AB765" s="377"/>
    </row>
    <row r="766">
      <c r="A766" s="377"/>
      <c r="B766" s="377"/>
      <c r="C766" s="377"/>
      <c r="D766" s="457"/>
      <c r="E766" s="458"/>
      <c r="F766" s="458"/>
      <c r="G766" s="458"/>
      <c r="H766" s="458"/>
      <c r="I766" s="459"/>
      <c r="J766" s="377"/>
      <c r="K766" s="377"/>
      <c r="L766" s="460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  <c r="Z766" s="377"/>
      <c r="AA766" s="377"/>
      <c r="AB766" s="377"/>
    </row>
    <row r="767">
      <c r="A767" s="377"/>
      <c r="B767" s="377"/>
      <c r="C767" s="377"/>
      <c r="D767" s="457"/>
      <c r="E767" s="458"/>
      <c r="F767" s="458"/>
      <c r="G767" s="458"/>
      <c r="H767" s="458"/>
      <c r="I767" s="459"/>
      <c r="J767" s="377"/>
      <c r="K767" s="377"/>
      <c r="L767" s="460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  <c r="Z767" s="377"/>
      <c r="AA767" s="377"/>
      <c r="AB767" s="377"/>
    </row>
    <row r="768">
      <c r="A768" s="377"/>
      <c r="B768" s="377"/>
      <c r="C768" s="377"/>
      <c r="D768" s="457"/>
      <c r="E768" s="458"/>
      <c r="F768" s="458"/>
      <c r="G768" s="458"/>
      <c r="H768" s="458"/>
      <c r="I768" s="459"/>
      <c r="J768" s="377"/>
      <c r="K768" s="377"/>
      <c r="L768" s="460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  <c r="Z768" s="377"/>
      <c r="AA768" s="377"/>
      <c r="AB768" s="377"/>
    </row>
    <row r="769">
      <c r="A769" s="377"/>
      <c r="B769" s="377"/>
      <c r="C769" s="377"/>
      <c r="D769" s="457"/>
      <c r="E769" s="458"/>
      <c r="F769" s="458"/>
      <c r="G769" s="458"/>
      <c r="H769" s="458"/>
      <c r="I769" s="459"/>
      <c r="J769" s="377"/>
      <c r="K769" s="377"/>
      <c r="L769" s="460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  <c r="Z769" s="377"/>
      <c r="AA769" s="377"/>
      <c r="AB769" s="377"/>
    </row>
    <row r="770">
      <c r="A770" s="377"/>
      <c r="B770" s="377"/>
      <c r="C770" s="377"/>
      <c r="D770" s="457"/>
      <c r="E770" s="458"/>
      <c r="F770" s="458"/>
      <c r="G770" s="458"/>
      <c r="H770" s="458"/>
      <c r="I770" s="459"/>
      <c r="J770" s="377"/>
      <c r="K770" s="377"/>
      <c r="L770" s="460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  <c r="Z770" s="377"/>
      <c r="AA770" s="377"/>
      <c r="AB770" s="377"/>
    </row>
    <row r="771">
      <c r="A771" s="377"/>
      <c r="B771" s="377"/>
      <c r="C771" s="377"/>
      <c r="D771" s="457"/>
      <c r="E771" s="458"/>
      <c r="F771" s="458"/>
      <c r="G771" s="458"/>
      <c r="H771" s="458"/>
      <c r="I771" s="459"/>
      <c r="J771" s="377"/>
      <c r="K771" s="377"/>
      <c r="L771" s="460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  <c r="Z771" s="377"/>
      <c r="AA771" s="377"/>
      <c r="AB771" s="377"/>
    </row>
    <row r="772">
      <c r="A772" s="377"/>
      <c r="B772" s="377"/>
      <c r="C772" s="377"/>
      <c r="D772" s="457"/>
      <c r="E772" s="458"/>
      <c r="F772" s="458"/>
      <c r="G772" s="458"/>
      <c r="H772" s="458"/>
      <c r="I772" s="459"/>
      <c r="J772" s="377"/>
      <c r="K772" s="377"/>
      <c r="L772" s="460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  <c r="Z772" s="377"/>
      <c r="AA772" s="377"/>
      <c r="AB772" s="377"/>
    </row>
    <row r="773">
      <c r="A773" s="377"/>
      <c r="B773" s="377"/>
      <c r="C773" s="377"/>
      <c r="D773" s="457"/>
      <c r="E773" s="458"/>
      <c r="F773" s="458"/>
      <c r="G773" s="458"/>
      <c r="H773" s="458"/>
      <c r="I773" s="459"/>
      <c r="J773" s="377"/>
      <c r="K773" s="377"/>
      <c r="L773" s="460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  <c r="Z773" s="377"/>
      <c r="AA773" s="377"/>
      <c r="AB773" s="377"/>
    </row>
    <row r="774">
      <c r="A774" s="377"/>
      <c r="B774" s="377"/>
      <c r="C774" s="377"/>
      <c r="D774" s="457"/>
      <c r="E774" s="458"/>
      <c r="F774" s="458"/>
      <c r="G774" s="458"/>
      <c r="H774" s="458"/>
      <c r="I774" s="459"/>
      <c r="J774" s="377"/>
      <c r="K774" s="377"/>
      <c r="L774" s="460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  <c r="Z774" s="377"/>
      <c r="AA774" s="377"/>
      <c r="AB774" s="377"/>
    </row>
    <row r="775">
      <c r="A775" s="377"/>
      <c r="B775" s="377"/>
      <c r="C775" s="377"/>
      <c r="D775" s="457"/>
      <c r="E775" s="458"/>
      <c r="F775" s="458"/>
      <c r="G775" s="458"/>
      <c r="H775" s="458"/>
      <c r="I775" s="459"/>
      <c r="J775" s="377"/>
      <c r="K775" s="377"/>
      <c r="L775" s="460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  <c r="Z775" s="377"/>
      <c r="AA775" s="377"/>
      <c r="AB775" s="377"/>
    </row>
    <row r="776">
      <c r="A776" s="377"/>
      <c r="B776" s="377"/>
      <c r="C776" s="377"/>
      <c r="D776" s="457"/>
      <c r="E776" s="458"/>
      <c r="F776" s="458"/>
      <c r="G776" s="458"/>
      <c r="H776" s="458"/>
      <c r="I776" s="459"/>
      <c r="J776" s="377"/>
      <c r="K776" s="377"/>
      <c r="L776" s="460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  <c r="Z776" s="377"/>
      <c r="AA776" s="377"/>
      <c r="AB776" s="377"/>
    </row>
    <row r="777">
      <c r="A777" s="377"/>
      <c r="B777" s="377"/>
      <c r="C777" s="377"/>
      <c r="D777" s="457"/>
      <c r="E777" s="458"/>
      <c r="F777" s="458"/>
      <c r="G777" s="458"/>
      <c r="H777" s="458"/>
      <c r="I777" s="459"/>
      <c r="J777" s="377"/>
      <c r="K777" s="377"/>
      <c r="L777" s="460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  <c r="Z777" s="377"/>
      <c r="AA777" s="377"/>
      <c r="AB777" s="377"/>
    </row>
    <row r="778">
      <c r="A778" s="377"/>
      <c r="B778" s="377"/>
      <c r="C778" s="377"/>
      <c r="D778" s="457"/>
      <c r="E778" s="458"/>
      <c r="F778" s="458"/>
      <c r="G778" s="458"/>
      <c r="H778" s="458"/>
      <c r="I778" s="459"/>
      <c r="J778" s="377"/>
      <c r="K778" s="377"/>
      <c r="L778" s="460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  <c r="Z778" s="377"/>
      <c r="AA778" s="377"/>
      <c r="AB778" s="377"/>
    </row>
    <row r="779">
      <c r="A779" s="377"/>
      <c r="B779" s="377"/>
      <c r="C779" s="377"/>
      <c r="D779" s="457"/>
      <c r="E779" s="458"/>
      <c r="F779" s="458"/>
      <c r="G779" s="458"/>
      <c r="H779" s="458"/>
      <c r="I779" s="459"/>
      <c r="J779" s="377"/>
      <c r="K779" s="377"/>
      <c r="L779" s="460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  <c r="Z779" s="377"/>
      <c r="AA779" s="377"/>
      <c r="AB779" s="377"/>
    </row>
    <row r="780">
      <c r="A780" s="377"/>
      <c r="B780" s="377"/>
      <c r="C780" s="377"/>
      <c r="D780" s="457"/>
      <c r="E780" s="458"/>
      <c r="F780" s="458"/>
      <c r="G780" s="458"/>
      <c r="H780" s="458"/>
      <c r="I780" s="459"/>
      <c r="J780" s="377"/>
      <c r="K780" s="377"/>
      <c r="L780" s="460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  <c r="Z780" s="377"/>
      <c r="AA780" s="377"/>
      <c r="AB780" s="377"/>
    </row>
    <row r="781">
      <c r="A781" s="377"/>
      <c r="B781" s="377"/>
      <c r="C781" s="377"/>
      <c r="D781" s="457"/>
      <c r="E781" s="458"/>
      <c r="F781" s="458"/>
      <c r="G781" s="458"/>
      <c r="H781" s="458"/>
      <c r="I781" s="459"/>
      <c r="J781" s="377"/>
      <c r="K781" s="377"/>
      <c r="L781" s="460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  <c r="Z781" s="377"/>
      <c r="AA781" s="377"/>
      <c r="AB781" s="377"/>
    </row>
    <row r="782">
      <c r="A782" s="377"/>
      <c r="B782" s="377"/>
      <c r="C782" s="377"/>
      <c r="D782" s="457"/>
      <c r="E782" s="458"/>
      <c r="F782" s="458"/>
      <c r="G782" s="458"/>
      <c r="H782" s="458"/>
      <c r="I782" s="459"/>
      <c r="J782" s="377"/>
      <c r="K782" s="377"/>
      <c r="L782" s="460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  <c r="Z782" s="377"/>
      <c r="AA782" s="377"/>
      <c r="AB782" s="377"/>
    </row>
    <row r="783">
      <c r="A783" s="377"/>
      <c r="B783" s="377"/>
      <c r="C783" s="377"/>
      <c r="D783" s="457"/>
      <c r="E783" s="458"/>
      <c r="F783" s="458"/>
      <c r="G783" s="458"/>
      <c r="H783" s="458"/>
      <c r="I783" s="459"/>
      <c r="J783" s="377"/>
      <c r="K783" s="377"/>
      <c r="L783" s="460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  <c r="Z783" s="377"/>
      <c r="AA783" s="377"/>
      <c r="AB783" s="377"/>
    </row>
    <row r="784">
      <c r="A784" s="377"/>
      <c r="B784" s="377"/>
      <c r="C784" s="377"/>
      <c r="D784" s="457"/>
      <c r="E784" s="458"/>
      <c r="F784" s="458"/>
      <c r="G784" s="458"/>
      <c r="H784" s="458"/>
      <c r="I784" s="459"/>
      <c r="J784" s="377"/>
      <c r="K784" s="377"/>
      <c r="L784" s="460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  <c r="Z784" s="377"/>
      <c r="AA784" s="377"/>
      <c r="AB784" s="377"/>
    </row>
    <row r="785">
      <c r="A785" s="377"/>
      <c r="B785" s="377"/>
      <c r="C785" s="377"/>
      <c r="D785" s="457"/>
      <c r="E785" s="458"/>
      <c r="F785" s="458"/>
      <c r="G785" s="458"/>
      <c r="H785" s="458"/>
      <c r="I785" s="459"/>
      <c r="J785" s="377"/>
      <c r="K785" s="377"/>
      <c r="L785" s="460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  <c r="Z785" s="377"/>
      <c r="AA785" s="377"/>
      <c r="AB785" s="377"/>
    </row>
    <row r="786">
      <c r="A786" s="377"/>
      <c r="B786" s="377"/>
      <c r="C786" s="377"/>
      <c r="D786" s="457"/>
      <c r="E786" s="458"/>
      <c r="F786" s="458"/>
      <c r="G786" s="458"/>
      <c r="H786" s="458"/>
      <c r="I786" s="459"/>
      <c r="J786" s="377"/>
      <c r="K786" s="377"/>
      <c r="L786" s="460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  <c r="Z786" s="377"/>
      <c r="AA786" s="377"/>
      <c r="AB786" s="377"/>
    </row>
    <row r="787">
      <c r="A787" s="377"/>
      <c r="B787" s="377"/>
      <c r="C787" s="377"/>
      <c r="D787" s="457"/>
      <c r="E787" s="458"/>
      <c r="F787" s="458"/>
      <c r="G787" s="458"/>
      <c r="H787" s="458"/>
      <c r="I787" s="459"/>
      <c r="J787" s="377"/>
      <c r="K787" s="377"/>
      <c r="L787" s="460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  <c r="Z787" s="377"/>
      <c r="AA787" s="377"/>
      <c r="AB787" s="377"/>
    </row>
    <row r="788">
      <c r="A788" s="377"/>
      <c r="B788" s="377"/>
      <c r="C788" s="377"/>
      <c r="D788" s="457"/>
      <c r="E788" s="458"/>
      <c r="F788" s="458"/>
      <c r="G788" s="458"/>
      <c r="H788" s="458"/>
      <c r="I788" s="459"/>
      <c r="J788" s="377"/>
      <c r="K788" s="377"/>
      <c r="L788" s="460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  <c r="Z788" s="377"/>
      <c r="AA788" s="377"/>
      <c r="AB788" s="377"/>
    </row>
    <row r="789">
      <c r="A789" s="377"/>
      <c r="B789" s="377"/>
      <c r="C789" s="377"/>
      <c r="D789" s="457"/>
      <c r="E789" s="458"/>
      <c r="F789" s="458"/>
      <c r="G789" s="458"/>
      <c r="H789" s="458"/>
      <c r="I789" s="459"/>
      <c r="J789" s="377"/>
      <c r="K789" s="377"/>
      <c r="L789" s="460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  <c r="Z789" s="377"/>
      <c r="AA789" s="377"/>
      <c r="AB789" s="377"/>
    </row>
    <row r="790">
      <c r="A790" s="377"/>
      <c r="B790" s="377"/>
      <c r="C790" s="377"/>
      <c r="D790" s="457"/>
      <c r="E790" s="458"/>
      <c r="F790" s="458"/>
      <c r="G790" s="458"/>
      <c r="H790" s="458"/>
      <c r="I790" s="459"/>
      <c r="J790" s="377"/>
      <c r="K790" s="377"/>
      <c r="L790" s="460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  <c r="Z790" s="377"/>
      <c r="AA790" s="377"/>
      <c r="AB790" s="377"/>
    </row>
    <row r="791">
      <c r="A791" s="377"/>
      <c r="B791" s="377"/>
      <c r="C791" s="377"/>
      <c r="D791" s="457"/>
      <c r="E791" s="458"/>
      <c r="F791" s="458"/>
      <c r="G791" s="458"/>
      <c r="H791" s="458"/>
      <c r="I791" s="459"/>
      <c r="J791" s="377"/>
      <c r="K791" s="377"/>
      <c r="L791" s="460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  <c r="Z791" s="377"/>
      <c r="AA791" s="377"/>
      <c r="AB791" s="377"/>
    </row>
    <row r="792">
      <c r="A792" s="377"/>
      <c r="B792" s="377"/>
      <c r="C792" s="377"/>
      <c r="D792" s="457"/>
      <c r="E792" s="458"/>
      <c r="F792" s="458"/>
      <c r="G792" s="458"/>
      <c r="H792" s="458"/>
      <c r="I792" s="459"/>
      <c r="J792" s="377"/>
      <c r="K792" s="377"/>
      <c r="L792" s="460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  <c r="Z792" s="377"/>
      <c r="AA792" s="377"/>
      <c r="AB792" s="377"/>
    </row>
    <row r="793">
      <c r="A793" s="377"/>
      <c r="B793" s="377"/>
      <c r="C793" s="377"/>
      <c r="D793" s="457"/>
      <c r="E793" s="458"/>
      <c r="F793" s="458"/>
      <c r="G793" s="458"/>
      <c r="H793" s="458"/>
      <c r="I793" s="459"/>
      <c r="J793" s="377"/>
      <c r="K793" s="377"/>
      <c r="L793" s="460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  <c r="Z793" s="377"/>
      <c r="AA793" s="377"/>
      <c r="AB793" s="377"/>
    </row>
    <row r="794">
      <c r="A794" s="377"/>
      <c r="B794" s="377"/>
      <c r="C794" s="377"/>
      <c r="D794" s="457"/>
      <c r="E794" s="458"/>
      <c r="F794" s="458"/>
      <c r="G794" s="458"/>
      <c r="H794" s="458"/>
      <c r="I794" s="459"/>
      <c r="J794" s="377"/>
      <c r="K794" s="377"/>
      <c r="L794" s="460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  <c r="Z794" s="377"/>
      <c r="AA794" s="377"/>
      <c r="AB794" s="377"/>
    </row>
    <row r="795">
      <c r="A795" s="377"/>
      <c r="B795" s="377"/>
      <c r="C795" s="377"/>
      <c r="D795" s="457"/>
      <c r="E795" s="458"/>
      <c r="F795" s="458"/>
      <c r="G795" s="458"/>
      <c r="H795" s="458"/>
      <c r="I795" s="459"/>
      <c r="J795" s="377"/>
      <c r="K795" s="377"/>
      <c r="L795" s="460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  <c r="Z795" s="377"/>
      <c r="AA795" s="377"/>
      <c r="AB795" s="377"/>
    </row>
    <row r="796">
      <c r="A796" s="377"/>
      <c r="B796" s="377"/>
      <c r="C796" s="377"/>
      <c r="D796" s="457"/>
      <c r="E796" s="458"/>
      <c r="F796" s="458"/>
      <c r="G796" s="458"/>
      <c r="H796" s="458"/>
      <c r="I796" s="459"/>
      <c r="J796" s="377"/>
      <c r="K796" s="377"/>
      <c r="L796" s="460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  <c r="Z796" s="377"/>
      <c r="AA796" s="377"/>
      <c r="AB796" s="377"/>
    </row>
    <row r="797">
      <c r="A797" s="377"/>
      <c r="B797" s="377"/>
      <c r="C797" s="377"/>
      <c r="D797" s="457"/>
      <c r="E797" s="458"/>
      <c r="F797" s="458"/>
      <c r="G797" s="458"/>
      <c r="H797" s="458"/>
      <c r="I797" s="459"/>
      <c r="J797" s="377"/>
      <c r="K797" s="377"/>
      <c r="L797" s="460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  <c r="Z797" s="377"/>
      <c r="AA797" s="377"/>
      <c r="AB797" s="377"/>
    </row>
    <row r="798">
      <c r="A798" s="377"/>
      <c r="B798" s="377"/>
      <c r="C798" s="377"/>
      <c r="D798" s="457"/>
      <c r="E798" s="458"/>
      <c r="F798" s="458"/>
      <c r="G798" s="458"/>
      <c r="H798" s="458"/>
      <c r="I798" s="459"/>
      <c r="J798" s="377"/>
      <c r="K798" s="377"/>
      <c r="L798" s="460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  <c r="Z798" s="377"/>
      <c r="AA798" s="377"/>
      <c r="AB798" s="377"/>
    </row>
    <row r="799">
      <c r="A799" s="377"/>
      <c r="B799" s="377"/>
      <c r="C799" s="377"/>
      <c r="D799" s="457"/>
      <c r="E799" s="458"/>
      <c r="F799" s="458"/>
      <c r="G799" s="458"/>
      <c r="H799" s="458"/>
      <c r="I799" s="459"/>
      <c r="J799" s="377"/>
      <c r="K799" s="377"/>
      <c r="L799" s="460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  <c r="Z799" s="377"/>
      <c r="AA799" s="377"/>
      <c r="AB799" s="377"/>
    </row>
    <row r="800">
      <c r="A800" s="377"/>
      <c r="B800" s="377"/>
      <c r="C800" s="377"/>
      <c r="D800" s="457"/>
      <c r="E800" s="458"/>
      <c r="F800" s="458"/>
      <c r="G800" s="458"/>
      <c r="H800" s="458"/>
      <c r="I800" s="459"/>
      <c r="J800" s="377"/>
      <c r="K800" s="377"/>
      <c r="L800" s="460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  <c r="Z800" s="377"/>
      <c r="AA800" s="377"/>
      <c r="AB800" s="377"/>
    </row>
    <row r="801">
      <c r="A801" s="377"/>
      <c r="B801" s="377"/>
      <c r="C801" s="377"/>
      <c r="D801" s="457"/>
      <c r="E801" s="458"/>
      <c r="F801" s="458"/>
      <c r="G801" s="458"/>
      <c r="H801" s="458"/>
      <c r="I801" s="459"/>
      <c r="J801" s="377"/>
      <c r="K801" s="377"/>
      <c r="L801" s="460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  <c r="Z801" s="377"/>
      <c r="AA801" s="377"/>
      <c r="AB801" s="377"/>
    </row>
    <row r="802">
      <c r="A802" s="377"/>
      <c r="B802" s="377"/>
      <c r="C802" s="377"/>
      <c r="D802" s="457"/>
      <c r="E802" s="458"/>
      <c r="F802" s="458"/>
      <c r="G802" s="458"/>
      <c r="H802" s="458"/>
      <c r="I802" s="459"/>
      <c r="J802" s="377"/>
      <c r="K802" s="377"/>
      <c r="L802" s="460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  <c r="Z802" s="377"/>
      <c r="AA802" s="377"/>
      <c r="AB802" s="377"/>
    </row>
    <row r="803">
      <c r="A803" s="377"/>
      <c r="B803" s="377"/>
      <c r="C803" s="377"/>
      <c r="D803" s="457"/>
      <c r="E803" s="458"/>
      <c r="F803" s="458"/>
      <c r="G803" s="458"/>
      <c r="H803" s="458"/>
      <c r="I803" s="459"/>
      <c r="J803" s="377"/>
      <c r="K803" s="377"/>
      <c r="L803" s="460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  <c r="Z803" s="377"/>
      <c r="AA803" s="377"/>
      <c r="AB803" s="377"/>
    </row>
    <row r="804">
      <c r="A804" s="377"/>
      <c r="B804" s="377"/>
      <c r="C804" s="377"/>
      <c r="D804" s="457"/>
      <c r="E804" s="458"/>
      <c r="F804" s="458"/>
      <c r="G804" s="458"/>
      <c r="H804" s="458"/>
      <c r="I804" s="459"/>
      <c r="J804" s="377"/>
      <c r="K804" s="377"/>
      <c r="L804" s="460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  <c r="Z804" s="377"/>
      <c r="AA804" s="377"/>
      <c r="AB804" s="377"/>
    </row>
    <row r="805">
      <c r="A805" s="377"/>
      <c r="B805" s="377"/>
      <c r="C805" s="377"/>
      <c r="D805" s="457"/>
      <c r="E805" s="458"/>
      <c r="F805" s="458"/>
      <c r="G805" s="458"/>
      <c r="H805" s="458"/>
      <c r="I805" s="459"/>
      <c r="J805" s="377"/>
      <c r="K805" s="377"/>
      <c r="L805" s="460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  <c r="Z805" s="377"/>
      <c r="AA805" s="377"/>
      <c r="AB805" s="377"/>
    </row>
    <row r="806">
      <c r="A806" s="377"/>
      <c r="B806" s="377"/>
      <c r="C806" s="377"/>
      <c r="D806" s="457"/>
      <c r="E806" s="458"/>
      <c r="F806" s="458"/>
      <c r="G806" s="458"/>
      <c r="H806" s="458"/>
      <c r="I806" s="459"/>
      <c r="J806" s="377"/>
      <c r="K806" s="377"/>
      <c r="L806" s="460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  <c r="Z806" s="377"/>
      <c r="AA806" s="377"/>
      <c r="AB806" s="377"/>
    </row>
    <row r="807">
      <c r="A807" s="377"/>
      <c r="B807" s="377"/>
      <c r="C807" s="377"/>
      <c r="D807" s="457"/>
      <c r="E807" s="458"/>
      <c r="F807" s="458"/>
      <c r="G807" s="458"/>
      <c r="H807" s="458"/>
      <c r="I807" s="459"/>
      <c r="J807" s="377"/>
      <c r="K807" s="377"/>
      <c r="L807" s="460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  <c r="Z807" s="377"/>
      <c r="AA807" s="377"/>
      <c r="AB807" s="377"/>
    </row>
    <row r="808">
      <c r="A808" s="377"/>
      <c r="B808" s="377"/>
      <c r="C808" s="377"/>
      <c r="D808" s="457"/>
      <c r="E808" s="458"/>
      <c r="F808" s="458"/>
      <c r="G808" s="458"/>
      <c r="H808" s="458"/>
      <c r="I808" s="459"/>
      <c r="J808" s="377"/>
      <c r="K808" s="377"/>
      <c r="L808" s="460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  <c r="Z808" s="377"/>
      <c r="AA808" s="377"/>
      <c r="AB808" s="377"/>
    </row>
    <row r="809">
      <c r="A809" s="377"/>
      <c r="B809" s="377"/>
      <c r="C809" s="377"/>
      <c r="D809" s="457"/>
      <c r="E809" s="458"/>
      <c r="F809" s="458"/>
      <c r="G809" s="458"/>
      <c r="H809" s="458"/>
      <c r="I809" s="459"/>
      <c r="J809" s="377"/>
      <c r="K809" s="377"/>
      <c r="L809" s="460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  <c r="Z809" s="377"/>
      <c r="AA809" s="377"/>
      <c r="AB809" s="377"/>
    </row>
    <row r="810">
      <c r="A810" s="377"/>
      <c r="B810" s="377"/>
      <c r="C810" s="377"/>
      <c r="D810" s="457"/>
      <c r="E810" s="458"/>
      <c r="F810" s="458"/>
      <c r="G810" s="458"/>
      <c r="H810" s="458"/>
      <c r="I810" s="459"/>
      <c r="J810" s="377"/>
      <c r="K810" s="377"/>
      <c r="L810" s="460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  <c r="Z810" s="377"/>
      <c r="AA810" s="377"/>
      <c r="AB810" s="377"/>
    </row>
    <row r="811">
      <c r="A811" s="377"/>
      <c r="B811" s="377"/>
      <c r="C811" s="377"/>
      <c r="D811" s="457"/>
      <c r="E811" s="458"/>
      <c r="F811" s="458"/>
      <c r="G811" s="458"/>
      <c r="H811" s="458"/>
      <c r="I811" s="459"/>
      <c r="J811" s="377"/>
      <c r="K811" s="377"/>
      <c r="L811" s="460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  <c r="Z811" s="377"/>
      <c r="AA811" s="377"/>
      <c r="AB811" s="377"/>
    </row>
    <row r="812">
      <c r="A812" s="377"/>
      <c r="B812" s="377"/>
      <c r="C812" s="377"/>
      <c r="D812" s="457"/>
      <c r="E812" s="458"/>
      <c r="F812" s="458"/>
      <c r="G812" s="458"/>
      <c r="H812" s="458"/>
      <c r="I812" s="459"/>
      <c r="J812" s="377"/>
      <c r="K812" s="377"/>
      <c r="L812" s="460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  <c r="Z812" s="377"/>
      <c r="AA812" s="377"/>
      <c r="AB812" s="377"/>
    </row>
    <row r="813">
      <c r="A813" s="377"/>
      <c r="B813" s="377"/>
      <c r="C813" s="377"/>
      <c r="D813" s="457"/>
      <c r="E813" s="458"/>
      <c r="F813" s="458"/>
      <c r="G813" s="458"/>
      <c r="H813" s="458"/>
      <c r="I813" s="459"/>
      <c r="J813" s="377"/>
      <c r="K813" s="377"/>
      <c r="L813" s="460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  <c r="Z813" s="377"/>
      <c r="AA813" s="377"/>
      <c r="AB813" s="377"/>
    </row>
    <row r="814">
      <c r="A814" s="377"/>
      <c r="B814" s="377"/>
      <c r="C814" s="377"/>
      <c r="D814" s="457"/>
      <c r="E814" s="458"/>
      <c r="F814" s="458"/>
      <c r="G814" s="458"/>
      <c r="H814" s="458"/>
      <c r="I814" s="459"/>
      <c r="J814" s="377"/>
      <c r="K814" s="377"/>
      <c r="L814" s="460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  <c r="Z814" s="377"/>
      <c r="AA814" s="377"/>
      <c r="AB814" s="377"/>
    </row>
    <row r="815">
      <c r="A815" s="377"/>
      <c r="B815" s="377"/>
      <c r="C815" s="377"/>
      <c r="D815" s="457"/>
      <c r="E815" s="458"/>
      <c r="F815" s="458"/>
      <c r="G815" s="458"/>
      <c r="H815" s="458"/>
      <c r="I815" s="459"/>
      <c r="J815" s="377"/>
      <c r="K815" s="377"/>
      <c r="L815" s="460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  <c r="Z815" s="377"/>
      <c r="AA815" s="377"/>
      <c r="AB815" s="377"/>
    </row>
    <row r="816">
      <c r="A816" s="377"/>
      <c r="B816" s="377"/>
      <c r="C816" s="377"/>
      <c r="D816" s="457"/>
      <c r="E816" s="458"/>
      <c r="F816" s="458"/>
      <c r="G816" s="458"/>
      <c r="H816" s="458"/>
      <c r="I816" s="459"/>
      <c r="J816" s="377"/>
      <c r="K816" s="377"/>
      <c r="L816" s="460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  <c r="Z816" s="377"/>
      <c r="AA816" s="377"/>
      <c r="AB816" s="377"/>
    </row>
    <row r="817">
      <c r="A817" s="377"/>
      <c r="B817" s="377"/>
      <c r="C817" s="377"/>
      <c r="D817" s="457"/>
      <c r="E817" s="458"/>
      <c r="F817" s="458"/>
      <c r="G817" s="458"/>
      <c r="H817" s="458"/>
      <c r="I817" s="459"/>
      <c r="J817" s="377"/>
      <c r="K817" s="377"/>
      <c r="L817" s="460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  <c r="Z817" s="377"/>
      <c r="AA817" s="377"/>
      <c r="AB817" s="377"/>
    </row>
    <row r="818">
      <c r="A818" s="377"/>
      <c r="B818" s="377"/>
      <c r="C818" s="377"/>
      <c r="D818" s="457"/>
      <c r="E818" s="458"/>
      <c r="F818" s="458"/>
      <c r="G818" s="458"/>
      <c r="H818" s="458"/>
      <c r="I818" s="459"/>
      <c r="J818" s="377"/>
      <c r="K818" s="377"/>
      <c r="L818" s="460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  <c r="Z818" s="377"/>
      <c r="AA818" s="377"/>
      <c r="AB818" s="377"/>
    </row>
    <row r="819">
      <c r="A819" s="377"/>
      <c r="B819" s="377"/>
      <c r="C819" s="377"/>
      <c r="D819" s="457"/>
      <c r="E819" s="458"/>
      <c r="F819" s="458"/>
      <c r="G819" s="458"/>
      <c r="H819" s="458"/>
      <c r="I819" s="459"/>
      <c r="J819" s="377"/>
      <c r="K819" s="377"/>
      <c r="L819" s="460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  <c r="Z819" s="377"/>
      <c r="AA819" s="377"/>
      <c r="AB819" s="377"/>
    </row>
    <row r="820">
      <c r="A820" s="377"/>
      <c r="B820" s="377"/>
      <c r="C820" s="377"/>
      <c r="D820" s="457"/>
      <c r="E820" s="458"/>
      <c r="F820" s="458"/>
      <c r="G820" s="458"/>
      <c r="H820" s="458"/>
      <c r="I820" s="459"/>
      <c r="J820" s="377"/>
      <c r="K820" s="377"/>
      <c r="L820" s="460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  <c r="Z820" s="377"/>
      <c r="AA820" s="377"/>
      <c r="AB820" s="377"/>
    </row>
    <row r="821">
      <c r="A821" s="377"/>
      <c r="B821" s="377"/>
      <c r="C821" s="377"/>
      <c r="D821" s="457"/>
      <c r="E821" s="458"/>
      <c r="F821" s="458"/>
      <c r="G821" s="458"/>
      <c r="H821" s="458"/>
      <c r="I821" s="459"/>
      <c r="J821" s="377"/>
      <c r="K821" s="377"/>
      <c r="L821" s="460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  <c r="Z821" s="377"/>
      <c r="AA821" s="377"/>
      <c r="AB821" s="377"/>
    </row>
    <row r="822">
      <c r="A822" s="377"/>
      <c r="B822" s="377"/>
      <c r="C822" s="377"/>
      <c r="D822" s="457"/>
      <c r="E822" s="458"/>
      <c r="F822" s="458"/>
      <c r="G822" s="458"/>
      <c r="H822" s="458"/>
      <c r="I822" s="459"/>
      <c r="J822" s="377"/>
      <c r="K822" s="377"/>
      <c r="L822" s="460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  <c r="Z822" s="377"/>
      <c r="AA822" s="377"/>
      <c r="AB822" s="377"/>
    </row>
    <row r="823">
      <c r="A823" s="377"/>
      <c r="B823" s="377"/>
      <c r="C823" s="377"/>
      <c r="D823" s="457"/>
      <c r="E823" s="458"/>
      <c r="F823" s="458"/>
      <c r="G823" s="458"/>
      <c r="H823" s="458"/>
      <c r="I823" s="459"/>
      <c r="J823" s="377"/>
      <c r="K823" s="377"/>
      <c r="L823" s="460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  <c r="Z823" s="377"/>
      <c r="AA823" s="377"/>
      <c r="AB823" s="377"/>
    </row>
    <row r="824">
      <c r="A824" s="377"/>
      <c r="B824" s="377"/>
      <c r="C824" s="377"/>
      <c r="D824" s="457"/>
      <c r="E824" s="458"/>
      <c r="F824" s="458"/>
      <c r="G824" s="458"/>
      <c r="H824" s="458"/>
      <c r="I824" s="459"/>
      <c r="J824" s="377"/>
      <c r="K824" s="377"/>
      <c r="L824" s="460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  <c r="Z824" s="377"/>
      <c r="AA824" s="377"/>
      <c r="AB824" s="377"/>
    </row>
    <row r="825">
      <c r="A825" s="377"/>
      <c r="B825" s="377"/>
      <c r="C825" s="377"/>
      <c r="D825" s="457"/>
      <c r="E825" s="458"/>
      <c r="F825" s="458"/>
      <c r="G825" s="458"/>
      <c r="H825" s="458"/>
      <c r="I825" s="459"/>
      <c r="J825" s="377"/>
      <c r="K825" s="377"/>
      <c r="L825" s="460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  <c r="Z825" s="377"/>
      <c r="AA825" s="377"/>
      <c r="AB825" s="377"/>
    </row>
    <row r="826">
      <c r="A826" s="377"/>
      <c r="B826" s="377"/>
      <c r="C826" s="377"/>
      <c r="D826" s="457"/>
      <c r="E826" s="458"/>
      <c r="F826" s="458"/>
      <c r="G826" s="458"/>
      <c r="H826" s="458"/>
      <c r="I826" s="459"/>
      <c r="J826" s="377"/>
      <c r="K826" s="377"/>
      <c r="L826" s="460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  <c r="Z826" s="377"/>
      <c r="AA826" s="377"/>
      <c r="AB826" s="377"/>
    </row>
    <row r="827">
      <c r="A827" s="377"/>
      <c r="B827" s="377"/>
      <c r="C827" s="377"/>
      <c r="D827" s="457"/>
      <c r="E827" s="458"/>
      <c r="F827" s="458"/>
      <c r="G827" s="458"/>
      <c r="H827" s="458"/>
      <c r="I827" s="459"/>
      <c r="J827" s="377"/>
      <c r="K827" s="377"/>
      <c r="L827" s="460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  <c r="Z827" s="377"/>
      <c r="AA827" s="377"/>
      <c r="AB827" s="377"/>
    </row>
    <row r="828">
      <c r="A828" s="377"/>
      <c r="B828" s="377"/>
      <c r="C828" s="377"/>
      <c r="D828" s="457"/>
      <c r="E828" s="458"/>
      <c r="F828" s="458"/>
      <c r="G828" s="458"/>
      <c r="H828" s="458"/>
      <c r="I828" s="459"/>
      <c r="J828" s="377"/>
      <c r="K828" s="377"/>
      <c r="L828" s="460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  <c r="Z828" s="377"/>
      <c r="AA828" s="377"/>
      <c r="AB828" s="377"/>
    </row>
    <row r="829">
      <c r="A829" s="377"/>
      <c r="B829" s="377"/>
      <c r="C829" s="377"/>
      <c r="D829" s="457"/>
      <c r="E829" s="458"/>
      <c r="F829" s="458"/>
      <c r="G829" s="458"/>
      <c r="H829" s="458"/>
      <c r="I829" s="459"/>
      <c r="J829" s="377"/>
      <c r="K829" s="377"/>
      <c r="L829" s="460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  <c r="Z829" s="377"/>
      <c r="AA829" s="377"/>
      <c r="AB829" s="377"/>
    </row>
    <row r="830">
      <c r="A830" s="377"/>
      <c r="B830" s="377"/>
      <c r="C830" s="377"/>
      <c r="D830" s="457"/>
      <c r="E830" s="458"/>
      <c r="F830" s="458"/>
      <c r="G830" s="458"/>
      <c r="H830" s="458"/>
      <c r="I830" s="459"/>
      <c r="J830" s="377"/>
      <c r="K830" s="377"/>
      <c r="L830" s="460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  <c r="Z830" s="377"/>
      <c r="AA830" s="377"/>
      <c r="AB830" s="377"/>
    </row>
    <row r="831">
      <c r="A831" s="377"/>
      <c r="B831" s="377"/>
      <c r="C831" s="377"/>
      <c r="D831" s="457"/>
      <c r="E831" s="458"/>
      <c r="F831" s="458"/>
      <c r="G831" s="458"/>
      <c r="H831" s="458"/>
      <c r="I831" s="459"/>
      <c r="J831" s="377"/>
      <c r="K831" s="377"/>
      <c r="L831" s="460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  <c r="Z831" s="377"/>
      <c r="AA831" s="377"/>
      <c r="AB831" s="377"/>
    </row>
    <row r="832">
      <c r="A832" s="377"/>
      <c r="B832" s="377"/>
      <c r="C832" s="377"/>
      <c r="D832" s="457"/>
      <c r="E832" s="458"/>
      <c r="F832" s="458"/>
      <c r="G832" s="458"/>
      <c r="H832" s="458"/>
      <c r="I832" s="459"/>
      <c r="J832" s="377"/>
      <c r="K832" s="377"/>
      <c r="L832" s="460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  <c r="Z832" s="377"/>
      <c r="AA832" s="377"/>
      <c r="AB832" s="377"/>
    </row>
    <row r="833">
      <c r="A833" s="377"/>
      <c r="B833" s="377"/>
      <c r="C833" s="377"/>
      <c r="D833" s="457"/>
      <c r="E833" s="458"/>
      <c r="F833" s="458"/>
      <c r="G833" s="458"/>
      <c r="H833" s="458"/>
      <c r="I833" s="459"/>
      <c r="J833" s="377"/>
      <c r="K833" s="377"/>
      <c r="L833" s="460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  <c r="Z833" s="377"/>
      <c r="AA833" s="377"/>
      <c r="AB833" s="377"/>
    </row>
    <row r="834">
      <c r="A834" s="377"/>
      <c r="B834" s="377"/>
      <c r="C834" s="377"/>
      <c r="D834" s="457"/>
      <c r="E834" s="458"/>
      <c r="F834" s="458"/>
      <c r="G834" s="458"/>
      <c r="H834" s="458"/>
      <c r="I834" s="459"/>
      <c r="J834" s="377"/>
      <c r="K834" s="377"/>
      <c r="L834" s="460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  <c r="Z834" s="377"/>
      <c r="AA834" s="377"/>
      <c r="AB834" s="377"/>
    </row>
    <row r="835">
      <c r="A835" s="377"/>
      <c r="B835" s="377"/>
      <c r="C835" s="377"/>
      <c r="D835" s="457"/>
      <c r="E835" s="458"/>
      <c r="F835" s="458"/>
      <c r="G835" s="458"/>
      <c r="H835" s="458"/>
      <c r="I835" s="459"/>
      <c r="J835" s="377"/>
      <c r="K835" s="377"/>
      <c r="L835" s="460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  <c r="Z835" s="377"/>
      <c r="AA835" s="377"/>
      <c r="AB835" s="377"/>
    </row>
    <row r="836">
      <c r="A836" s="377"/>
      <c r="B836" s="377"/>
      <c r="C836" s="377"/>
      <c r="D836" s="457"/>
      <c r="E836" s="458"/>
      <c r="F836" s="458"/>
      <c r="G836" s="458"/>
      <c r="H836" s="458"/>
      <c r="I836" s="459"/>
      <c r="J836" s="377"/>
      <c r="K836" s="377"/>
      <c r="L836" s="460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  <c r="Z836" s="377"/>
      <c r="AA836" s="377"/>
      <c r="AB836" s="377"/>
    </row>
    <row r="837">
      <c r="A837" s="377"/>
      <c r="B837" s="377"/>
      <c r="C837" s="377"/>
      <c r="D837" s="457"/>
      <c r="E837" s="458"/>
      <c r="F837" s="458"/>
      <c r="G837" s="458"/>
      <c r="H837" s="458"/>
      <c r="I837" s="459"/>
      <c r="J837" s="377"/>
      <c r="K837" s="377"/>
      <c r="L837" s="460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  <c r="Z837" s="377"/>
      <c r="AA837" s="377"/>
      <c r="AB837" s="377"/>
    </row>
    <row r="838">
      <c r="A838" s="377"/>
      <c r="B838" s="377"/>
      <c r="C838" s="377"/>
      <c r="D838" s="457"/>
      <c r="E838" s="458"/>
      <c r="F838" s="458"/>
      <c r="G838" s="458"/>
      <c r="H838" s="458"/>
      <c r="I838" s="459"/>
      <c r="J838" s="377"/>
      <c r="K838" s="377"/>
      <c r="L838" s="460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  <c r="Z838" s="377"/>
      <c r="AA838" s="377"/>
      <c r="AB838" s="377"/>
    </row>
    <row r="839">
      <c r="A839" s="377"/>
      <c r="B839" s="377"/>
      <c r="C839" s="377"/>
      <c r="D839" s="457"/>
      <c r="E839" s="458"/>
      <c r="F839" s="458"/>
      <c r="G839" s="458"/>
      <c r="H839" s="458"/>
      <c r="I839" s="459"/>
      <c r="J839" s="377"/>
      <c r="K839" s="377"/>
      <c r="L839" s="460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  <c r="Z839" s="377"/>
      <c r="AA839" s="377"/>
      <c r="AB839" s="377"/>
    </row>
    <row r="840">
      <c r="A840" s="377"/>
      <c r="B840" s="377"/>
      <c r="C840" s="377"/>
      <c r="D840" s="457"/>
      <c r="E840" s="458"/>
      <c r="F840" s="458"/>
      <c r="G840" s="458"/>
      <c r="H840" s="458"/>
      <c r="I840" s="459"/>
      <c r="J840" s="377"/>
      <c r="K840" s="377"/>
      <c r="L840" s="460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  <c r="Z840" s="377"/>
      <c r="AA840" s="377"/>
      <c r="AB840" s="377"/>
    </row>
    <row r="841">
      <c r="A841" s="377"/>
      <c r="B841" s="377"/>
      <c r="C841" s="377"/>
      <c r="D841" s="457"/>
      <c r="E841" s="458"/>
      <c r="F841" s="458"/>
      <c r="G841" s="458"/>
      <c r="H841" s="458"/>
      <c r="I841" s="459"/>
      <c r="J841" s="377"/>
      <c r="K841" s="377"/>
      <c r="L841" s="460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  <c r="Z841" s="377"/>
      <c r="AA841" s="377"/>
      <c r="AB841" s="377"/>
    </row>
    <row r="842">
      <c r="A842" s="377"/>
      <c r="B842" s="377"/>
      <c r="C842" s="377"/>
      <c r="D842" s="457"/>
      <c r="E842" s="458"/>
      <c r="F842" s="458"/>
      <c r="G842" s="458"/>
      <c r="H842" s="458"/>
      <c r="I842" s="459"/>
      <c r="J842" s="377"/>
      <c r="K842" s="377"/>
      <c r="L842" s="460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  <c r="Z842" s="377"/>
      <c r="AA842" s="377"/>
      <c r="AB842" s="377"/>
    </row>
    <row r="843">
      <c r="A843" s="377"/>
      <c r="B843" s="377"/>
      <c r="C843" s="377"/>
      <c r="D843" s="457"/>
      <c r="E843" s="458"/>
      <c r="F843" s="458"/>
      <c r="G843" s="458"/>
      <c r="H843" s="458"/>
      <c r="I843" s="459"/>
      <c r="J843" s="377"/>
      <c r="K843" s="377"/>
      <c r="L843" s="460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  <c r="Z843" s="377"/>
      <c r="AA843" s="377"/>
      <c r="AB843" s="377"/>
    </row>
    <row r="844">
      <c r="A844" s="377"/>
      <c r="B844" s="377"/>
      <c r="C844" s="377"/>
      <c r="D844" s="457"/>
      <c r="E844" s="458"/>
      <c r="F844" s="458"/>
      <c r="G844" s="458"/>
      <c r="H844" s="458"/>
      <c r="I844" s="459"/>
      <c r="J844" s="377"/>
      <c r="K844" s="377"/>
      <c r="L844" s="460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  <c r="Z844" s="377"/>
      <c r="AA844" s="377"/>
      <c r="AB844" s="377"/>
    </row>
    <row r="845">
      <c r="A845" s="377"/>
      <c r="B845" s="377"/>
      <c r="C845" s="377"/>
      <c r="D845" s="457"/>
      <c r="E845" s="458"/>
      <c r="F845" s="458"/>
      <c r="G845" s="458"/>
      <c r="H845" s="458"/>
      <c r="I845" s="459"/>
      <c r="J845" s="377"/>
      <c r="K845" s="377"/>
      <c r="L845" s="460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  <c r="Z845" s="377"/>
      <c r="AA845" s="377"/>
      <c r="AB845" s="377"/>
    </row>
    <row r="846">
      <c r="A846" s="377"/>
      <c r="B846" s="377"/>
      <c r="C846" s="377"/>
      <c r="D846" s="457"/>
      <c r="E846" s="458"/>
      <c r="F846" s="458"/>
      <c r="G846" s="458"/>
      <c r="H846" s="458"/>
      <c r="I846" s="459"/>
      <c r="J846" s="377"/>
      <c r="K846" s="377"/>
      <c r="L846" s="460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  <c r="Z846" s="377"/>
      <c r="AA846" s="377"/>
      <c r="AB846" s="377"/>
    </row>
    <row r="847">
      <c r="A847" s="377"/>
      <c r="B847" s="377"/>
      <c r="C847" s="377"/>
      <c r="D847" s="457"/>
      <c r="E847" s="458"/>
      <c r="F847" s="458"/>
      <c r="G847" s="458"/>
      <c r="H847" s="458"/>
      <c r="I847" s="459"/>
      <c r="J847" s="377"/>
      <c r="K847" s="377"/>
      <c r="L847" s="460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  <c r="Z847" s="377"/>
      <c r="AA847" s="377"/>
      <c r="AB847" s="377"/>
    </row>
    <row r="848">
      <c r="A848" s="377"/>
      <c r="B848" s="377"/>
      <c r="C848" s="377"/>
      <c r="D848" s="457"/>
      <c r="E848" s="458"/>
      <c r="F848" s="458"/>
      <c r="G848" s="458"/>
      <c r="H848" s="458"/>
      <c r="I848" s="459"/>
      <c r="J848" s="377"/>
      <c r="K848" s="377"/>
      <c r="L848" s="460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  <c r="Z848" s="377"/>
      <c r="AA848" s="377"/>
      <c r="AB848" s="377"/>
    </row>
    <row r="849">
      <c r="A849" s="377"/>
      <c r="B849" s="377"/>
      <c r="C849" s="377"/>
      <c r="D849" s="457"/>
      <c r="E849" s="458"/>
      <c r="F849" s="458"/>
      <c r="G849" s="458"/>
      <c r="H849" s="458"/>
      <c r="I849" s="459"/>
      <c r="J849" s="377"/>
      <c r="K849" s="377"/>
      <c r="L849" s="460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  <c r="Z849" s="377"/>
      <c r="AA849" s="377"/>
      <c r="AB849" s="377"/>
    </row>
    <row r="850">
      <c r="A850" s="377"/>
      <c r="B850" s="377"/>
      <c r="C850" s="377"/>
      <c r="D850" s="457"/>
      <c r="E850" s="458"/>
      <c r="F850" s="458"/>
      <c r="G850" s="458"/>
      <c r="H850" s="458"/>
      <c r="I850" s="459"/>
      <c r="J850" s="377"/>
      <c r="K850" s="377"/>
      <c r="L850" s="460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  <c r="Z850" s="377"/>
      <c r="AA850" s="377"/>
      <c r="AB850" s="377"/>
    </row>
    <row r="851">
      <c r="A851" s="377"/>
      <c r="B851" s="377"/>
      <c r="C851" s="377"/>
      <c r="D851" s="457"/>
      <c r="E851" s="458"/>
      <c r="F851" s="458"/>
      <c r="G851" s="458"/>
      <c r="H851" s="458"/>
      <c r="I851" s="459"/>
      <c r="J851" s="377"/>
      <c r="K851" s="377"/>
      <c r="L851" s="460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  <c r="Z851" s="377"/>
      <c r="AA851" s="377"/>
      <c r="AB851" s="377"/>
    </row>
    <row r="852">
      <c r="A852" s="377"/>
      <c r="B852" s="377"/>
      <c r="C852" s="377"/>
      <c r="D852" s="457"/>
      <c r="E852" s="458"/>
      <c r="F852" s="458"/>
      <c r="G852" s="458"/>
      <c r="H852" s="458"/>
      <c r="I852" s="459"/>
      <c r="J852" s="377"/>
      <c r="K852" s="377"/>
      <c r="L852" s="460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  <c r="Z852" s="377"/>
      <c r="AA852" s="377"/>
      <c r="AB852" s="377"/>
    </row>
    <row r="853">
      <c r="A853" s="377"/>
      <c r="B853" s="377"/>
      <c r="C853" s="377"/>
      <c r="D853" s="457"/>
      <c r="E853" s="458"/>
      <c r="F853" s="458"/>
      <c r="G853" s="458"/>
      <c r="H853" s="458"/>
      <c r="I853" s="459"/>
      <c r="J853" s="377"/>
      <c r="K853" s="377"/>
      <c r="L853" s="460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  <c r="Z853" s="377"/>
      <c r="AA853" s="377"/>
      <c r="AB853" s="377"/>
    </row>
    <row r="854">
      <c r="A854" s="377"/>
      <c r="B854" s="377"/>
      <c r="C854" s="377"/>
      <c r="D854" s="457"/>
      <c r="E854" s="458"/>
      <c r="F854" s="458"/>
      <c r="G854" s="458"/>
      <c r="H854" s="458"/>
      <c r="I854" s="459"/>
      <c r="J854" s="377"/>
      <c r="K854" s="377"/>
      <c r="L854" s="460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  <c r="Z854" s="377"/>
      <c r="AA854" s="377"/>
      <c r="AB854" s="377"/>
    </row>
    <row r="855">
      <c r="A855" s="377"/>
      <c r="B855" s="377"/>
      <c r="C855" s="377"/>
      <c r="D855" s="457"/>
      <c r="E855" s="458"/>
      <c r="F855" s="458"/>
      <c r="G855" s="458"/>
      <c r="H855" s="458"/>
      <c r="I855" s="459"/>
      <c r="J855" s="377"/>
      <c r="K855" s="377"/>
      <c r="L855" s="460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  <c r="Z855" s="377"/>
      <c r="AA855" s="377"/>
      <c r="AB855" s="377"/>
    </row>
    <row r="856">
      <c r="A856" s="377"/>
      <c r="B856" s="377"/>
      <c r="C856" s="377"/>
      <c r="D856" s="457"/>
      <c r="E856" s="458"/>
      <c r="F856" s="458"/>
      <c r="G856" s="458"/>
      <c r="H856" s="458"/>
      <c r="I856" s="459"/>
      <c r="J856" s="377"/>
      <c r="K856" s="377"/>
      <c r="L856" s="460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  <c r="Z856" s="377"/>
      <c r="AA856" s="377"/>
      <c r="AB856" s="377"/>
    </row>
    <row r="857">
      <c r="A857" s="377"/>
      <c r="B857" s="377"/>
      <c r="C857" s="377"/>
      <c r="D857" s="457"/>
      <c r="E857" s="458"/>
      <c r="F857" s="458"/>
      <c r="G857" s="458"/>
      <c r="H857" s="458"/>
      <c r="I857" s="459"/>
      <c r="J857" s="377"/>
      <c r="K857" s="377"/>
      <c r="L857" s="460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  <c r="Z857" s="377"/>
      <c r="AA857" s="377"/>
      <c r="AB857" s="377"/>
    </row>
    <row r="858">
      <c r="A858" s="377"/>
      <c r="B858" s="377"/>
      <c r="C858" s="377"/>
      <c r="D858" s="457"/>
      <c r="E858" s="458"/>
      <c r="F858" s="458"/>
      <c r="G858" s="458"/>
      <c r="H858" s="458"/>
      <c r="I858" s="459"/>
      <c r="J858" s="377"/>
      <c r="K858" s="377"/>
      <c r="L858" s="460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  <c r="Z858" s="377"/>
      <c r="AA858" s="377"/>
      <c r="AB858" s="377"/>
    </row>
    <row r="859">
      <c r="A859" s="377"/>
      <c r="B859" s="377"/>
      <c r="C859" s="377"/>
      <c r="D859" s="457"/>
      <c r="E859" s="458"/>
      <c r="F859" s="458"/>
      <c r="G859" s="458"/>
      <c r="H859" s="458"/>
      <c r="I859" s="459"/>
      <c r="J859" s="377"/>
      <c r="K859" s="377"/>
      <c r="L859" s="460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  <c r="Z859" s="377"/>
      <c r="AA859" s="377"/>
      <c r="AB859" s="377"/>
    </row>
    <row r="860">
      <c r="A860" s="377"/>
      <c r="B860" s="377"/>
      <c r="C860" s="377"/>
      <c r="D860" s="457"/>
      <c r="E860" s="458"/>
      <c r="F860" s="458"/>
      <c r="G860" s="458"/>
      <c r="H860" s="458"/>
      <c r="I860" s="459"/>
      <c r="J860" s="377"/>
      <c r="K860" s="377"/>
      <c r="L860" s="460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  <c r="Z860" s="377"/>
      <c r="AA860" s="377"/>
      <c r="AB860" s="377"/>
    </row>
    <row r="861">
      <c r="A861" s="377"/>
      <c r="B861" s="377"/>
      <c r="C861" s="377"/>
      <c r="D861" s="457"/>
      <c r="E861" s="458"/>
      <c r="F861" s="458"/>
      <c r="G861" s="458"/>
      <c r="H861" s="458"/>
      <c r="I861" s="459"/>
      <c r="J861" s="377"/>
      <c r="K861" s="377"/>
      <c r="L861" s="460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  <c r="Z861" s="377"/>
      <c r="AA861" s="377"/>
      <c r="AB861" s="377"/>
    </row>
    <row r="862">
      <c r="A862" s="377"/>
      <c r="B862" s="377"/>
      <c r="C862" s="377"/>
      <c r="D862" s="457"/>
      <c r="E862" s="458"/>
      <c r="F862" s="458"/>
      <c r="G862" s="458"/>
      <c r="H862" s="458"/>
      <c r="I862" s="459"/>
      <c r="J862" s="377"/>
      <c r="K862" s="377"/>
      <c r="L862" s="460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  <c r="Z862" s="377"/>
      <c r="AA862" s="377"/>
      <c r="AB862" s="377"/>
    </row>
    <row r="863">
      <c r="A863" s="377"/>
      <c r="B863" s="377"/>
      <c r="C863" s="377"/>
      <c r="D863" s="457"/>
      <c r="E863" s="458"/>
      <c r="F863" s="458"/>
      <c r="G863" s="458"/>
      <c r="H863" s="458"/>
      <c r="I863" s="459"/>
      <c r="J863" s="377"/>
      <c r="K863" s="377"/>
      <c r="L863" s="460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  <c r="Z863" s="377"/>
      <c r="AA863" s="377"/>
      <c r="AB863" s="377"/>
    </row>
    <row r="864">
      <c r="A864" s="377"/>
      <c r="B864" s="377"/>
      <c r="C864" s="377"/>
      <c r="D864" s="457"/>
      <c r="E864" s="458"/>
      <c r="F864" s="458"/>
      <c r="G864" s="458"/>
      <c r="H864" s="458"/>
      <c r="I864" s="459"/>
      <c r="J864" s="377"/>
      <c r="K864" s="377"/>
      <c r="L864" s="460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  <c r="Z864" s="377"/>
      <c r="AA864" s="377"/>
      <c r="AB864" s="377"/>
    </row>
    <row r="865">
      <c r="A865" s="377"/>
      <c r="B865" s="377"/>
      <c r="C865" s="377"/>
      <c r="D865" s="457"/>
      <c r="E865" s="458"/>
      <c r="F865" s="458"/>
      <c r="G865" s="458"/>
      <c r="H865" s="458"/>
      <c r="I865" s="459"/>
      <c r="J865" s="377"/>
      <c r="K865" s="377"/>
      <c r="L865" s="460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  <c r="Z865" s="377"/>
      <c r="AA865" s="377"/>
      <c r="AB865" s="377"/>
    </row>
    <row r="866">
      <c r="A866" s="377"/>
      <c r="B866" s="377"/>
      <c r="C866" s="377"/>
      <c r="D866" s="457"/>
      <c r="E866" s="458"/>
      <c r="F866" s="458"/>
      <c r="G866" s="458"/>
      <c r="H866" s="458"/>
      <c r="I866" s="459"/>
      <c r="J866" s="377"/>
      <c r="K866" s="377"/>
      <c r="L866" s="460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  <c r="Z866" s="377"/>
      <c r="AA866" s="377"/>
      <c r="AB866" s="377"/>
    </row>
    <row r="867">
      <c r="A867" s="377"/>
      <c r="B867" s="377"/>
      <c r="C867" s="377"/>
      <c r="D867" s="457"/>
      <c r="E867" s="458"/>
      <c r="F867" s="458"/>
      <c r="G867" s="458"/>
      <c r="H867" s="458"/>
      <c r="I867" s="459"/>
      <c r="J867" s="377"/>
      <c r="K867" s="377"/>
      <c r="L867" s="460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  <c r="Z867" s="377"/>
      <c r="AA867" s="377"/>
      <c r="AB867" s="377"/>
    </row>
    <row r="868">
      <c r="A868" s="377"/>
      <c r="B868" s="377"/>
      <c r="C868" s="377"/>
      <c r="D868" s="457"/>
      <c r="E868" s="458"/>
      <c r="F868" s="458"/>
      <c r="G868" s="458"/>
      <c r="H868" s="458"/>
      <c r="I868" s="459"/>
      <c r="J868" s="377"/>
      <c r="K868" s="377"/>
      <c r="L868" s="460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  <c r="Z868" s="377"/>
      <c r="AA868" s="377"/>
      <c r="AB868" s="377"/>
    </row>
    <row r="869">
      <c r="A869" s="377"/>
      <c r="B869" s="377"/>
      <c r="C869" s="377"/>
      <c r="D869" s="457"/>
      <c r="E869" s="458"/>
      <c r="F869" s="458"/>
      <c r="G869" s="458"/>
      <c r="H869" s="458"/>
      <c r="I869" s="459"/>
      <c r="J869" s="377"/>
      <c r="K869" s="377"/>
      <c r="L869" s="460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  <c r="Z869" s="377"/>
      <c r="AA869" s="377"/>
      <c r="AB869" s="377"/>
    </row>
    <row r="870">
      <c r="A870" s="377"/>
      <c r="B870" s="377"/>
      <c r="C870" s="377"/>
      <c r="D870" s="457"/>
      <c r="E870" s="458"/>
      <c r="F870" s="458"/>
      <c r="G870" s="458"/>
      <c r="H870" s="458"/>
      <c r="I870" s="459"/>
      <c r="J870" s="377"/>
      <c r="K870" s="377"/>
      <c r="L870" s="460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  <c r="Z870" s="377"/>
      <c r="AA870" s="377"/>
      <c r="AB870" s="377"/>
    </row>
    <row r="871">
      <c r="A871" s="377"/>
      <c r="B871" s="377"/>
      <c r="C871" s="377"/>
      <c r="D871" s="457"/>
      <c r="E871" s="458"/>
      <c r="F871" s="458"/>
      <c r="G871" s="458"/>
      <c r="H871" s="458"/>
      <c r="I871" s="459"/>
      <c r="J871" s="377"/>
      <c r="K871" s="377"/>
      <c r="L871" s="460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  <c r="Z871" s="377"/>
      <c r="AA871" s="377"/>
      <c r="AB871" s="377"/>
    </row>
    <row r="872">
      <c r="A872" s="377"/>
      <c r="B872" s="377"/>
      <c r="C872" s="377"/>
      <c r="D872" s="457"/>
      <c r="E872" s="458"/>
      <c r="F872" s="458"/>
      <c r="G872" s="458"/>
      <c r="H872" s="458"/>
      <c r="I872" s="459"/>
      <c r="J872" s="377"/>
      <c r="K872" s="377"/>
      <c r="L872" s="460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  <c r="Z872" s="377"/>
      <c r="AA872" s="377"/>
      <c r="AB872" s="377"/>
    </row>
    <row r="873">
      <c r="A873" s="377"/>
      <c r="B873" s="377"/>
      <c r="C873" s="377"/>
      <c r="D873" s="457"/>
      <c r="E873" s="458"/>
      <c r="F873" s="458"/>
      <c r="G873" s="458"/>
      <c r="H873" s="458"/>
      <c r="I873" s="459"/>
      <c r="J873" s="377"/>
      <c r="K873" s="377"/>
      <c r="L873" s="460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  <c r="Z873" s="377"/>
      <c r="AA873" s="377"/>
      <c r="AB873" s="377"/>
    </row>
    <row r="874">
      <c r="A874" s="377"/>
      <c r="B874" s="377"/>
      <c r="C874" s="377"/>
      <c r="D874" s="457"/>
      <c r="E874" s="458"/>
      <c r="F874" s="458"/>
      <c r="G874" s="458"/>
      <c r="H874" s="458"/>
      <c r="I874" s="459"/>
      <c r="J874" s="377"/>
      <c r="K874" s="377"/>
      <c r="L874" s="460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  <c r="Z874" s="377"/>
      <c r="AA874" s="377"/>
      <c r="AB874" s="377"/>
    </row>
    <row r="875">
      <c r="A875" s="377"/>
      <c r="B875" s="377"/>
      <c r="C875" s="377"/>
      <c r="D875" s="457"/>
      <c r="E875" s="458"/>
      <c r="F875" s="458"/>
      <c r="G875" s="458"/>
      <c r="H875" s="458"/>
      <c r="I875" s="459"/>
      <c r="J875" s="377"/>
      <c r="K875" s="377"/>
      <c r="L875" s="460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  <c r="Z875" s="377"/>
      <c r="AA875" s="377"/>
      <c r="AB875" s="377"/>
    </row>
    <row r="876">
      <c r="A876" s="377"/>
      <c r="B876" s="377"/>
      <c r="C876" s="377"/>
      <c r="D876" s="457"/>
      <c r="E876" s="458"/>
      <c r="F876" s="458"/>
      <c r="G876" s="458"/>
      <c r="H876" s="458"/>
      <c r="I876" s="459"/>
      <c r="J876" s="377"/>
      <c r="K876" s="377"/>
      <c r="L876" s="460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  <c r="Z876" s="377"/>
      <c r="AA876" s="377"/>
      <c r="AB876" s="377"/>
    </row>
    <row r="877">
      <c r="A877" s="377"/>
      <c r="B877" s="377"/>
      <c r="C877" s="377"/>
      <c r="D877" s="457"/>
      <c r="E877" s="458"/>
      <c r="F877" s="458"/>
      <c r="G877" s="458"/>
      <c r="H877" s="458"/>
      <c r="I877" s="459"/>
      <c r="J877" s="377"/>
      <c r="K877" s="377"/>
      <c r="L877" s="460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  <c r="Z877" s="377"/>
      <c r="AA877" s="377"/>
      <c r="AB877" s="377"/>
    </row>
    <row r="878">
      <c r="A878" s="377"/>
      <c r="B878" s="377"/>
      <c r="C878" s="377"/>
      <c r="D878" s="457"/>
      <c r="E878" s="458"/>
      <c r="F878" s="458"/>
      <c r="G878" s="458"/>
      <c r="H878" s="458"/>
      <c r="I878" s="459"/>
      <c r="J878" s="377"/>
      <c r="K878" s="377"/>
      <c r="L878" s="460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  <c r="Z878" s="377"/>
      <c r="AA878" s="377"/>
      <c r="AB878" s="377"/>
    </row>
    <row r="879">
      <c r="A879" s="377"/>
      <c r="B879" s="377"/>
      <c r="C879" s="377"/>
      <c r="D879" s="457"/>
      <c r="E879" s="458"/>
      <c r="F879" s="458"/>
      <c r="G879" s="458"/>
      <c r="H879" s="458"/>
      <c r="I879" s="459"/>
      <c r="J879" s="377"/>
      <c r="K879" s="377"/>
      <c r="L879" s="460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  <c r="Z879" s="377"/>
      <c r="AA879" s="377"/>
      <c r="AB879" s="377"/>
    </row>
    <row r="880">
      <c r="A880" s="377"/>
      <c r="B880" s="377"/>
      <c r="C880" s="377"/>
      <c r="D880" s="457"/>
      <c r="E880" s="458"/>
      <c r="F880" s="458"/>
      <c r="G880" s="458"/>
      <c r="H880" s="458"/>
      <c r="I880" s="459"/>
      <c r="J880" s="377"/>
      <c r="K880" s="377"/>
      <c r="L880" s="460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  <c r="Z880" s="377"/>
      <c r="AA880" s="377"/>
      <c r="AB880" s="377"/>
    </row>
    <row r="881">
      <c r="A881" s="377"/>
      <c r="B881" s="377"/>
      <c r="C881" s="377"/>
      <c r="D881" s="457"/>
      <c r="E881" s="458"/>
      <c r="F881" s="458"/>
      <c r="G881" s="458"/>
      <c r="H881" s="458"/>
      <c r="I881" s="459"/>
      <c r="J881" s="377"/>
      <c r="K881" s="377"/>
      <c r="L881" s="460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  <c r="Z881" s="377"/>
      <c r="AA881" s="377"/>
      <c r="AB881" s="377"/>
    </row>
    <row r="882">
      <c r="A882" s="377"/>
      <c r="B882" s="377"/>
      <c r="C882" s="377"/>
      <c r="D882" s="457"/>
      <c r="E882" s="458"/>
      <c r="F882" s="458"/>
      <c r="G882" s="458"/>
      <c r="H882" s="458"/>
      <c r="I882" s="459"/>
      <c r="J882" s="377"/>
      <c r="K882" s="377"/>
      <c r="L882" s="460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  <c r="Z882" s="377"/>
      <c r="AA882" s="377"/>
      <c r="AB882" s="377"/>
    </row>
    <row r="883">
      <c r="A883" s="377"/>
      <c r="B883" s="377"/>
      <c r="C883" s="377"/>
      <c r="D883" s="457"/>
      <c r="E883" s="458"/>
      <c r="F883" s="458"/>
      <c r="G883" s="458"/>
      <c r="H883" s="458"/>
      <c r="I883" s="459"/>
      <c r="J883" s="377"/>
      <c r="K883" s="377"/>
      <c r="L883" s="460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  <c r="Z883" s="377"/>
      <c r="AA883" s="377"/>
      <c r="AB883" s="377"/>
    </row>
    <row r="884">
      <c r="A884" s="377"/>
      <c r="B884" s="377"/>
      <c r="C884" s="377"/>
      <c r="D884" s="457"/>
      <c r="E884" s="458"/>
      <c r="F884" s="458"/>
      <c r="G884" s="458"/>
      <c r="H884" s="458"/>
      <c r="I884" s="459"/>
      <c r="J884" s="377"/>
      <c r="K884" s="377"/>
      <c r="L884" s="460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  <c r="Z884" s="377"/>
      <c r="AA884" s="377"/>
      <c r="AB884" s="377"/>
    </row>
    <row r="885">
      <c r="A885" s="377"/>
      <c r="B885" s="377"/>
      <c r="C885" s="377"/>
      <c r="D885" s="457"/>
      <c r="E885" s="458"/>
      <c r="F885" s="458"/>
      <c r="G885" s="458"/>
      <c r="H885" s="458"/>
      <c r="I885" s="459"/>
      <c r="J885" s="377"/>
      <c r="K885" s="377"/>
      <c r="L885" s="460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  <c r="Z885" s="377"/>
      <c r="AA885" s="377"/>
      <c r="AB885" s="377"/>
    </row>
    <row r="886">
      <c r="A886" s="377"/>
      <c r="B886" s="377"/>
      <c r="C886" s="377"/>
      <c r="D886" s="457"/>
      <c r="E886" s="458"/>
      <c r="F886" s="458"/>
      <c r="G886" s="458"/>
      <c r="H886" s="458"/>
      <c r="I886" s="459"/>
      <c r="J886" s="377"/>
      <c r="K886" s="377"/>
      <c r="L886" s="460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  <c r="Z886" s="377"/>
      <c r="AA886" s="377"/>
      <c r="AB886" s="377"/>
    </row>
    <row r="887">
      <c r="A887" s="377"/>
      <c r="B887" s="377"/>
      <c r="C887" s="377"/>
      <c r="D887" s="457"/>
      <c r="E887" s="458"/>
      <c r="F887" s="458"/>
      <c r="G887" s="458"/>
      <c r="H887" s="458"/>
      <c r="I887" s="459"/>
      <c r="J887" s="377"/>
      <c r="K887" s="377"/>
      <c r="L887" s="460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  <c r="Z887" s="377"/>
      <c r="AA887" s="377"/>
      <c r="AB887" s="377"/>
    </row>
    <row r="888">
      <c r="A888" s="377"/>
      <c r="B888" s="377"/>
      <c r="C888" s="377"/>
      <c r="D888" s="457"/>
      <c r="E888" s="458"/>
      <c r="F888" s="458"/>
      <c r="G888" s="458"/>
      <c r="H888" s="458"/>
      <c r="I888" s="459"/>
      <c r="J888" s="377"/>
      <c r="K888" s="377"/>
      <c r="L888" s="460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  <c r="Z888" s="377"/>
      <c r="AA888" s="377"/>
      <c r="AB888" s="377"/>
    </row>
    <row r="889">
      <c r="A889" s="377"/>
      <c r="B889" s="377"/>
      <c r="C889" s="377"/>
      <c r="D889" s="457"/>
      <c r="E889" s="458"/>
      <c r="F889" s="458"/>
      <c r="G889" s="458"/>
      <c r="H889" s="458"/>
      <c r="I889" s="459"/>
      <c r="J889" s="377"/>
      <c r="K889" s="377"/>
      <c r="L889" s="460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  <c r="Z889" s="377"/>
      <c r="AA889" s="377"/>
      <c r="AB889" s="377"/>
    </row>
    <row r="890">
      <c r="A890" s="377"/>
      <c r="B890" s="377"/>
      <c r="C890" s="377"/>
      <c r="D890" s="457"/>
      <c r="E890" s="458"/>
      <c r="F890" s="458"/>
      <c r="G890" s="458"/>
      <c r="H890" s="458"/>
      <c r="I890" s="459"/>
      <c r="J890" s="377"/>
      <c r="K890" s="377"/>
      <c r="L890" s="460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  <c r="Z890" s="377"/>
      <c r="AA890" s="377"/>
      <c r="AB890" s="377"/>
    </row>
    <row r="891">
      <c r="A891" s="377"/>
      <c r="B891" s="377"/>
      <c r="C891" s="377"/>
      <c r="D891" s="457"/>
      <c r="E891" s="458"/>
      <c r="F891" s="458"/>
      <c r="G891" s="458"/>
      <c r="H891" s="458"/>
      <c r="I891" s="459"/>
      <c r="J891" s="377"/>
      <c r="K891" s="377"/>
      <c r="L891" s="460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  <c r="Z891" s="377"/>
      <c r="AA891" s="377"/>
      <c r="AB891" s="377"/>
    </row>
    <row r="892">
      <c r="A892" s="377"/>
      <c r="B892" s="377"/>
      <c r="C892" s="377"/>
      <c r="D892" s="457"/>
      <c r="E892" s="458"/>
      <c r="F892" s="458"/>
      <c r="G892" s="458"/>
      <c r="H892" s="458"/>
      <c r="I892" s="459"/>
      <c r="J892" s="377"/>
      <c r="K892" s="377"/>
      <c r="L892" s="460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  <c r="Z892" s="377"/>
      <c r="AA892" s="377"/>
      <c r="AB892" s="377"/>
    </row>
    <row r="893">
      <c r="A893" s="377"/>
      <c r="B893" s="377"/>
      <c r="C893" s="377"/>
      <c r="D893" s="457"/>
      <c r="E893" s="458"/>
      <c r="F893" s="458"/>
      <c r="G893" s="458"/>
      <c r="H893" s="458"/>
      <c r="I893" s="459"/>
      <c r="J893" s="377"/>
      <c r="K893" s="377"/>
      <c r="L893" s="460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  <c r="Z893" s="377"/>
      <c r="AA893" s="377"/>
      <c r="AB893" s="377"/>
    </row>
    <row r="894">
      <c r="A894" s="377"/>
      <c r="B894" s="377"/>
      <c r="C894" s="377"/>
      <c r="D894" s="457"/>
      <c r="E894" s="458"/>
      <c r="F894" s="458"/>
      <c r="G894" s="458"/>
      <c r="H894" s="458"/>
      <c r="I894" s="459"/>
      <c r="J894" s="377"/>
      <c r="K894" s="377"/>
      <c r="L894" s="460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  <c r="AA894" s="377"/>
      <c r="AB894" s="377"/>
    </row>
    <row r="895">
      <c r="A895" s="377"/>
      <c r="B895" s="377"/>
      <c r="C895" s="377"/>
      <c r="D895" s="457"/>
      <c r="E895" s="458"/>
      <c r="F895" s="458"/>
      <c r="G895" s="458"/>
      <c r="H895" s="458"/>
      <c r="I895" s="459"/>
      <c r="J895" s="377"/>
      <c r="K895" s="377"/>
      <c r="L895" s="460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  <c r="Z895" s="377"/>
      <c r="AA895" s="377"/>
      <c r="AB895" s="377"/>
    </row>
    <row r="896">
      <c r="A896" s="377"/>
      <c r="B896" s="377"/>
      <c r="C896" s="377"/>
      <c r="D896" s="457"/>
      <c r="E896" s="458"/>
      <c r="F896" s="458"/>
      <c r="G896" s="458"/>
      <c r="H896" s="458"/>
      <c r="I896" s="459"/>
      <c r="J896" s="377"/>
      <c r="K896" s="377"/>
      <c r="L896" s="460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  <c r="Z896" s="377"/>
      <c r="AA896" s="377"/>
      <c r="AB896" s="377"/>
    </row>
    <row r="897">
      <c r="A897" s="377"/>
      <c r="B897" s="377"/>
      <c r="C897" s="377"/>
      <c r="D897" s="457"/>
      <c r="E897" s="458"/>
      <c r="F897" s="458"/>
      <c r="G897" s="458"/>
      <c r="H897" s="458"/>
      <c r="I897" s="459"/>
      <c r="J897" s="377"/>
      <c r="K897" s="377"/>
      <c r="L897" s="460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  <c r="Z897" s="377"/>
      <c r="AA897" s="377"/>
      <c r="AB897" s="377"/>
    </row>
    <row r="898">
      <c r="A898" s="377"/>
      <c r="B898" s="377"/>
      <c r="C898" s="377"/>
      <c r="D898" s="457"/>
      <c r="E898" s="458"/>
      <c r="F898" s="458"/>
      <c r="G898" s="458"/>
      <c r="H898" s="458"/>
      <c r="I898" s="459"/>
      <c r="J898" s="377"/>
      <c r="K898" s="377"/>
      <c r="L898" s="460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  <c r="Z898" s="377"/>
      <c r="AA898" s="377"/>
      <c r="AB898" s="377"/>
    </row>
    <row r="899">
      <c r="A899" s="377"/>
      <c r="B899" s="377"/>
      <c r="C899" s="377"/>
      <c r="D899" s="457"/>
      <c r="E899" s="458"/>
      <c r="F899" s="458"/>
      <c r="G899" s="458"/>
      <c r="H899" s="458"/>
      <c r="I899" s="459"/>
      <c r="J899" s="377"/>
      <c r="K899" s="377"/>
      <c r="L899" s="460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  <c r="Z899" s="377"/>
      <c r="AA899" s="377"/>
      <c r="AB899" s="377"/>
    </row>
    <row r="900">
      <c r="A900" s="377"/>
      <c r="B900" s="377"/>
      <c r="C900" s="377"/>
      <c r="D900" s="457"/>
      <c r="E900" s="458"/>
      <c r="F900" s="458"/>
      <c r="G900" s="458"/>
      <c r="H900" s="458"/>
      <c r="I900" s="459"/>
      <c r="J900" s="377"/>
      <c r="K900" s="377"/>
      <c r="L900" s="460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  <c r="Z900" s="377"/>
      <c r="AA900" s="377"/>
      <c r="AB900" s="377"/>
    </row>
    <row r="901">
      <c r="A901" s="377"/>
      <c r="B901" s="377"/>
      <c r="C901" s="377"/>
      <c r="D901" s="457"/>
      <c r="E901" s="458"/>
      <c r="F901" s="458"/>
      <c r="G901" s="458"/>
      <c r="H901" s="458"/>
      <c r="I901" s="459"/>
      <c r="J901" s="377"/>
      <c r="K901" s="377"/>
      <c r="L901" s="460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  <c r="Z901" s="377"/>
      <c r="AA901" s="377"/>
      <c r="AB901" s="377"/>
    </row>
    <row r="902">
      <c r="A902" s="377"/>
      <c r="B902" s="377"/>
      <c r="C902" s="377"/>
      <c r="D902" s="457"/>
      <c r="E902" s="458"/>
      <c r="F902" s="458"/>
      <c r="G902" s="458"/>
      <c r="H902" s="458"/>
      <c r="I902" s="459"/>
      <c r="J902" s="377"/>
      <c r="K902" s="377"/>
      <c r="L902" s="460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  <c r="Z902" s="377"/>
      <c r="AA902" s="377"/>
      <c r="AB902" s="377"/>
    </row>
    <row r="903">
      <c r="A903" s="377"/>
      <c r="B903" s="377"/>
      <c r="C903" s="377"/>
      <c r="D903" s="457"/>
      <c r="E903" s="458"/>
      <c r="F903" s="458"/>
      <c r="G903" s="458"/>
      <c r="H903" s="458"/>
      <c r="I903" s="459"/>
      <c r="J903" s="377"/>
      <c r="K903" s="377"/>
      <c r="L903" s="460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  <c r="Z903" s="377"/>
      <c r="AA903" s="377"/>
      <c r="AB903" s="377"/>
    </row>
    <row r="904">
      <c r="A904" s="377"/>
      <c r="B904" s="377"/>
      <c r="C904" s="377"/>
      <c r="D904" s="457"/>
      <c r="E904" s="458"/>
      <c r="F904" s="458"/>
      <c r="G904" s="458"/>
      <c r="H904" s="458"/>
      <c r="I904" s="459"/>
      <c r="J904" s="377"/>
      <c r="K904" s="377"/>
      <c r="L904" s="460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  <c r="Z904" s="377"/>
      <c r="AA904" s="377"/>
      <c r="AB904" s="377"/>
    </row>
    <row r="905">
      <c r="A905" s="377"/>
      <c r="B905" s="377"/>
      <c r="C905" s="377"/>
      <c r="D905" s="457"/>
      <c r="E905" s="458"/>
      <c r="F905" s="458"/>
      <c r="G905" s="458"/>
      <c r="H905" s="458"/>
      <c r="I905" s="459"/>
      <c r="J905" s="377"/>
      <c r="K905" s="377"/>
      <c r="L905" s="460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  <c r="Z905" s="377"/>
      <c r="AA905" s="377"/>
      <c r="AB905" s="377"/>
    </row>
    <row r="906">
      <c r="A906" s="377"/>
      <c r="B906" s="377"/>
      <c r="C906" s="377"/>
      <c r="D906" s="457"/>
      <c r="E906" s="458"/>
      <c r="F906" s="458"/>
      <c r="G906" s="458"/>
      <c r="H906" s="458"/>
      <c r="I906" s="459"/>
      <c r="J906" s="377"/>
      <c r="K906" s="377"/>
      <c r="L906" s="460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  <c r="Z906" s="377"/>
      <c r="AA906" s="377"/>
      <c r="AB906" s="377"/>
    </row>
    <row r="907">
      <c r="A907" s="377"/>
      <c r="B907" s="377"/>
      <c r="C907" s="377"/>
      <c r="D907" s="457"/>
      <c r="E907" s="458"/>
      <c r="F907" s="458"/>
      <c r="G907" s="458"/>
      <c r="H907" s="458"/>
      <c r="I907" s="459"/>
      <c r="J907" s="377"/>
      <c r="K907" s="377"/>
      <c r="L907" s="460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  <c r="Z907" s="377"/>
      <c r="AA907" s="377"/>
      <c r="AB907" s="377"/>
    </row>
    <row r="908">
      <c r="A908" s="377"/>
      <c r="B908" s="377"/>
      <c r="C908" s="377"/>
      <c r="D908" s="457"/>
      <c r="E908" s="458"/>
      <c r="F908" s="458"/>
      <c r="G908" s="458"/>
      <c r="H908" s="458"/>
      <c r="I908" s="459"/>
      <c r="J908" s="377"/>
      <c r="K908" s="377"/>
      <c r="L908" s="460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  <c r="Z908" s="377"/>
      <c r="AA908" s="377"/>
      <c r="AB908" s="377"/>
    </row>
    <row r="909">
      <c r="A909" s="377"/>
      <c r="B909" s="377"/>
      <c r="C909" s="377"/>
      <c r="D909" s="457"/>
      <c r="E909" s="458"/>
      <c r="F909" s="458"/>
      <c r="G909" s="458"/>
      <c r="H909" s="458"/>
      <c r="I909" s="459"/>
      <c r="J909" s="377"/>
      <c r="K909" s="377"/>
      <c r="L909" s="460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  <c r="Z909" s="377"/>
      <c r="AA909" s="377"/>
      <c r="AB909" s="377"/>
    </row>
    <row r="910">
      <c r="A910" s="377"/>
      <c r="B910" s="377"/>
      <c r="C910" s="377"/>
      <c r="D910" s="457"/>
      <c r="E910" s="458"/>
      <c r="F910" s="458"/>
      <c r="G910" s="458"/>
      <c r="H910" s="458"/>
      <c r="I910" s="459"/>
      <c r="J910" s="377"/>
      <c r="K910" s="377"/>
      <c r="L910" s="460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  <c r="Z910" s="377"/>
      <c r="AA910" s="377"/>
      <c r="AB910" s="377"/>
    </row>
    <row r="911">
      <c r="A911" s="377"/>
      <c r="B911" s="377"/>
      <c r="C911" s="377"/>
      <c r="D911" s="457"/>
      <c r="E911" s="458"/>
      <c r="F911" s="458"/>
      <c r="G911" s="458"/>
      <c r="H911" s="458"/>
      <c r="I911" s="459"/>
      <c r="J911" s="377"/>
      <c r="K911" s="377"/>
      <c r="L911" s="460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  <c r="Z911" s="377"/>
      <c r="AA911" s="377"/>
      <c r="AB911" s="377"/>
    </row>
    <row r="912">
      <c r="A912" s="377"/>
      <c r="B912" s="377"/>
      <c r="C912" s="377"/>
      <c r="D912" s="457"/>
      <c r="E912" s="458"/>
      <c r="F912" s="458"/>
      <c r="G912" s="458"/>
      <c r="H912" s="458"/>
      <c r="I912" s="459"/>
      <c r="J912" s="377"/>
      <c r="K912" s="377"/>
      <c r="L912" s="460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  <c r="Z912" s="377"/>
      <c r="AA912" s="377"/>
      <c r="AB912" s="377"/>
    </row>
    <row r="913">
      <c r="A913" s="377"/>
      <c r="B913" s="377"/>
      <c r="C913" s="377"/>
      <c r="D913" s="457"/>
      <c r="E913" s="458"/>
      <c r="F913" s="458"/>
      <c r="G913" s="458"/>
      <c r="H913" s="458"/>
      <c r="I913" s="459"/>
      <c r="J913" s="377"/>
      <c r="K913" s="377"/>
      <c r="L913" s="460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  <c r="Z913" s="377"/>
      <c r="AA913" s="377"/>
      <c r="AB913" s="377"/>
    </row>
    <row r="914">
      <c r="A914" s="377"/>
      <c r="B914" s="377"/>
      <c r="C914" s="377"/>
      <c r="D914" s="457"/>
      <c r="E914" s="458"/>
      <c r="F914" s="458"/>
      <c r="G914" s="458"/>
      <c r="H914" s="458"/>
      <c r="I914" s="459"/>
      <c r="J914" s="377"/>
      <c r="K914" s="377"/>
      <c r="L914" s="460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  <c r="Z914" s="377"/>
      <c r="AA914" s="377"/>
      <c r="AB914" s="377"/>
    </row>
    <row r="915">
      <c r="A915" s="377"/>
      <c r="B915" s="377"/>
      <c r="C915" s="377"/>
      <c r="D915" s="457"/>
      <c r="E915" s="458"/>
      <c r="F915" s="458"/>
      <c r="G915" s="458"/>
      <c r="H915" s="458"/>
      <c r="I915" s="459"/>
      <c r="J915" s="377"/>
      <c r="K915" s="377"/>
      <c r="L915" s="460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  <c r="Z915" s="377"/>
      <c r="AA915" s="377"/>
      <c r="AB915" s="377"/>
    </row>
    <row r="916">
      <c r="A916" s="377"/>
      <c r="B916" s="377"/>
      <c r="C916" s="377"/>
      <c r="D916" s="457"/>
      <c r="E916" s="458"/>
      <c r="F916" s="458"/>
      <c r="G916" s="458"/>
      <c r="H916" s="458"/>
      <c r="I916" s="459"/>
      <c r="J916" s="377"/>
      <c r="K916" s="377"/>
      <c r="L916" s="460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  <c r="Z916" s="377"/>
      <c r="AA916" s="377"/>
      <c r="AB916" s="377"/>
    </row>
    <row r="917">
      <c r="A917" s="377"/>
      <c r="B917" s="377"/>
      <c r="C917" s="377"/>
      <c r="D917" s="457"/>
      <c r="E917" s="458"/>
      <c r="F917" s="458"/>
      <c r="G917" s="458"/>
      <c r="H917" s="458"/>
      <c r="I917" s="459"/>
      <c r="J917" s="377"/>
      <c r="K917" s="377"/>
      <c r="L917" s="460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  <c r="Z917" s="377"/>
      <c r="AA917" s="377"/>
      <c r="AB917" s="377"/>
    </row>
    <row r="918">
      <c r="A918" s="377"/>
      <c r="B918" s="377"/>
      <c r="C918" s="377"/>
      <c r="D918" s="457"/>
      <c r="E918" s="458"/>
      <c r="F918" s="458"/>
      <c r="G918" s="458"/>
      <c r="H918" s="458"/>
      <c r="I918" s="459"/>
      <c r="J918" s="377"/>
      <c r="K918" s="377"/>
      <c r="L918" s="460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  <c r="Z918" s="377"/>
      <c r="AA918" s="377"/>
      <c r="AB918" s="377"/>
    </row>
    <row r="919">
      <c r="A919" s="377"/>
      <c r="B919" s="377"/>
      <c r="C919" s="377"/>
      <c r="D919" s="457"/>
      <c r="E919" s="458"/>
      <c r="F919" s="458"/>
      <c r="G919" s="458"/>
      <c r="H919" s="458"/>
      <c r="I919" s="459"/>
      <c r="J919" s="377"/>
      <c r="K919" s="377"/>
      <c r="L919" s="460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  <c r="Z919" s="377"/>
      <c r="AA919" s="377"/>
      <c r="AB919" s="377"/>
    </row>
    <row r="920">
      <c r="A920" s="377"/>
      <c r="B920" s="377"/>
      <c r="C920" s="377"/>
      <c r="D920" s="457"/>
      <c r="E920" s="458"/>
      <c r="F920" s="458"/>
      <c r="G920" s="458"/>
      <c r="H920" s="458"/>
      <c r="I920" s="459"/>
      <c r="J920" s="377"/>
      <c r="K920" s="377"/>
      <c r="L920" s="460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  <c r="Z920" s="377"/>
      <c r="AA920" s="377"/>
      <c r="AB920" s="377"/>
    </row>
    <row r="921">
      <c r="A921" s="377"/>
      <c r="B921" s="377"/>
      <c r="C921" s="377"/>
      <c r="D921" s="457"/>
      <c r="E921" s="458"/>
      <c r="F921" s="458"/>
      <c r="G921" s="458"/>
      <c r="H921" s="458"/>
      <c r="I921" s="459"/>
      <c r="J921" s="377"/>
      <c r="K921" s="377"/>
      <c r="L921" s="460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  <c r="Z921" s="377"/>
      <c r="AA921" s="377"/>
      <c r="AB921" s="377"/>
    </row>
    <row r="922">
      <c r="A922" s="377"/>
      <c r="B922" s="377"/>
      <c r="C922" s="377"/>
      <c r="D922" s="457"/>
      <c r="E922" s="458"/>
      <c r="F922" s="458"/>
      <c r="G922" s="458"/>
      <c r="H922" s="458"/>
      <c r="I922" s="459"/>
      <c r="J922" s="377"/>
      <c r="K922" s="377"/>
      <c r="L922" s="460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  <c r="Z922" s="377"/>
      <c r="AA922" s="377"/>
      <c r="AB922" s="377"/>
    </row>
    <row r="923">
      <c r="A923" s="377"/>
      <c r="B923" s="377"/>
      <c r="C923" s="377"/>
      <c r="D923" s="457"/>
      <c r="E923" s="458"/>
      <c r="F923" s="458"/>
      <c r="G923" s="458"/>
      <c r="H923" s="458"/>
      <c r="I923" s="459"/>
      <c r="J923" s="377"/>
      <c r="K923" s="377"/>
      <c r="L923" s="460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  <c r="Z923" s="377"/>
      <c r="AA923" s="377"/>
      <c r="AB923" s="377"/>
    </row>
    <row r="924">
      <c r="A924" s="377"/>
      <c r="B924" s="377"/>
      <c r="C924" s="377"/>
      <c r="D924" s="457"/>
      <c r="E924" s="458"/>
      <c r="F924" s="458"/>
      <c r="G924" s="458"/>
      <c r="H924" s="458"/>
      <c r="I924" s="459"/>
      <c r="J924" s="377"/>
      <c r="K924" s="377"/>
      <c r="L924" s="460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  <c r="Z924" s="377"/>
      <c r="AA924" s="377"/>
      <c r="AB924" s="377"/>
    </row>
    <row r="925">
      <c r="A925" s="377"/>
      <c r="B925" s="377"/>
      <c r="C925" s="377"/>
      <c r="D925" s="457"/>
      <c r="E925" s="458"/>
      <c r="F925" s="458"/>
      <c r="G925" s="458"/>
      <c r="H925" s="458"/>
      <c r="I925" s="459"/>
      <c r="J925" s="377"/>
      <c r="K925" s="377"/>
      <c r="L925" s="460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  <c r="Z925" s="377"/>
      <c r="AA925" s="377"/>
      <c r="AB925" s="377"/>
    </row>
    <row r="926">
      <c r="A926" s="377"/>
      <c r="B926" s="377"/>
      <c r="C926" s="377"/>
      <c r="D926" s="457"/>
      <c r="E926" s="458"/>
      <c r="F926" s="458"/>
      <c r="G926" s="458"/>
      <c r="H926" s="458"/>
      <c r="I926" s="459"/>
      <c r="J926" s="377"/>
      <c r="K926" s="377"/>
      <c r="L926" s="460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  <c r="Z926" s="377"/>
      <c r="AA926" s="377"/>
      <c r="AB926" s="377"/>
    </row>
    <row r="927">
      <c r="A927" s="377"/>
      <c r="B927" s="377"/>
      <c r="C927" s="377"/>
      <c r="D927" s="457"/>
      <c r="E927" s="458"/>
      <c r="F927" s="458"/>
      <c r="G927" s="458"/>
      <c r="H927" s="458"/>
      <c r="I927" s="459"/>
      <c r="J927" s="377"/>
      <c r="K927" s="377"/>
      <c r="L927" s="460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  <c r="Z927" s="377"/>
      <c r="AA927" s="377"/>
      <c r="AB927" s="377"/>
    </row>
    <row r="928">
      <c r="A928" s="377"/>
      <c r="B928" s="377"/>
      <c r="C928" s="377"/>
      <c r="D928" s="457"/>
      <c r="E928" s="458"/>
      <c r="F928" s="458"/>
      <c r="G928" s="458"/>
      <c r="H928" s="458"/>
      <c r="I928" s="459"/>
      <c r="J928" s="377"/>
      <c r="K928" s="377"/>
      <c r="L928" s="460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  <c r="Z928" s="377"/>
      <c r="AA928" s="377"/>
      <c r="AB928" s="377"/>
    </row>
    <row r="929">
      <c r="A929" s="377"/>
      <c r="B929" s="377"/>
      <c r="C929" s="377"/>
      <c r="D929" s="457"/>
      <c r="E929" s="458"/>
      <c r="F929" s="458"/>
      <c r="G929" s="458"/>
      <c r="H929" s="458"/>
      <c r="I929" s="459"/>
      <c r="J929" s="377"/>
      <c r="K929" s="377"/>
      <c r="L929" s="460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  <c r="Z929" s="377"/>
      <c r="AA929" s="377"/>
      <c r="AB929" s="377"/>
    </row>
    <row r="930">
      <c r="A930" s="377"/>
      <c r="B930" s="377"/>
      <c r="C930" s="377"/>
      <c r="D930" s="457"/>
      <c r="E930" s="458"/>
      <c r="F930" s="458"/>
      <c r="G930" s="458"/>
      <c r="H930" s="458"/>
      <c r="I930" s="459"/>
      <c r="J930" s="377"/>
      <c r="K930" s="377"/>
      <c r="L930" s="460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  <c r="Z930" s="377"/>
      <c r="AA930" s="377"/>
      <c r="AB930" s="377"/>
    </row>
    <row r="931">
      <c r="A931" s="377"/>
      <c r="B931" s="377"/>
      <c r="C931" s="377"/>
      <c r="D931" s="457"/>
      <c r="E931" s="458"/>
      <c r="F931" s="458"/>
      <c r="G931" s="458"/>
      <c r="H931" s="458"/>
      <c r="I931" s="459"/>
      <c r="J931" s="377"/>
      <c r="K931" s="377"/>
      <c r="L931" s="460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  <c r="Z931" s="377"/>
      <c r="AA931" s="377"/>
      <c r="AB931" s="377"/>
    </row>
    <row r="932">
      <c r="A932" s="377"/>
      <c r="B932" s="377"/>
      <c r="C932" s="377"/>
      <c r="D932" s="457"/>
      <c r="E932" s="458"/>
      <c r="F932" s="458"/>
      <c r="G932" s="458"/>
      <c r="H932" s="458"/>
      <c r="I932" s="459"/>
      <c r="J932" s="377"/>
      <c r="K932" s="377"/>
      <c r="L932" s="460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  <c r="Z932" s="377"/>
      <c r="AA932" s="377"/>
      <c r="AB932" s="377"/>
    </row>
    <row r="933">
      <c r="A933" s="377"/>
      <c r="B933" s="377"/>
      <c r="C933" s="377"/>
      <c r="D933" s="457"/>
      <c r="E933" s="458"/>
      <c r="F933" s="458"/>
      <c r="G933" s="458"/>
      <c r="H933" s="458"/>
      <c r="I933" s="459"/>
      <c r="J933" s="377"/>
      <c r="K933" s="377"/>
      <c r="L933" s="460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  <c r="Z933" s="377"/>
      <c r="AA933" s="377"/>
      <c r="AB933" s="377"/>
    </row>
    <row r="934">
      <c r="A934" s="377"/>
      <c r="B934" s="377"/>
      <c r="C934" s="377"/>
      <c r="D934" s="457"/>
      <c r="E934" s="458"/>
      <c r="F934" s="458"/>
      <c r="G934" s="458"/>
      <c r="H934" s="458"/>
      <c r="I934" s="459"/>
      <c r="J934" s="377"/>
      <c r="K934" s="377"/>
      <c r="L934" s="460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  <c r="Z934" s="377"/>
      <c r="AA934" s="377"/>
      <c r="AB934" s="377"/>
    </row>
    <row r="935">
      <c r="A935" s="377"/>
      <c r="B935" s="377"/>
      <c r="C935" s="377"/>
      <c r="D935" s="457"/>
      <c r="E935" s="458"/>
      <c r="F935" s="458"/>
      <c r="G935" s="458"/>
      <c r="H935" s="458"/>
      <c r="I935" s="459"/>
      <c r="J935" s="377"/>
      <c r="K935" s="377"/>
      <c r="L935" s="460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  <c r="Z935" s="377"/>
      <c r="AA935" s="377"/>
      <c r="AB935" s="377"/>
    </row>
    <row r="936">
      <c r="A936" s="377"/>
      <c r="B936" s="377"/>
      <c r="C936" s="377"/>
      <c r="D936" s="457"/>
      <c r="E936" s="458"/>
      <c r="F936" s="458"/>
      <c r="G936" s="458"/>
      <c r="H936" s="458"/>
      <c r="I936" s="459"/>
      <c r="J936" s="377"/>
      <c r="K936" s="377"/>
      <c r="L936" s="460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  <c r="Z936" s="377"/>
      <c r="AA936" s="377"/>
      <c r="AB936" s="377"/>
    </row>
    <row r="937">
      <c r="A937" s="377"/>
      <c r="B937" s="377"/>
      <c r="C937" s="377"/>
      <c r="D937" s="457"/>
      <c r="E937" s="458"/>
      <c r="F937" s="458"/>
      <c r="G937" s="458"/>
      <c r="H937" s="458"/>
      <c r="I937" s="459"/>
      <c r="J937" s="377"/>
      <c r="K937" s="377"/>
      <c r="L937" s="460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  <c r="Z937" s="377"/>
      <c r="AA937" s="377"/>
      <c r="AB937" s="377"/>
    </row>
    <row r="938">
      <c r="A938" s="377"/>
      <c r="B938" s="377"/>
      <c r="C938" s="377"/>
      <c r="D938" s="457"/>
      <c r="E938" s="458"/>
      <c r="F938" s="458"/>
      <c r="G938" s="458"/>
      <c r="H938" s="458"/>
      <c r="I938" s="459"/>
      <c r="J938" s="377"/>
      <c r="K938" s="377"/>
      <c r="L938" s="460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  <c r="Z938" s="377"/>
      <c r="AA938" s="377"/>
      <c r="AB938" s="377"/>
    </row>
    <row r="939">
      <c r="A939" s="377"/>
      <c r="B939" s="377"/>
      <c r="C939" s="377"/>
      <c r="D939" s="457"/>
      <c r="E939" s="458"/>
      <c r="F939" s="458"/>
      <c r="G939" s="458"/>
      <c r="H939" s="458"/>
      <c r="I939" s="459"/>
      <c r="J939" s="377"/>
      <c r="K939" s="377"/>
      <c r="L939" s="460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  <c r="Z939" s="377"/>
      <c r="AA939" s="377"/>
      <c r="AB939" s="377"/>
    </row>
    <row r="940">
      <c r="A940" s="377"/>
      <c r="B940" s="377"/>
      <c r="C940" s="377"/>
      <c r="D940" s="457"/>
      <c r="E940" s="458"/>
      <c r="F940" s="458"/>
      <c r="G940" s="458"/>
      <c r="H940" s="458"/>
      <c r="I940" s="459"/>
      <c r="J940" s="377"/>
      <c r="K940" s="377"/>
      <c r="L940" s="460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  <c r="Z940" s="377"/>
      <c r="AA940" s="377"/>
      <c r="AB940" s="377"/>
    </row>
    <row r="941">
      <c r="A941" s="377"/>
      <c r="B941" s="377"/>
      <c r="C941" s="377"/>
      <c r="D941" s="457"/>
      <c r="E941" s="458"/>
      <c r="F941" s="458"/>
      <c r="G941" s="458"/>
      <c r="H941" s="458"/>
      <c r="I941" s="459"/>
      <c r="J941" s="377"/>
      <c r="K941" s="377"/>
      <c r="L941" s="460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  <c r="Z941" s="377"/>
      <c r="AA941" s="377"/>
      <c r="AB941" s="377"/>
    </row>
    <row r="942">
      <c r="A942" s="377"/>
      <c r="B942" s="377"/>
      <c r="C942" s="377"/>
      <c r="D942" s="457"/>
      <c r="E942" s="458"/>
      <c r="F942" s="458"/>
      <c r="G942" s="458"/>
      <c r="H942" s="458"/>
      <c r="I942" s="459"/>
      <c r="J942" s="377"/>
      <c r="K942" s="377"/>
      <c r="L942" s="460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  <c r="Z942" s="377"/>
      <c r="AA942" s="377"/>
      <c r="AB942" s="377"/>
    </row>
    <row r="943">
      <c r="A943" s="377"/>
      <c r="B943" s="377"/>
      <c r="C943" s="377"/>
      <c r="D943" s="457"/>
      <c r="E943" s="458"/>
      <c r="F943" s="458"/>
      <c r="G943" s="458"/>
      <c r="H943" s="458"/>
      <c r="I943" s="459"/>
      <c r="J943" s="377"/>
      <c r="K943" s="377"/>
      <c r="L943" s="460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  <c r="Z943" s="377"/>
      <c r="AA943" s="377"/>
      <c r="AB943" s="377"/>
    </row>
    <row r="944">
      <c r="A944" s="377"/>
      <c r="B944" s="377"/>
      <c r="C944" s="377"/>
      <c r="D944" s="457"/>
      <c r="E944" s="458"/>
      <c r="F944" s="458"/>
      <c r="G944" s="458"/>
      <c r="H944" s="458"/>
      <c r="I944" s="459"/>
      <c r="J944" s="377"/>
      <c r="K944" s="377"/>
      <c r="L944" s="460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  <c r="Z944" s="377"/>
      <c r="AA944" s="377"/>
      <c r="AB944" s="377"/>
    </row>
    <row r="945">
      <c r="A945" s="377"/>
      <c r="B945" s="377"/>
      <c r="C945" s="377"/>
      <c r="D945" s="457"/>
      <c r="E945" s="458"/>
      <c r="F945" s="458"/>
      <c r="G945" s="458"/>
      <c r="H945" s="458"/>
      <c r="I945" s="459"/>
      <c r="J945" s="377"/>
      <c r="K945" s="377"/>
      <c r="L945" s="460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  <c r="Z945" s="377"/>
      <c r="AA945" s="377"/>
      <c r="AB945" s="377"/>
    </row>
    <row r="946">
      <c r="A946" s="377"/>
      <c r="B946" s="377"/>
      <c r="C946" s="377"/>
      <c r="D946" s="457"/>
      <c r="E946" s="458"/>
      <c r="F946" s="458"/>
      <c r="G946" s="458"/>
      <c r="H946" s="458"/>
      <c r="I946" s="459"/>
      <c r="J946" s="377"/>
      <c r="K946" s="377"/>
      <c r="L946" s="460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  <c r="Z946" s="377"/>
      <c r="AA946" s="377"/>
      <c r="AB946" s="377"/>
    </row>
    <row r="947">
      <c r="A947" s="377"/>
      <c r="B947" s="377"/>
      <c r="C947" s="377"/>
      <c r="D947" s="457"/>
      <c r="E947" s="458"/>
      <c r="F947" s="458"/>
      <c r="G947" s="458"/>
      <c r="H947" s="458"/>
      <c r="I947" s="459"/>
      <c r="J947" s="377"/>
      <c r="K947" s="377"/>
      <c r="L947" s="460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  <c r="Z947" s="377"/>
      <c r="AA947" s="377"/>
      <c r="AB947" s="377"/>
    </row>
    <row r="948">
      <c r="A948" s="377"/>
      <c r="B948" s="377"/>
      <c r="C948" s="377"/>
      <c r="D948" s="457"/>
      <c r="E948" s="458"/>
      <c r="F948" s="458"/>
      <c r="G948" s="458"/>
      <c r="H948" s="458"/>
      <c r="I948" s="459"/>
      <c r="J948" s="377"/>
      <c r="K948" s="377"/>
      <c r="L948" s="460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  <c r="Z948" s="377"/>
      <c r="AA948" s="377"/>
      <c r="AB948" s="377"/>
    </row>
    <row r="949">
      <c r="A949" s="377"/>
      <c r="B949" s="377"/>
      <c r="C949" s="377"/>
      <c r="D949" s="457"/>
      <c r="E949" s="458"/>
      <c r="F949" s="458"/>
      <c r="G949" s="458"/>
      <c r="H949" s="458"/>
      <c r="I949" s="459"/>
      <c r="J949" s="377"/>
      <c r="K949" s="377"/>
      <c r="L949" s="460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  <c r="Z949" s="377"/>
      <c r="AA949" s="377"/>
      <c r="AB949" s="377"/>
    </row>
    <row r="950">
      <c r="A950" s="377"/>
      <c r="B950" s="377"/>
      <c r="C950" s="377"/>
      <c r="D950" s="457"/>
      <c r="E950" s="458"/>
      <c r="F950" s="458"/>
      <c r="G950" s="458"/>
      <c r="H950" s="458"/>
      <c r="I950" s="459"/>
      <c r="J950" s="377"/>
      <c r="K950" s="377"/>
      <c r="L950" s="460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  <c r="Z950" s="377"/>
      <c r="AA950" s="377"/>
      <c r="AB950" s="377"/>
    </row>
    <row r="951">
      <c r="A951" s="377"/>
      <c r="B951" s="377"/>
      <c r="C951" s="377"/>
      <c r="D951" s="457"/>
      <c r="E951" s="458"/>
      <c r="F951" s="458"/>
      <c r="G951" s="458"/>
      <c r="H951" s="458"/>
      <c r="I951" s="459"/>
      <c r="J951" s="377"/>
      <c r="K951" s="377"/>
      <c r="L951" s="460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  <c r="Z951" s="377"/>
      <c r="AA951" s="377"/>
      <c r="AB951" s="377"/>
    </row>
    <row r="952">
      <c r="A952" s="377"/>
      <c r="B952" s="377"/>
      <c r="C952" s="377"/>
      <c r="D952" s="457"/>
      <c r="E952" s="458"/>
      <c r="F952" s="458"/>
      <c r="G952" s="458"/>
      <c r="H952" s="458"/>
      <c r="I952" s="459"/>
      <c r="J952" s="377"/>
      <c r="K952" s="377"/>
      <c r="L952" s="460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  <c r="Z952" s="377"/>
      <c r="AA952" s="377"/>
      <c r="AB952" s="377"/>
    </row>
    <row r="953">
      <c r="A953" s="377"/>
      <c r="B953" s="377"/>
      <c r="C953" s="377"/>
      <c r="D953" s="457"/>
      <c r="E953" s="458"/>
      <c r="F953" s="458"/>
      <c r="G953" s="458"/>
      <c r="H953" s="458"/>
      <c r="I953" s="459"/>
      <c r="J953" s="377"/>
      <c r="K953" s="377"/>
      <c r="L953" s="460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  <c r="Z953" s="377"/>
      <c r="AA953" s="377"/>
      <c r="AB953" s="377"/>
    </row>
    <row r="954">
      <c r="A954" s="377"/>
      <c r="B954" s="377"/>
      <c r="C954" s="377"/>
      <c r="D954" s="457"/>
      <c r="E954" s="458"/>
      <c r="F954" s="458"/>
      <c r="G954" s="458"/>
      <c r="H954" s="458"/>
      <c r="I954" s="459"/>
      <c r="J954" s="377"/>
      <c r="K954" s="377"/>
      <c r="L954" s="460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  <c r="Z954" s="377"/>
      <c r="AA954" s="377"/>
      <c r="AB954" s="377"/>
    </row>
    <row r="955">
      <c r="A955" s="377"/>
      <c r="B955" s="377"/>
      <c r="C955" s="377"/>
      <c r="D955" s="457"/>
      <c r="E955" s="458"/>
      <c r="F955" s="458"/>
      <c r="G955" s="458"/>
      <c r="H955" s="458"/>
      <c r="I955" s="459"/>
      <c r="J955" s="377"/>
      <c r="K955" s="377"/>
      <c r="L955" s="460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  <c r="Z955" s="377"/>
      <c r="AA955" s="377"/>
      <c r="AB955" s="377"/>
    </row>
    <row r="956">
      <c r="A956" s="377"/>
      <c r="B956" s="377"/>
      <c r="C956" s="377"/>
      <c r="D956" s="457"/>
      <c r="E956" s="458"/>
      <c r="F956" s="458"/>
      <c r="G956" s="458"/>
      <c r="H956" s="458"/>
      <c r="I956" s="459"/>
      <c r="J956" s="377"/>
      <c r="K956" s="377"/>
      <c r="L956" s="460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  <c r="Z956" s="377"/>
      <c r="AA956" s="377"/>
      <c r="AB956" s="377"/>
    </row>
    <row r="957">
      <c r="A957" s="377"/>
      <c r="B957" s="377"/>
      <c r="C957" s="377"/>
      <c r="D957" s="457"/>
      <c r="E957" s="458"/>
      <c r="F957" s="458"/>
      <c r="G957" s="458"/>
      <c r="H957" s="458"/>
      <c r="I957" s="459"/>
      <c r="J957" s="377"/>
      <c r="K957" s="377"/>
      <c r="L957" s="460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  <c r="Z957" s="377"/>
      <c r="AA957" s="377"/>
      <c r="AB957" s="377"/>
    </row>
    <row r="958">
      <c r="A958" s="377"/>
      <c r="B958" s="377"/>
      <c r="C958" s="377"/>
      <c r="D958" s="457"/>
      <c r="E958" s="458"/>
      <c r="F958" s="458"/>
      <c r="G958" s="458"/>
      <c r="H958" s="458"/>
      <c r="I958" s="459"/>
      <c r="J958" s="377"/>
      <c r="K958" s="377"/>
      <c r="L958" s="460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  <c r="Z958" s="377"/>
      <c r="AA958" s="377"/>
      <c r="AB958" s="377"/>
    </row>
    <row r="959">
      <c r="A959" s="377"/>
      <c r="B959" s="377"/>
      <c r="C959" s="377"/>
      <c r="D959" s="457"/>
      <c r="E959" s="458"/>
      <c r="F959" s="458"/>
      <c r="G959" s="458"/>
      <c r="H959" s="458"/>
      <c r="I959" s="459"/>
      <c r="J959" s="377"/>
      <c r="K959" s="377"/>
      <c r="L959" s="460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  <c r="Z959" s="377"/>
      <c r="AA959" s="377"/>
      <c r="AB959" s="377"/>
    </row>
    <row r="960">
      <c r="A960" s="377"/>
      <c r="B960" s="377"/>
      <c r="C960" s="377"/>
      <c r="D960" s="457"/>
      <c r="E960" s="458"/>
      <c r="F960" s="458"/>
      <c r="G960" s="458"/>
      <c r="H960" s="458"/>
      <c r="I960" s="459"/>
      <c r="J960" s="377"/>
      <c r="K960" s="377"/>
      <c r="L960" s="460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  <c r="Z960" s="377"/>
      <c r="AA960" s="377"/>
      <c r="AB960" s="377"/>
    </row>
    <row r="961">
      <c r="A961" s="377"/>
      <c r="B961" s="377"/>
      <c r="C961" s="377"/>
      <c r="D961" s="457"/>
      <c r="E961" s="458"/>
      <c r="F961" s="458"/>
      <c r="G961" s="458"/>
      <c r="H961" s="458"/>
      <c r="I961" s="459"/>
      <c r="J961" s="377"/>
      <c r="K961" s="377"/>
      <c r="L961" s="460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  <c r="Z961" s="377"/>
      <c r="AA961" s="377"/>
      <c r="AB961" s="377"/>
    </row>
    <row r="962">
      <c r="A962" s="377"/>
      <c r="B962" s="377"/>
      <c r="C962" s="377"/>
      <c r="D962" s="457"/>
      <c r="E962" s="458"/>
      <c r="F962" s="458"/>
      <c r="G962" s="458"/>
      <c r="H962" s="458"/>
      <c r="I962" s="459"/>
      <c r="J962" s="377"/>
      <c r="K962" s="377"/>
      <c r="L962" s="460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  <c r="Z962" s="377"/>
      <c r="AA962" s="377"/>
      <c r="AB962" s="377"/>
    </row>
    <row r="963">
      <c r="A963" s="377"/>
      <c r="B963" s="377"/>
      <c r="C963" s="377"/>
      <c r="D963" s="457"/>
      <c r="E963" s="458"/>
      <c r="F963" s="458"/>
      <c r="G963" s="458"/>
      <c r="H963" s="458"/>
      <c r="I963" s="459"/>
      <c r="J963" s="377"/>
      <c r="K963" s="377"/>
      <c r="L963" s="460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  <c r="Z963" s="377"/>
      <c r="AA963" s="377"/>
      <c r="AB963" s="377"/>
    </row>
    <row r="964">
      <c r="A964" s="377"/>
      <c r="B964" s="377"/>
      <c r="C964" s="377"/>
      <c r="D964" s="457"/>
      <c r="E964" s="458"/>
      <c r="F964" s="458"/>
      <c r="G964" s="458"/>
      <c r="H964" s="458"/>
      <c r="I964" s="459"/>
      <c r="J964" s="377"/>
      <c r="K964" s="377"/>
      <c r="L964" s="460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  <c r="Z964" s="377"/>
      <c r="AA964" s="377"/>
      <c r="AB964" s="377"/>
    </row>
    <row r="965">
      <c r="A965" s="377"/>
      <c r="B965" s="377"/>
      <c r="C965" s="377"/>
      <c r="D965" s="457"/>
      <c r="E965" s="458"/>
      <c r="F965" s="458"/>
      <c r="G965" s="458"/>
      <c r="H965" s="458"/>
      <c r="I965" s="459"/>
      <c r="J965" s="377"/>
      <c r="K965" s="377"/>
      <c r="L965" s="460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  <c r="Z965" s="377"/>
      <c r="AA965" s="377"/>
      <c r="AB965" s="377"/>
    </row>
    <row r="966">
      <c r="A966" s="377"/>
      <c r="B966" s="377"/>
      <c r="C966" s="377"/>
      <c r="D966" s="457"/>
      <c r="E966" s="458"/>
      <c r="F966" s="458"/>
      <c r="G966" s="458"/>
      <c r="H966" s="458"/>
      <c r="I966" s="459"/>
      <c r="J966" s="377"/>
      <c r="K966" s="377"/>
      <c r="L966" s="460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  <c r="Z966" s="377"/>
      <c r="AA966" s="377"/>
      <c r="AB966" s="377"/>
    </row>
    <row r="967">
      <c r="A967" s="377"/>
      <c r="B967" s="377"/>
      <c r="C967" s="377"/>
      <c r="D967" s="457"/>
      <c r="E967" s="458"/>
      <c r="F967" s="458"/>
      <c r="G967" s="458"/>
      <c r="H967" s="458"/>
      <c r="I967" s="459"/>
      <c r="J967" s="377"/>
      <c r="K967" s="377"/>
      <c r="L967" s="460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  <c r="Z967" s="377"/>
      <c r="AA967" s="377"/>
      <c r="AB967" s="377"/>
    </row>
    <row r="968">
      <c r="A968" s="377"/>
      <c r="B968" s="377"/>
      <c r="C968" s="377"/>
      <c r="D968" s="457"/>
      <c r="E968" s="458"/>
      <c r="F968" s="458"/>
      <c r="G968" s="458"/>
      <c r="H968" s="458"/>
      <c r="I968" s="459"/>
      <c r="J968" s="377"/>
      <c r="K968" s="377"/>
      <c r="L968" s="460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  <c r="Z968" s="377"/>
      <c r="AA968" s="377"/>
      <c r="AB968" s="377"/>
    </row>
    <row r="969">
      <c r="A969" s="377"/>
      <c r="B969" s="377"/>
      <c r="C969" s="377"/>
      <c r="D969" s="457"/>
      <c r="E969" s="458"/>
      <c r="F969" s="458"/>
      <c r="G969" s="458"/>
      <c r="H969" s="458"/>
      <c r="I969" s="459"/>
      <c r="J969" s="377"/>
      <c r="K969" s="377"/>
      <c r="L969" s="460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  <c r="Z969" s="377"/>
      <c r="AA969" s="377"/>
      <c r="AB969" s="377"/>
    </row>
    <row r="970">
      <c r="A970" s="377"/>
      <c r="B970" s="377"/>
      <c r="C970" s="377"/>
      <c r="D970" s="457"/>
      <c r="E970" s="458"/>
      <c r="F970" s="458"/>
      <c r="G970" s="458"/>
      <c r="H970" s="458"/>
      <c r="I970" s="459"/>
      <c r="J970" s="377"/>
      <c r="K970" s="377"/>
      <c r="L970" s="460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  <c r="Z970" s="377"/>
      <c r="AA970" s="377"/>
      <c r="AB970" s="377"/>
    </row>
    <row r="971">
      <c r="A971" s="377"/>
      <c r="B971" s="377"/>
      <c r="C971" s="377"/>
      <c r="D971" s="457"/>
      <c r="E971" s="458"/>
      <c r="F971" s="458"/>
      <c r="G971" s="458"/>
      <c r="H971" s="458"/>
      <c r="I971" s="459"/>
      <c r="J971" s="377"/>
      <c r="K971" s="377"/>
      <c r="L971" s="460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  <c r="Z971" s="377"/>
      <c r="AA971" s="377"/>
      <c r="AB971" s="377"/>
    </row>
    <row r="972">
      <c r="A972" s="377"/>
      <c r="B972" s="377"/>
      <c r="C972" s="377"/>
      <c r="D972" s="457"/>
      <c r="E972" s="458"/>
      <c r="F972" s="458"/>
      <c r="G972" s="458"/>
      <c r="H972" s="458"/>
      <c r="I972" s="459"/>
      <c r="J972" s="377"/>
      <c r="K972" s="377"/>
      <c r="L972" s="460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  <c r="Z972" s="377"/>
      <c r="AA972" s="377"/>
      <c r="AB972" s="377"/>
    </row>
    <row r="973">
      <c r="A973" s="377"/>
      <c r="B973" s="377"/>
      <c r="C973" s="377"/>
      <c r="D973" s="457"/>
      <c r="E973" s="458"/>
      <c r="F973" s="458"/>
      <c r="G973" s="458"/>
      <c r="H973" s="458"/>
      <c r="I973" s="459"/>
      <c r="J973" s="377"/>
      <c r="K973" s="377"/>
      <c r="L973" s="460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  <c r="Z973" s="377"/>
      <c r="AA973" s="377"/>
      <c r="AB973" s="377"/>
    </row>
    <row r="974">
      <c r="A974" s="377"/>
      <c r="B974" s="377"/>
      <c r="C974" s="377"/>
      <c r="D974" s="457"/>
      <c r="E974" s="458"/>
      <c r="F974" s="458"/>
      <c r="G974" s="458"/>
      <c r="H974" s="458"/>
      <c r="I974" s="459"/>
      <c r="J974" s="377"/>
      <c r="K974" s="377"/>
      <c r="L974" s="460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  <c r="Z974" s="377"/>
      <c r="AA974" s="377"/>
      <c r="AB974" s="377"/>
    </row>
    <row r="975">
      <c r="A975" s="377"/>
      <c r="B975" s="377"/>
      <c r="C975" s="377"/>
      <c r="D975" s="457"/>
      <c r="E975" s="458"/>
      <c r="F975" s="458"/>
      <c r="G975" s="458"/>
      <c r="H975" s="458"/>
      <c r="I975" s="459"/>
      <c r="J975" s="377"/>
      <c r="K975" s="377"/>
      <c r="L975" s="460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  <c r="Z975" s="377"/>
      <c r="AA975" s="377"/>
      <c r="AB975" s="377"/>
    </row>
    <row r="976">
      <c r="A976" s="377"/>
      <c r="B976" s="377"/>
      <c r="C976" s="377"/>
      <c r="D976" s="457"/>
      <c r="E976" s="458"/>
      <c r="F976" s="458"/>
      <c r="G976" s="458"/>
      <c r="H976" s="458"/>
      <c r="I976" s="459"/>
      <c r="J976" s="377"/>
      <c r="K976" s="377"/>
      <c r="L976" s="460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  <c r="Z976" s="377"/>
      <c r="AA976" s="377"/>
      <c r="AB976" s="377"/>
    </row>
    <row r="977">
      <c r="A977" s="377"/>
      <c r="B977" s="377"/>
      <c r="C977" s="377"/>
      <c r="D977" s="457"/>
      <c r="E977" s="458"/>
      <c r="F977" s="458"/>
      <c r="G977" s="458"/>
      <c r="H977" s="458"/>
      <c r="I977" s="459"/>
      <c r="J977" s="377"/>
      <c r="K977" s="377"/>
      <c r="L977" s="460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  <c r="Z977" s="377"/>
      <c r="AA977" s="377"/>
      <c r="AB977" s="377"/>
    </row>
    <row r="978">
      <c r="A978" s="377"/>
      <c r="B978" s="377"/>
      <c r="C978" s="377"/>
      <c r="D978" s="457"/>
      <c r="E978" s="458"/>
      <c r="F978" s="458"/>
      <c r="G978" s="458"/>
      <c r="H978" s="458"/>
      <c r="I978" s="459"/>
      <c r="J978" s="377"/>
      <c r="K978" s="377"/>
      <c r="L978" s="460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  <c r="Z978" s="377"/>
      <c r="AA978" s="377"/>
      <c r="AB978" s="377"/>
    </row>
    <row r="979">
      <c r="A979" s="377"/>
      <c r="B979" s="377"/>
      <c r="C979" s="377"/>
      <c r="D979" s="457"/>
      <c r="E979" s="458"/>
      <c r="F979" s="458"/>
      <c r="G979" s="458"/>
      <c r="H979" s="458"/>
      <c r="I979" s="459"/>
      <c r="J979" s="377"/>
      <c r="K979" s="377"/>
      <c r="L979" s="460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  <c r="Z979" s="377"/>
      <c r="AA979" s="377"/>
      <c r="AB979" s="377"/>
    </row>
    <row r="980">
      <c r="A980" s="377"/>
      <c r="B980" s="377"/>
      <c r="C980" s="377"/>
      <c r="D980" s="457"/>
      <c r="E980" s="458"/>
      <c r="F980" s="458"/>
      <c r="G980" s="458"/>
      <c r="H980" s="458"/>
      <c r="I980" s="459"/>
      <c r="J980" s="377"/>
      <c r="K980" s="377"/>
      <c r="L980" s="460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  <c r="Z980" s="377"/>
      <c r="AA980" s="377"/>
      <c r="AB980" s="377"/>
    </row>
    <row r="981">
      <c r="A981" s="377"/>
      <c r="B981" s="377"/>
      <c r="C981" s="377"/>
      <c r="D981" s="457"/>
      <c r="E981" s="458"/>
      <c r="F981" s="458"/>
      <c r="G981" s="458"/>
      <c r="H981" s="458"/>
      <c r="I981" s="459"/>
      <c r="J981" s="377"/>
      <c r="K981" s="377"/>
      <c r="L981" s="460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  <c r="Z981" s="377"/>
      <c r="AA981" s="377"/>
      <c r="AB981" s="377"/>
    </row>
    <row r="982">
      <c r="A982" s="377"/>
      <c r="B982" s="377"/>
      <c r="C982" s="377"/>
      <c r="D982" s="457"/>
      <c r="E982" s="458"/>
      <c r="F982" s="458"/>
      <c r="G982" s="458"/>
      <c r="H982" s="458"/>
      <c r="I982" s="459"/>
      <c r="J982" s="377"/>
      <c r="K982" s="377"/>
      <c r="L982" s="460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  <c r="Z982" s="377"/>
      <c r="AA982" s="377"/>
      <c r="AB982" s="377"/>
    </row>
    <row r="983">
      <c r="A983" s="377"/>
      <c r="B983" s="377"/>
      <c r="C983" s="377"/>
      <c r="D983" s="457"/>
      <c r="E983" s="458"/>
      <c r="F983" s="458"/>
      <c r="G983" s="458"/>
      <c r="H983" s="458"/>
      <c r="I983" s="459"/>
      <c r="J983" s="377"/>
      <c r="K983" s="377"/>
      <c r="L983" s="460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  <c r="Z983" s="377"/>
      <c r="AA983" s="377"/>
      <c r="AB983" s="377"/>
    </row>
    <row r="984">
      <c r="A984" s="377"/>
      <c r="B984" s="377"/>
      <c r="C984" s="377"/>
      <c r="D984" s="457"/>
      <c r="E984" s="458"/>
      <c r="F984" s="458"/>
      <c r="G984" s="458"/>
      <c r="H984" s="458"/>
      <c r="I984" s="459"/>
      <c r="J984" s="377"/>
      <c r="K984" s="377"/>
      <c r="L984" s="460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  <c r="Z984" s="377"/>
      <c r="AA984" s="377"/>
      <c r="AB984" s="377"/>
    </row>
    <row r="985">
      <c r="A985" s="377"/>
      <c r="B985" s="377"/>
      <c r="C985" s="377"/>
      <c r="D985" s="457"/>
      <c r="E985" s="458"/>
      <c r="F985" s="458"/>
      <c r="G985" s="458"/>
      <c r="H985" s="458"/>
      <c r="I985" s="459"/>
      <c r="J985" s="377"/>
      <c r="K985" s="377"/>
      <c r="L985" s="460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  <c r="Z985" s="377"/>
      <c r="AA985" s="377"/>
      <c r="AB985" s="377"/>
    </row>
    <row r="986">
      <c r="A986" s="377"/>
      <c r="B986" s="377"/>
      <c r="C986" s="377"/>
      <c r="D986" s="457"/>
      <c r="E986" s="458"/>
      <c r="F986" s="458"/>
      <c r="G986" s="458"/>
      <c r="H986" s="458"/>
      <c r="I986" s="459"/>
      <c r="J986" s="377"/>
      <c r="K986" s="377"/>
      <c r="L986" s="460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  <c r="Z986" s="377"/>
      <c r="AA986" s="377"/>
      <c r="AB986" s="377"/>
    </row>
    <row r="987">
      <c r="A987" s="377"/>
      <c r="B987" s="377"/>
      <c r="C987" s="377"/>
      <c r="D987" s="457"/>
      <c r="E987" s="458"/>
      <c r="F987" s="458"/>
      <c r="G987" s="458"/>
      <c r="H987" s="458"/>
      <c r="I987" s="459"/>
      <c r="J987" s="377"/>
      <c r="K987" s="377"/>
      <c r="L987" s="460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  <c r="Z987" s="377"/>
      <c r="AA987" s="377"/>
      <c r="AB987" s="377"/>
    </row>
    <row r="988">
      <c r="A988" s="377"/>
      <c r="B988" s="377"/>
      <c r="C988" s="377"/>
      <c r="D988" s="457"/>
      <c r="E988" s="458"/>
      <c r="F988" s="458"/>
      <c r="G988" s="458"/>
      <c r="H988" s="458"/>
      <c r="I988" s="459"/>
      <c r="J988" s="377"/>
      <c r="K988" s="377"/>
      <c r="L988" s="460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  <c r="Z988" s="377"/>
      <c r="AA988" s="377"/>
      <c r="AB988" s="377"/>
    </row>
    <row r="989">
      <c r="A989" s="377"/>
      <c r="B989" s="377"/>
      <c r="C989" s="377"/>
      <c r="D989" s="457"/>
      <c r="E989" s="458"/>
      <c r="F989" s="458"/>
      <c r="G989" s="458"/>
      <c r="H989" s="458"/>
      <c r="I989" s="459"/>
      <c r="J989" s="377"/>
      <c r="K989" s="377"/>
      <c r="L989" s="460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  <c r="Z989" s="377"/>
      <c r="AA989" s="377"/>
      <c r="AB989" s="377"/>
    </row>
    <row r="990">
      <c r="A990" s="377"/>
      <c r="B990" s="377"/>
      <c r="C990" s="377"/>
      <c r="D990" s="457"/>
      <c r="E990" s="458"/>
      <c r="F990" s="458"/>
      <c r="G990" s="458"/>
      <c r="H990" s="458"/>
      <c r="I990" s="459"/>
      <c r="J990" s="377"/>
      <c r="K990" s="377"/>
      <c r="L990" s="460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  <c r="Z990" s="377"/>
      <c r="AA990" s="377"/>
      <c r="AB990" s="377"/>
    </row>
    <row r="991">
      <c r="A991" s="377"/>
      <c r="B991" s="377"/>
      <c r="C991" s="377"/>
      <c r="D991" s="457"/>
      <c r="E991" s="458"/>
      <c r="F991" s="458"/>
      <c r="G991" s="458"/>
      <c r="H991" s="458"/>
      <c r="I991" s="459"/>
      <c r="J991" s="377"/>
      <c r="K991" s="377"/>
      <c r="L991" s="460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  <c r="Z991" s="377"/>
      <c r="AA991" s="377"/>
      <c r="AB991" s="377"/>
    </row>
    <row r="992">
      <c r="A992" s="377"/>
      <c r="B992" s="377"/>
      <c r="C992" s="377"/>
      <c r="D992" s="457"/>
      <c r="E992" s="458"/>
      <c r="F992" s="458"/>
      <c r="G992" s="458"/>
      <c r="H992" s="458"/>
      <c r="I992" s="459"/>
      <c r="J992" s="377"/>
      <c r="K992" s="377"/>
      <c r="L992" s="460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  <c r="Z992" s="377"/>
      <c r="AA992" s="377"/>
      <c r="AB992" s="377"/>
    </row>
    <row r="993">
      <c r="A993" s="377"/>
      <c r="B993" s="377"/>
      <c r="C993" s="377"/>
      <c r="D993" s="457"/>
      <c r="E993" s="458"/>
      <c r="F993" s="458"/>
      <c r="G993" s="458"/>
      <c r="H993" s="458"/>
      <c r="I993" s="459"/>
      <c r="J993" s="377"/>
      <c r="K993" s="377"/>
      <c r="L993" s="460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  <c r="Z993" s="377"/>
      <c r="AA993" s="377"/>
      <c r="AB993" s="377"/>
    </row>
    <row r="994">
      <c r="A994" s="377"/>
      <c r="B994" s="377"/>
      <c r="C994" s="377"/>
      <c r="D994" s="457"/>
      <c r="E994" s="458"/>
      <c r="F994" s="458"/>
      <c r="G994" s="458"/>
      <c r="H994" s="458"/>
      <c r="I994" s="459"/>
      <c r="J994" s="377"/>
      <c r="K994" s="377"/>
      <c r="L994" s="460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  <c r="Z994" s="377"/>
      <c r="AA994" s="377"/>
      <c r="AB994" s="377"/>
    </row>
    <row r="995">
      <c r="A995" s="377"/>
      <c r="B995" s="377"/>
      <c r="C995" s="377"/>
      <c r="D995" s="457"/>
      <c r="E995" s="458"/>
      <c r="F995" s="458"/>
      <c r="G995" s="458"/>
      <c r="H995" s="458"/>
      <c r="I995" s="459"/>
      <c r="J995" s="377"/>
      <c r="K995" s="377"/>
      <c r="L995" s="460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  <c r="Z995" s="377"/>
      <c r="AA995" s="377"/>
      <c r="AB995" s="377"/>
    </row>
    <row r="996">
      <c r="A996" s="377"/>
      <c r="B996" s="377"/>
      <c r="C996" s="377"/>
      <c r="D996" s="457"/>
      <c r="E996" s="458"/>
      <c r="F996" s="458"/>
      <c r="G996" s="458"/>
      <c r="H996" s="458"/>
      <c r="I996" s="459"/>
      <c r="J996" s="377"/>
      <c r="K996" s="377"/>
      <c r="L996" s="460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  <c r="Z996" s="377"/>
      <c r="AA996" s="377"/>
      <c r="AB996" s="377"/>
    </row>
    <row r="997">
      <c r="A997" s="377"/>
      <c r="B997" s="377"/>
      <c r="C997" s="377"/>
      <c r="D997" s="457"/>
      <c r="E997" s="458"/>
      <c r="F997" s="458"/>
      <c r="G997" s="458"/>
      <c r="H997" s="458"/>
      <c r="I997" s="459"/>
      <c r="J997" s="377"/>
      <c r="K997" s="377"/>
      <c r="L997" s="460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  <c r="Z997" s="377"/>
      <c r="AA997" s="377"/>
      <c r="AB997" s="377"/>
    </row>
    <row r="998">
      <c r="A998" s="377"/>
      <c r="B998" s="377"/>
      <c r="C998" s="377"/>
      <c r="D998" s="457"/>
      <c r="E998" s="458"/>
      <c r="F998" s="458"/>
      <c r="G998" s="458"/>
      <c r="H998" s="458"/>
      <c r="I998" s="459"/>
      <c r="J998" s="377"/>
      <c r="K998" s="377"/>
      <c r="L998" s="460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  <c r="AA998" s="377"/>
      <c r="AB998" s="377"/>
    </row>
    <row r="999">
      <c r="A999" s="377"/>
      <c r="B999" s="377"/>
      <c r="C999" s="377"/>
      <c r="D999" s="457"/>
      <c r="E999" s="458"/>
      <c r="F999" s="458"/>
      <c r="G999" s="458"/>
      <c r="H999" s="458"/>
      <c r="I999" s="459"/>
      <c r="J999" s="377"/>
      <c r="K999" s="377"/>
      <c r="L999" s="460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  <c r="AA999" s="377"/>
      <c r="AB999" s="377"/>
    </row>
    <row r="1000">
      <c r="A1000" s="377"/>
      <c r="B1000" s="377"/>
      <c r="C1000" s="377"/>
      <c r="D1000" s="457"/>
      <c r="E1000" s="458"/>
      <c r="F1000" s="458"/>
      <c r="G1000" s="458"/>
      <c r="H1000" s="458"/>
      <c r="I1000" s="459"/>
      <c r="J1000" s="377"/>
      <c r="K1000" s="377"/>
      <c r="L1000" s="460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  <c r="AA1000" s="377"/>
      <c r="AB1000" s="377"/>
    </row>
    <row r="1001">
      <c r="A1001" s="377"/>
      <c r="B1001" s="377"/>
      <c r="C1001" s="377"/>
      <c r="D1001" s="457"/>
      <c r="E1001" s="458"/>
      <c r="F1001" s="458"/>
      <c r="G1001" s="458"/>
      <c r="H1001" s="458"/>
      <c r="I1001" s="459"/>
      <c r="J1001" s="377"/>
      <c r="K1001" s="377"/>
      <c r="L1001" s="460"/>
      <c r="M1001" s="377"/>
      <c r="N1001" s="377"/>
      <c r="O1001" s="377"/>
      <c r="P1001" s="377"/>
      <c r="Q1001" s="377"/>
      <c r="R1001" s="377"/>
      <c r="S1001" s="377"/>
      <c r="T1001" s="377"/>
      <c r="U1001" s="377"/>
      <c r="V1001" s="377"/>
      <c r="W1001" s="377"/>
      <c r="X1001" s="377"/>
      <c r="Y1001" s="377"/>
      <c r="Z1001" s="377"/>
      <c r="AA1001" s="377"/>
      <c r="AB1001" s="377"/>
    </row>
    <row r="1002">
      <c r="A1002" s="377"/>
      <c r="B1002" s="377"/>
      <c r="C1002" s="377"/>
      <c r="D1002" s="457"/>
      <c r="E1002" s="458"/>
      <c r="F1002" s="458"/>
      <c r="G1002" s="458"/>
      <c r="H1002" s="458"/>
      <c r="I1002" s="459"/>
      <c r="J1002" s="377"/>
      <c r="K1002" s="377"/>
      <c r="L1002" s="460"/>
      <c r="M1002" s="377"/>
      <c r="N1002" s="377"/>
      <c r="O1002" s="377"/>
      <c r="P1002" s="377"/>
      <c r="Q1002" s="377"/>
      <c r="R1002" s="377"/>
      <c r="S1002" s="377"/>
      <c r="T1002" s="377"/>
      <c r="U1002" s="377"/>
      <c r="V1002" s="377"/>
      <c r="W1002" s="377"/>
      <c r="X1002" s="377"/>
      <c r="Y1002" s="377"/>
      <c r="Z1002" s="377"/>
      <c r="AA1002" s="377"/>
      <c r="AB1002" s="377"/>
    </row>
    <row r="1003">
      <c r="A1003" s="377"/>
      <c r="B1003" s="377"/>
      <c r="C1003" s="377"/>
      <c r="D1003" s="457"/>
      <c r="E1003" s="458"/>
      <c r="F1003" s="458"/>
      <c r="G1003" s="458"/>
      <c r="H1003" s="458"/>
      <c r="I1003" s="459"/>
      <c r="J1003" s="377"/>
      <c r="K1003" s="377"/>
      <c r="L1003" s="460"/>
      <c r="M1003" s="377"/>
      <c r="N1003" s="377"/>
      <c r="O1003" s="377"/>
      <c r="P1003" s="377"/>
      <c r="Q1003" s="377"/>
      <c r="R1003" s="377"/>
      <c r="S1003" s="377"/>
      <c r="T1003" s="377"/>
      <c r="U1003" s="377"/>
      <c r="V1003" s="377"/>
      <c r="W1003" s="377"/>
      <c r="X1003" s="377"/>
      <c r="Y1003" s="377"/>
      <c r="Z1003" s="377"/>
      <c r="AA1003" s="377"/>
      <c r="AB1003" s="377"/>
    </row>
    <row r="1004">
      <c r="A1004" s="377"/>
      <c r="B1004" s="377"/>
      <c r="C1004" s="377"/>
      <c r="D1004" s="457"/>
      <c r="E1004" s="458"/>
      <c r="F1004" s="458"/>
      <c r="G1004" s="458"/>
      <c r="H1004" s="458"/>
      <c r="I1004" s="459"/>
      <c r="J1004" s="377"/>
      <c r="K1004" s="377"/>
      <c r="L1004" s="460"/>
      <c r="M1004" s="377"/>
      <c r="N1004" s="377"/>
      <c r="O1004" s="377"/>
      <c r="P1004" s="377"/>
      <c r="Q1004" s="377"/>
      <c r="R1004" s="377"/>
      <c r="S1004" s="377"/>
      <c r="T1004" s="377"/>
      <c r="U1004" s="377"/>
      <c r="V1004" s="377"/>
      <c r="W1004" s="377"/>
      <c r="X1004" s="377"/>
      <c r="Y1004" s="377"/>
      <c r="Z1004" s="377"/>
      <c r="AA1004" s="377"/>
      <c r="AB1004" s="377"/>
    </row>
    <row r="1005">
      <c r="A1005" s="377"/>
      <c r="B1005" s="377"/>
      <c r="C1005" s="377"/>
      <c r="D1005" s="457"/>
      <c r="E1005" s="458"/>
      <c r="F1005" s="458"/>
      <c r="G1005" s="458"/>
      <c r="H1005" s="458"/>
      <c r="I1005" s="459"/>
      <c r="J1005" s="377"/>
      <c r="K1005" s="377"/>
      <c r="L1005" s="460"/>
      <c r="M1005" s="377"/>
      <c r="N1005" s="377"/>
      <c r="O1005" s="377"/>
      <c r="P1005" s="377"/>
      <c r="Q1005" s="377"/>
      <c r="R1005" s="377"/>
      <c r="S1005" s="377"/>
      <c r="T1005" s="377"/>
      <c r="U1005" s="377"/>
      <c r="V1005" s="377"/>
      <c r="W1005" s="377"/>
      <c r="X1005" s="377"/>
      <c r="Y1005" s="377"/>
      <c r="Z1005" s="377"/>
      <c r="AA1005" s="377"/>
      <c r="AB1005" s="377"/>
    </row>
    <row r="1006">
      <c r="A1006" s="377"/>
      <c r="B1006" s="377"/>
      <c r="C1006" s="377"/>
      <c r="D1006" s="457"/>
      <c r="E1006" s="458"/>
      <c r="F1006" s="458"/>
      <c r="G1006" s="458"/>
      <c r="H1006" s="458"/>
      <c r="I1006" s="459"/>
      <c r="J1006" s="377"/>
      <c r="K1006" s="377"/>
      <c r="L1006" s="460"/>
      <c r="M1006" s="377"/>
      <c r="N1006" s="377"/>
      <c r="O1006" s="377"/>
      <c r="P1006" s="377"/>
      <c r="Q1006" s="377"/>
      <c r="R1006" s="377"/>
      <c r="S1006" s="377"/>
      <c r="T1006" s="377"/>
      <c r="U1006" s="377"/>
      <c r="V1006" s="377"/>
      <c r="W1006" s="377"/>
      <c r="X1006" s="377"/>
      <c r="Y1006" s="377"/>
      <c r="Z1006" s="377"/>
      <c r="AA1006" s="377"/>
      <c r="AB1006" s="377"/>
    </row>
  </sheetData>
  <autoFilter ref="$A$1:$AB$14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63"/>
    <col customWidth="1" min="7" max="7" width="11.88"/>
    <col customWidth="1" min="9" max="9" width="2.63"/>
    <col customWidth="1" min="16" max="16" width="3.0"/>
    <col customWidth="1" min="23" max="23" width="2.63"/>
  </cols>
  <sheetData>
    <row r="1">
      <c r="A1" s="212"/>
      <c r="R1" s="212"/>
    </row>
    <row r="2">
      <c r="A2" s="212"/>
      <c r="R2" s="212"/>
    </row>
    <row r="3">
      <c r="A3" s="251" t="s">
        <v>788</v>
      </c>
      <c r="B3" s="252" t="s">
        <v>25</v>
      </c>
      <c r="C3" s="252" t="s">
        <v>232</v>
      </c>
      <c r="D3" s="252" t="s">
        <v>27</v>
      </c>
      <c r="E3" s="252" t="s">
        <v>3</v>
      </c>
      <c r="F3" s="252" t="s">
        <v>232</v>
      </c>
      <c r="G3" s="252" t="s">
        <v>25</v>
      </c>
      <c r="H3" s="287" t="s">
        <v>2222</v>
      </c>
      <c r="I3" s="255"/>
      <c r="J3" s="252" t="s">
        <v>232</v>
      </c>
      <c r="K3" s="253"/>
      <c r="L3" s="253"/>
      <c r="M3" s="253"/>
      <c r="N3" s="253"/>
      <c r="O3" s="254"/>
      <c r="P3" s="255"/>
      <c r="Q3" s="253"/>
      <c r="R3" s="256"/>
      <c r="S3" s="253"/>
      <c r="T3" s="253"/>
      <c r="U3" s="253"/>
      <c r="V3" s="254"/>
      <c r="W3" s="255"/>
      <c r="X3" s="253"/>
      <c r="Y3" s="256"/>
      <c r="Z3" s="253"/>
      <c r="AA3" s="253"/>
      <c r="AB3" s="253"/>
      <c r="AC3" s="254"/>
      <c r="AD3" s="253"/>
      <c r="AE3" s="252"/>
      <c r="AF3" s="252"/>
      <c r="AG3" s="252"/>
      <c r="AH3" s="252"/>
      <c r="AI3" s="252"/>
      <c r="AJ3" s="262"/>
    </row>
    <row r="4">
      <c r="A4" s="206"/>
      <c r="B4" s="260" t="s">
        <v>2223</v>
      </c>
      <c r="C4" s="260" t="s">
        <v>2224</v>
      </c>
      <c r="D4" s="260" t="s">
        <v>2225</v>
      </c>
      <c r="E4" s="260" t="s">
        <v>2226</v>
      </c>
      <c r="F4" s="260" t="s">
        <v>2227</v>
      </c>
      <c r="G4" s="260" t="s">
        <v>2228</v>
      </c>
      <c r="H4" s="260" t="s">
        <v>2229</v>
      </c>
      <c r="I4" s="260"/>
      <c r="J4" s="260">
        <v>23.08</v>
      </c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2"/>
    </row>
    <row r="5">
      <c r="A5" s="263" t="s">
        <v>816</v>
      </c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81"/>
      <c r="O5" s="275"/>
      <c r="P5" s="275"/>
      <c r="Q5" s="282"/>
      <c r="R5" s="288"/>
      <c r="S5" s="282"/>
      <c r="T5" s="288"/>
      <c r="U5" s="264"/>
      <c r="V5" s="264"/>
      <c r="W5" s="264"/>
      <c r="X5" s="264"/>
      <c r="Y5" s="264"/>
      <c r="Z5" s="264"/>
      <c r="AA5" s="265"/>
      <c r="AB5" s="264"/>
      <c r="AC5" s="264"/>
      <c r="AD5" s="264"/>
      <c r="AE5" s="264"/>
      <c r="AF5" s="264"/>
      <c r="AG5" s="264"/>
      <c r="AH5" s="264"/>
      <c r="AI5" s="264"/>
      <c r="AJ5" s="206"/>
    </row>
    <row r="6">
      <c r="A6" s="11" t="s">
        <v>817</v>
      </c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81"/>
      <c r="O6" s="275"/>
      <c r="P6" s="275"/>
      <c r="Q6" s="282"/>
      <c r="R6" s="288"/>
      <c r="S6" s="282"/>
      <c r="T6" s="288"/>
      <c r="U6" s="264"/>
      <c r="V6" s="264"/>
      <c r="W6" s="264"/>
      <c r="X6" s="264"/>
      <c r="Y6" s="264"/>
      <c r="Z6" s="264"/>
      <c r="AA6" s="265"/>
      <c r="AB6" s="264"/>
      <c r="AC6" s="264"/>
      <c r="AD6" s="264"/>
      <c r="AE6" s="264"/>
      <c r="AF6" s="264"/>
      <c r="AG6" s="264"/>
      <c r="AH6" s="264"/>
      <c r="AI6" s="264"/>
      <c r="AJ6" s="206"/>
    </row>
    <row r="7">
      <c r="A7" s="11" t="s">
        <v>310</v>
      </c>
      <c r="B7" s="275"/>
      <c r="C7" s="282"/>
      <c r="D7" s="275"/>
      <c r="E7" s="275"/>
      <c r="F7" s="275"/>
      <c r="G7" s="275"/>
      <c r="H7" s="275"/>
      <c r="I7" s="275"/>
      <c r="J7" s="282"/>
      <c r="K7" s="282"/>
      <c r="L7" s="282"/>
      <c r="M7" s="282"/>
      <c r="N7" s="275"/>
      <c r="O7" s="275"/>
      <c r="P7" s="275"/>
      <c r="Q7" s="282"/>
      <c r="R7" s="288"/>
      <c r="S7" s="282"/>
      <c r="T7" s="282"/>
      <c r="U7" s="264"/>
      <c r="V7" s="264"/>
      <c r="W7" s="264"/>
      <c r="X7" s="264"/>
      <c r="Y7" s="268"/>
      <c r="Z7" s="264"/>
      <c r="AA7" s="283"/>
      <c r="AB7" s="264"/>
      <c r="AC7" s="264"/>
      <c r="AD7" s="264"/>
      <c r="AE7" s="264"/>
      <c r="AF7" s="264"/>
      <c r="AG7" s="264"/>
      <c r="AH7" s="264"/>
      <c r="AI7" s="264"/>
      <c r="AJ7" s="206"/>
    </row>
    <row r="8">
      <c r="A8" s="11" t="s">
        <v>819</v>
      </c>
      <c r="B8" s="275"/>
      <c r="C8" s="282"/>
      <c r="D8" s="275"/>
      <c r="E8" s="282"/>
      <c r="F8" s="290">
        <v>1000.0</v>
      </c>
      <c r="G8" s="275"/>
      <c r="H8" s="275"/>
      <c r="I8" s="275"/>
      <c r="J8" s="266">
        <v>1000.0</v>
      </c>
      <c r="K8" s="282"/>
      <c r="L8" s="282"/>
      <c r="M8" s="282"/>
      <c r="N8" s="275"/>
      <c r="O8" s="275"/>
      <c r="P8" s="275"/>
      <c r="Q8" s="282"/>
      <c r="R8" s="282"/>
      <c r="S8" s="282"/>
      <c r="T8" s="282"/>
      <c r="U8" s="264"/>
      <c r="V8" s="264"/>
      <c r="W8" s="264"/>
      <c r="X8" s="264"/>
      <c r="Y8" s="268"/>
      <c r="Z8" s="264"/>
      <c r="AA8" s="268"/>
      <c r="AB8" s="264"/>
      <c r="AC8" s="264"/>
      <c r="AD8" s="264"/>
      <c r="AE8" s="264"/>
      <c r="AF8" s="264"/>
      <c r="AG8" s="264"/>
      <c r="AH8" s="264"/>
      <c r="AI8" s="264"/>
      <c r="AJ8" s="206"/>
    </row>
    <row r="9">
      <c r="A9" s="20" t="s">
        <v>10</v>
      </c>
      <c r="B9" s="275"/>
      <c r="C9" s="275"/>
      <c r="D9" s="275"/>
      <c r="E9" s="275"/>
      <c r="F9" s="275"/>
      <c r="G9" s="275"/>
      <c r="H9" s="275"/>
      <c r="I9" s="275"/>
      <c r="J9" s="275"/>
      <c r="K9" s="282"/>
      <c r="L9" s="275"/>
      <c r="M9" s="282"/>
      <c r="N9" s="282"/>
      <c r="O9" s="275"/>
      <c r="P9" s="275"/>
      <c r="Q9" s="282"/>
      <c r="R9" s="288"/>
      <c r="S9" s="282"/>
      <c r="T9" s="282"/>
      <c r="U9" s="264"/>
      <c r="V9" s="270"/>
      <c r="W9" s="264"/>
      <c r="X9" s="265"/>
      <c r="Y9" s="283"/>
      <c r="Z9" s="283"/>
      <c r="AA9" s="265"/>
      <c r="AB9" s="270"/>
      <c r="AC9" s="264"/>
      <c r="AD9" s="265"/>
      <c r="AE9" s="265"/>
      <c r="AF9" s="265"/>
      <c r="AG9" s="265"/>
      <c r="AH9" s="265"/>
      <c r="AI9" s="265"/>
      <c r="AJ9" s="271"/>
    </row>
    <row r="10">
      <c r="A10" s="17" t="s">
        <v>866</v>
      </c>
      <c r="B10" s="275"/>
      <c r="C10" s="275"/>
      <c r="D10" s="275"/>
      <c r="E10" s="275"/>
      <c r="F10" s="275"/>
      <c r="G10" s="275"/>
      <c r="H10" s="275"/>
      <c r="I10" s="275"/>
      <c r="J10" s="275"/>
      <c r="K10" s="282"/>
      <c r="L10" s="275"/>
      <c r="M10" s="282"/>
      <c r="N10" s="282"/>
      <c r="O10" s="275"/>
      <c r="P10" s="275"/>
      <c r="Q10" s="282"/>
      <c r="R10" s="288"/>
      <c r="S10" s="282"/>
      <c r="T10" s="288"/>
      <c r="U10" s="264"/>
      <c r="V10" s="264"/>
      <c r="W10" s="264"/>
      <c r="X10" s="264"/>
      <c r="Y10" s="264"/>
      <c r="Z10" s="283"/>
      <c r="AA10" s="264"/>
      <c r="AB10" s="264"/>
      <c r="AC10" s="264"/>
      <c r="AD10" s="264"/>
      <c r="AE10" s="264"/>
      <c r="AF10" s="264"/>
      <c r="AG10" s="264"/>
      <c r="AH10" s="264"/>
      <c r="AI10" s="264"/>
      <c r="AJ10" s="206"/>
    </row>
    <row r="11">
      <c r="A11" s="17" t="s">
        <v>867</v>
      </c>
      <c r="B11" s="275"/>
      <c r="C11" s="275"/>
      <c r="D11" s="275"/>
      <c r="E11" s="275"/>
      <c r="F11" s="275"/>
      <c r="G11" s="275"/>
      <c r="H11" s="275"/>
      <c r="I11" s="275"/>
      <c r="J11" s="275"/>
      <c r="K11" s="282"/>
      <c r="L11" s="275"/>
      <c r="M11" s="282"/>
      <c r="N11" s="282"/>
      <c r="O11" s="275"/>
      <c r="P11" s="275"/>
      <c r="Q11" s="282"/>
      <c r="R11" s="288"/>
      <c r="S11" s="282"/>
      <c r="T11" s="288"/>
      <c r="U11" s="264"/>
      <c r="V11" s="264"/>
      <c r="W11" s="264"/>
      <c r="X11" s="264"/>
      <c r="Y11" s="264"/>
      <c r="Z11" s="283"/>
      <c r="AA11" s="264"/>
      <c r="AB11" s="264"/>
      <c r="AC11" s="264"/>
      <c r="AD11" s="264"/>
      <c r="AE11" s="264"/>
      <c r="AF11" s="264"/>
      <c r="AG11" s="264"/>
      <c r="AH11" s="264"/>
      <c r="AI11" s="264"/>
      <c r="AJ11" s="206"/>
    </row>
    <row r="12">
      <c r="A12" s="17" t="s">
        <v>818</v>
      </c>
      <c r="B12" s="275"/>
      <c r="C12" s="295">
        <v>500.0</v>
      </c>
      <c r="D12" s="282"/>
      <c r="E12" s="275"/>
      <c r="F12" s="275"/>
      <c r="G12" s="275"/>
      <c r="H12" s="282"/>
      <c r="I12" s="275"/>
      <c r="J12" s="282"/>
      <c r="K12" s="282"/>
      <c r="L12" s="282"/>
      <c r="M12" s="282"/>
      <c r="N12" s="275"/>
      <c r="O12" s="275"/>
      <c r="P12" s="275"/>
      <c r="Q12" s="282"/>
      <c r="R12" s="282"/>
      <c r="S12" s="282"/>
      <c r="T12" s="281"/>
      <c r="U12" s="268"/>
      <c r="V12" s="264"/>
      <c r="W12" s="264"/>
      <c r="X12" s="264"/>
      <c r="Y12" s="282"/>
      <c r="Z12" s="275"/>
      <c r="AA12" s="282"/>
      <c r="AB12" s="275"/>
      <c r="AC12" s="275"/>
      <c r="AD12" s="275"/>
      <c r="AE12" s="275"/>
      <c r="AF12" s="275"/>
      <c r="AG12" s="275"/>
      <c r="AH12" s="275"/>
      <c r="AI12" s="275"/>
      <c r="AJ12" s="206"/>
    </row>
    <row r="13">
      <c r="A13" s="17" t="s">
        <v>827</v>
      </c>
      <c r="B13" s="275"/>
      <c r="C13" s="295">
        <v>500.0</v>
      </c>
      <c r="D13" s="282"/>
      <c r="E13" s="275"/>
      <c r="F13" s="275"/>
      <c r="G13" s="275"/>
      <c r="H13" s="282"/>
      <c r="I13" s="275"/>
      <c r="J13" s="282"/>
      <c r="K13" s="282"/>
      <c r="L13" s="282"/>
      <c r="M13" s="282"/>
      <c r="N13" s="275"/>
      <c r="O13" s="275"/>
      <c r="P13" s="275"/>
      <c r="Q13" s="282"/>
      <c r="R13" s="282"/>
      <c r="S13" s="282"/>
      <c r="T13" s="281"/>
      <c r="U13" s="268"/>
      <c r="V13" s="264"/>
      <c r="W13" s="264"/>
      <c r="X13" s="264"/>
      <c r="Y13" s="282"/>
      <c r="Z13" s="275"/>
      <c r="AA13" s="282"/>
      <c r="AB13" s="275"/>
      <c r="AC13" s="275"/>
      <c r="AD13" s="275"/>
      <c r="AE13" s="275"/>
      <c r="AF13" s="275"/>
      <c r="AG13" s="275"/>
      <c r="AH13" s="275"/>
      <c r="AI13" s="275"/>
      <c r="AJ13" s="206"/>
    </row>
    <row r="14">
      <c r="A14" s="20" t="s">
        <v>832</v>
      </c>
      <c r="B14" s="290">
        <v>1520.0</v>
      </c>
      <c r="C14" s="275"/>
      <c r="D14" s="282"/>
      <c r="E14" s="275"/>
      <c r="F14" s="275"/>
      <c r="G14" s="284"/>
      <c r="H14" s="275"/>
      <c r="I14" s="275"/>
      <c r="J14" s="284"/>
      <c r="K14" s="282"/>
      <c r="L14" s="282"/>
      <c r="M14" s="275"/>
      <c r="N14" s="275"/>
      <c r="O14" s="275"/>
      <c r="P14" s="275"/>
      <c r="Q14" s="282"/>
      <c r="R14" s="282"/>
      <c r="S14" s="282"/>
      <c r="T14" s="282"/>
      <c r="U14" s="264"/>
      <c r="V14" s="264"/>
      <c r="W14" s="264"/>
      <c r="X14" s="283"/>
      <c r="Y14" s="288"/>
      <c r="Z14" s="288"/>
      <c r="AA14" s="281"/>
      <c r="AB14" s="275"/>
      <c r="AC14" s="275"/>
      <c r="AD14" s="275"/>
      <c r="AE14" s="275"/>
      <c r="AF14" s="275"/>
      <c r="AG14" s="275"/>
      <c r="AH14" s="275"/>
      <c r="AI14" s="282"/>
      <c r="AJ14" s="206"/>
    </row>
    <row r="15">
      <c r="A15" s="20" t="s">
        <v>835</v>
      </c>
      <c r="B15" s="275"/>
      <c r="C15" s="275"/>
      <c r="D15" s="282"/>
      <c r="E15" s="275"/>
      <c r="F15" s="275"/>
      <c r="G15" s="284"/>
      <c r="H15" s="275"/>
      <c r="I15" s="275"/>
      <c r="J15" s="284"/>
      <c r="K15" s="282"/>
      <c r="L15" s="282"/>
      <c r="M15" s="275"/>
      <c r="N15" s="275"/>
      <c r="O15" s="275"/>
      <c r="P15" s="275"/>
      <c r="Q15" s="282"/>
      <c r="R15" s="282"/>
      <c r="S15" s="282"/>
      <c r="T15" s="282"/>
      <c r="U15" s="264"/>
      <c r="V15" s="264"/>
      <c r="W15" s="264"/>
      <c r="X15" s="283"/>
      <c r="Y15" s="288"/>
      <c r="Z15" s="288"/>
      <c r="AA15" s="281"/>
      <c r="AB15" s="275"/>
      <c r="AC15" s="275"/>
      <c r="AD15" s="275"/>
      <c r="AE15" s="275"/>
      <c r="AF15" s="275"/>
      <c r="AG15" s="275"/>
      <c r="AH15" s="275"/>
      <c r="AI15" s="282"/>
      <c r="AJ15" s="206"/>
    </row>
    <row r="16">
      <c r="A16" s="20" t="s">
        <v>836</v>
      </c>
      <c r="B16" s="275"/>
      <c r="C16" s="275"/>
      <c r="D16" s="282"/>
      <c r="E16" s="275"/>
      <c r="F16" s="275"/>
      <c r="G16" s="284"/>
      <c r="H16" s="275"/>
      <c r="I16" s="275"/>
      <c r="J16" s="284"/>
      <c r="K16" s="282"/>
      <c r="L16" s="282"/>
      <c r="M16" s="275"/>
      <c r="N16" s="275"/>
      <c r="O16" s="275"/>
      <c r="P16" s="275"/>
      <c r="Q16" s="282"/>
      <c r="R16" s="282"/>
      <c r="S16" s="282"/>
      <c r="T16" s="282"/>
      <c r="U16" s="264"/>
      <c r="V16" s="264"/>
      <c r="W16" s="264"/>
      <c r="X16" s="283"/>
      <c r="Y16" s="288"/>
      <c r="Z16" s="288"/>
      <c r="AA16" s="281"/>
      <c r="AB16" s="275"/>
      <c r="AC16" s="275"/>
      <c r="AD16" s="275"/>
      <c r="AE16" s="275"/>
      <c r="AF16" s="275"/>
      <c r="AG16" s="275"/>
      <c r="AH16" s="275"/>
      <c r="AI16" s="275"/>
      <c r="AJ16" s="206"/>
    </row>
    <row r="17">
      <c r="A17" s="272" t="s">
        <v>824</v>
      </c>
      <c r="B17" s="275"/>
      <c r="C17" s="282"/>
      <c r="D17" s="282"/>
      <c r="E17" s="275"/>
      <c r="F17" s="275"/>
      <c r="G17" s="275"/>
      <c r="H17" s="275"/>
      <c r="I17" s="275"/>
      <c r="J17" s="282"/>
      <c r="K17" s="275"/>
      <c r="L17" s="282"/>
      <c r="M17" s="275"/>
      <c r="N17" s="275"/>
      <c r="O17" s="275"/>
      <c r="P17" s="275"/>
      <c r="Q17" s="282"/>
      <c r="R17" s="288"/>
      <c r="S17" s="282"/>
      <c r="T17" s="288"/>
      <c r="U17" s="77"/>
      <c r="V17" s="264"/>
      <c r="W17" s="264"/>
      <c r="X17" s="264"/>
      <c r="Y17" s="292"/>
      <c r="Z17" s="281"/>
      <c r="AA17" s="275"/>
      <c r="AB17" s="275"/>
      <c r="AC17" s="275"/>
      <c r="AD17" s="275"/>
      <c r="AE17" s="275"/>
      <c r="AF17" s="275"/>
      <c r="AG17" s="275"/>
      <c r="AH17" s="275"/>
      <c r="AI17" s="275"/>
      <c r="AJ17" s="206"/>
    </row>
    <row r="18">
      <c r="A18" s="67" t="s">
        <v>869</v>
      </c>
      <c r="B18" s="275"/>
      <c r="C18" s="282"/>
      <c r="D18" s="275"/>
      <c r="E18" s="275"/>
      <c r="F18" s="275"/>
      <c r="G18" s="275"/>
      <c r="H18" s="275"/>
      <c r="I18" s="275"/>
      <c r="J18" s="282"/>
      <c r="K18" s="275"/>
      <c r="L18" s="282"/>
      <c r="M18" s="275"/>
      <c r="N18" s="275"/>
      <c r="O18" s="275"/>
      <c r="P18" s="275"/>
      <c r="Q18" s="282"/>
      <c r="R18" s="288"/>
      <c r="S18" s="282"/>
      <c r="T18" s="288"/>
      <c r="U18" s="77"/>
      <c r="V18" s="264"/>
      <c r="W18" s="264"/>
      <c r="X18" s="264"/>
      <c r="Y18" s="288"/>
      <c r="Z18" s="281"/>
      <c r="AA18" s="275"/>
      <c r="AB18" s="275"/>
      <c r="AC18" s="275"/>
      <c r="AD18" s="275"/>
      <c r="AE18" s="275"/>
      <c r="AF18" s="275"/>
      <c r="AG18" s="275"/>
      <c r="AH18" s="275"/>
      <c r="AI18" s="275"/>
      <c r="AJ18" s="206"/>
    </row>
    <row r="19">
      <c r="A19" s="67" t="s">
        <v>870</v>
      </c>
      <c r="B19" s="275"/>
      <c r="C19" s="282"/>
      <c r="D19" s="275"/>
      <c r="E19" s="275"/>
      <c r="F19" s="275"/>
      <c r="G19" s="275"/>
      <c r="H19" s="275"/>
      <c r="I19" s="275"/>
      <c r="J19" s="282"/>
      <c r="K19" s="275"/>
      <c r="L19" s="282"/>
      <c r="M19" s="275"/>
      <c r="N19" s="275"/>
      <c r="O19" s="275"/>
      <c r="P19" s="275"/>
      <c r="Q19" s="282"/>
      <c r="R19" s="288"/>
      <c r="S19" s="282"/>
      <c r="T19" s="288"/>
      <c r="U19" s="77"/>
      <c r="V19" s="264"/>
      <c r="W19" s="264"/>
      <c r="X19" s="264"/>
      <c r="Y19" s="288"/>
      <c r="Z19" s="281"/>
      <c r="AA19" s="275"/>
      <c r="AB19" s="275"/>
      <c r="AC19" s="275"/>
      <c r="AD19" s="275"/>
      <c r="AE19" s="275"/>
      <c r="AF19" s="275"/>
      <c r="AG19" s="275"/>
      <c r="AH19" s="275"/>
      <c r="AI19" s="275"/>
      <c r="AJ19" s="206"/>
    </row>
    <row r="20">
      <c r="A20" s="272" t="s">
        <v>825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64"/>
      <c r="V20" s="264"/>
      <c r="W20" s="264"/>
      <c r="X20" s="264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  <c r="AI20" s="275"/>
      <c r="AJ20" s="206"/>
    </row>
    <row r="21">
      <c r="A21" s="272" t="s">
        <v>826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64"/>
      <c r="V21" s="264"/>
      <c r="W21" s="264"/>
      <c r="X21" s="264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06"/>
    </row>
    <row r="22">
      <c r="A22" s="274" t="s">
        <v>680</v>
      </c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64"/>
      <c r="V22" s="264"/>
      <c r="W22" s="264"/>
      <c r="X22" s="264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  <c r="AI22" s="275"/>
      <c r="AJ22" s="206"/>
    </row>
    <row r="23">
      <c r="A23" s="274" t="s">
        <v>828</v>
      </c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64"/>
      <c r="V23" s="264"/>
      <c r="W23" s="264"/>
      <c r="X23" s="264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06"/>
    </row>
    <row r="24">
      <c r="A24" s="20" t="s">
        <v>829</v>
      </c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82"/>
      <c r="U24" s="264"/>
      <c r="V24" s="264"/>
      <c r="W24" s="264"/>
      <c r="X24" s="264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06"/>
    </row>
    <row r="25">
      <c r="A25" s="20" t="s">
        <v>830</v>
      </c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64"/>
      <c r="V25" s="264"/>
      <c r="W25" s="264"/>
      <c r="X25" s="264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06"/>
    </row>
    <row r="26">
      <c r="A26" s="67" t="s">
        <v>871</v>
      </c>
      <c r="B26" s="275"/>
      <c r="C26" s="275"/>
      <c r="D26" s="275"/>
      <c r="E26" s="275"/>
      <c r="F26" s="275"/>
      <c r="G26" s="290">
        <v>180.0</v>
      </c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64"/>
      <c r="V26" s="264"/>
      <c r="W26" s="264"/>
      <c r="X26" s="264"/>
      <c r="Y26" s="275"/>
      <c r="Z26" s="275"/>
      <c r="AA26" s="275"/>
      <c r="AB26" s="275"/>
      <c r="AC26" s="282"/>
      <c r="AD26" s="275"/>
      <c r="AE26" s="275"/>
      <c r="AF26" s="275"/>
      <c r="AG26" s="275"/>
      <c r="AH26" s="275"/>
      <c r="AI26" s="275"/>
      <c r="AJ26" s="206"/>
    </row>
    <row r="27">
      <c r="A27" s="67" t="s">
        <v>948</v>
      </c>
      <c r="B27" s="275"/>
      <c r="C27" s="275"/>
      <c r="D27" s="275"/>
      <c r="E27" s="275"/>
      <c r="F27" s="275"/>
      <c r="G27" s="290">
        <v>180.0</v>
      </c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64"/>
      <c r="V27" s="264"/>
      <c r="W27" s="264"/>
      <c r="X27" s="264"/>
      <c r="Y27" s="275"/>
      <c r="Z27" s="275"/>
      <c r="AA27" s="275"/>
      <c r="AB27" s="275"/>
      <c r="AC27" s="282"/>
      <c r="AD27" s="275"/>
      <c r="AE27" s="275"/>
      <c r="AF27" s="275"/>
      <c r="AG27" s="275"/>
      <c r="AH27" s="275"/>
      <c r="AI27" s="275"/>
      <c r="AJ27" s="206"/>
    </row>
    <row r="28">
      <c r="A28" s="67" t="s">
        <v>872</v>
      </c>
      <c r="B28" s="275"/>
      <c r="C28" s="275"/>
      <c r="D28" s="275"/>
      <c r="E28" s="290">
        <v>180.0</v>
      </c>
      <c r="F28" s="275"/>
      <c r="G28" s="290">
        <v>180.0</v>
      </c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64"/>
      <c r="V28" s="264"/>
      <c r="W28" s="264"/>
      <c r="X28" s="264"/>
      <c r="Y28" s="275"/>
      <c r="Z28" s="275"/>
      <c r="AA28" s="275"/>
      <c r="AB28" s="275"/>
      <c r="AC28" s="282"/>
      <c r="AD28" s="275"/>
      <c r="AE28" s="275"/>
      <c r="AF28" s="275"/>
      <c r="AG28" s="275"/>
      <c r="AH28" s="275"/>
      <c r="AI28" s="275"/>
      <c r="AJ28" s="206"/>
    </row>
    <row r="29">
      <c r="A29" s="67" t="s">
        <v>873</v>
      </c>
      <c r="B29" s="275"/>
      <c r="C29" s="275"/>
      <c r="D29" s="275"/>
      <c r="E29" s="275"/>
      <c r="F29" s="275"/>
      <c r="G29" s="284"/>
      <c r="H29" s="275"/>
      <c r="I29" s="275"/>
      <c r="J29" s="284"/>
      <c r="K29" s="275"/>
      <c r="L29" s="275"/>
      <c r="M29" s="275"/>
      <c r="N29" s="275"/>
      <c r="O29" s="275"/>
      <c r="P29" s="275"/>
      <c r="Q29" s="275"/>
      <c r="R29" s="284"/>
      <c r="S29" s="275"/>
      <c r="T29" s="275"/>
      <c r="U29" s="264"/>
      <c r="V29" s="264"/>
      <c r="W29" s="264"/>
      <c r="X29" s="265"/>
      <c r="Y29" s="281"/>
      <c r="Z29" s="281"/>
      <c r="AA29" s="281"/>
      <c r="AB29" s="275"/>
      <c r="AC29" s="282"/>
      <c r="AD29" s="275"/>
      <c r="AE29" s="275"/>
      <c r="AF29" s="275"/>
      <c r="AG29" s="275"/>
      <c r="AH29" s="275"/>
      <c r="AI29" s="275"/>
      <c r="AJ29" s="206"/>
    </row>
    <row r="30">
      <c r="A30" s="20" t="s">
        <v>837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64"/>
      <c r="V30" s="264"/>
      <c r="W30" s="264"/>
      <c r="X30" s="264"/>
      <c r="Y30" s="275"/>
      <c r="Z30" s="275"/>
      <c r="AA30" s="275"/>
      <c r="AB30" s="275"/>
      <c r="AC30" s="275"/>
      <c r="AD30" s="275"/>
      <c r="AE30" s="275"/>
      <c r="AF30" s="275"/>
      <c r="AG30" s="275"/>
      <c r="AH30" s="275"/>
      <c r="AI30" s="275"/>
      <c r="AJ30" s="206"/>
    </row>
    <row r="31">
      <c r="A31" s="20" t="s">
        <v>12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64"/>
      <c r="V31" s="264"/>
      <c r="W31" s="264"/>
      <c r="X31" s="264"/>
      <c r="Y31" s="288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06"/>
    </row>
    <row r="32">
      <c r="A32" s="20" t="s">
        <v>838</v>
      </c>
      <c r="B32" s="275"/>
      <c r="C32" s="275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64"/>
      <c r="V32" s="264"/>
      <c r="W32" s="264"/>
      <c r="X32" s="264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06"/>
    </row>
    <row r="33">
      <c r="A33" s="67" t="s">
        <v>822</v>
      </c>
      <c r="B33" s="112"/>
      <c r="C33" s="285"/>
      <c r="D33" s="285"/>
      <c r="E33" s="285"/>
      <c r="F33" s="285"/>
      <c r="G33" s="112"/>
      <c r="H33" s="112"/>
      <c r="I33" s="112"/>
      <c r="J33" s="285"/>
      <c r="K33" s="112"/>
      <c r="L33" s="285"/>
      <c r="M33" s="112"/>
      <c r="N33" s="112"/>
      <c r="O33" s="112"/>
      <c r="P33" s="112"/>
      <c r="Q33" s="112"/>
      <c r="R33" s="285"/>
      <c r="S33" s="285"/>
      <c r="T33" s="285"/>
      <c r="U33" s="77"/>
      <c r="V33" s="77"/>
      <c r="W33" s="77"/>
      <c r="X33" s="77"/>
      <c r="Y33" s="365"/>
      <c r="Z33" s="112"/>
      <c r="AA33" s="292"/>
      <c r="AB33" s="112"/>
      <c r="AC33" s="112"/>
      <c r="AD33" s="112"/>
      <c r="AE33" s="112"/>
      <c r="AF33" s="112"/>
      <c r="AG33" s="112"/>
      <c r="AH33" s="112"/>
      <c r="AI33" s="112"/>
    </row>
    <row r="34">
      <c r="A34" s="67" t="s">
        <v>677</v>
      </c>
      <c r="B34" s="112"/>
      <c r="C34" s="285"/>
      <c r="D34" s="285"/>
      <c r="E34" s="285"/>
      <c r="F34" s="285"/>
      <c r="G34" s="112"/>
      <c r="H34" s="300">
        <v>1120.0</v>
      </c>
      <c r="I34" s="112"/>
      <c r="J34" s="300">
        <v>2560.0</v>
      </c>
      <c r="K34" s="112"/>
      <c r="L34" s="285"/>
      <c r="M34" s="112"/>
      <c r="N34" s="112"/>
      <c r="O34" s="112"/>
      <c r="P34" s="112"/>
      <c r="Q34" s="112"/>
      <c r="R34" s="285"/>
      <c r="S34" s="285"/>
      <c r="T34" s="285"/>
      <c r="U34" s="77"/>
      <c r="V34" s="77"/>
      <c r="W34" s="77"/>
      <c r="X34" s="77"/>
      <c r="Y34" s="285"/>
      <c r="Z34" s="112"/>
      <c r="AA34" s="285"/>
      <c r="AB34" s="285"/>
      <c r="AC34" s="112"/>
      <c r="AD34" s="112"/>
      <c r="AE34" s="112"/>
      <c r="AF34" s="112"/>
      <c r="AG34" s="112"/>
      <c r="AH34" s="112"/>
      <c r="AI34" s="112"/>
    </row>
    <row r="35">
      <c r="A35" s="67" t="s">
        <v>875</v>
      </c>
      <c r="B35" s="112"/>
      <c r="C35" s="285"/>
      <c r="D35" s="285"/>
      <c r="E35" s="285"/>
      <c r="F35" s="285"/>
      <c r="G35" s="112"/>
      <c r="H35" s="112"/>
      <c r="I35" s="112"/>
      <c r="J35" s="285"/>
      <c r="K35" s="112"/>
      <c r="L35" s="285"/>
      <c r="M35" s="112"/>
      <c r="N35" s="112"/>
      <c r="O35" s="112"/>
      <c r="P35" s="112"/>
      <c r="Q35" s="112"/>
      <c r="R35" s="285"/>
      <c r="S35" s="285"/>
      <c r="T35" s="285"/>
      <c r="U35" s="77"/>
      <c r="V35" s="77"/>
      <c r="W35" s="77"/>
      <c r="X35" s="77"/>
      <c r="Y35" s="285"/>
      <c r="Z35" s="112"/>
      <c r="AA35" s="285"/>
      <c r="AB35" s="112"/>
      <c r="AC35" s="112"/>
      <c r="AD35" s="112"/>
      <c r="AE35" s="112"/>
      <c r="AF35" s="112"/>
      <c r="AG35" s="112"/>
      <c r="AH35" s="112"/>
      <c r="AI35" s="112"/>
    </row>
    <row r="36">
      <c r="A36" s="67" t="s">
        <v>263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365"/>
      <c r="R36" s="296"/>
      <c r="S36" s="112"/>
      <c r="T36" s="112"/>
      <c r="U36" s="77"/>
      <c r="V36" s="77"/>
      <c r="W36" s="77"/>
      <c r="X36" s="77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</row>
    <row r="37">
      <c r="A37" s="67" t="s">
        <v>914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285"/>
      <c r="R37" s="285"/>
      <c r="S37" s="285"/>
      <c r="T37" s="112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6.25"/>
    <col customWidth="1" min="3" max="3" width="27.25"/>
    <col customWidth="1" min="4" max="4" width="23.88"/>
    <col customWidth="1" min="5" max="5" width="24.5"/>
    <col customWidth="1" min="6" max="6" width="25.63"/>
    <col customWidth="1" min="7" max="7" width="26.88"/>
    <col customWidth="1" min="8" max="8" width="21.13"/>
    <col customWidth="1" min="9" max="9" width="8.63"/>
    <col customWidth="1" min="10" max="10" width="26.13"/>
    <col customWidth="1" min="11" max="11" width="21.88"/>
    <col customWidth="1" min="12" max="12" width="30.13"/>
    <col customWidth="1" min="13" max="13" width="42.25"/>
    <col customWidth="1" min="14" max="25" width="8.63"/>
  </cols>
  <sheetData>
    <row r="1" ht="14.25" customHeight="1">
      <c r="A1" s="461" t="s">
        <v>0</v>
      </c>
      <c r="B1" s="462"/>
      <c r="C1" s="234" t="s">
        <v>25</v>
      </c>
      <c r="D1" s="234" t="s">
        <v>789</v>
      </c>
      <c r="E1" s="234" t="s">
        <v>27</v>
      </c>
      <c r="F1" s="234" t="s">
        <v>2</v>
      </c>
      <c r="G1" s="234" t="s">
        <v>3</v>
      </c>
      <c r="H1" s="235" t="s">
        <v>790</v>
      </c>
    </row>
    <row r="2" ht="14.25" customHeight="1">
      <c r="A2" s="463"/>
      <c r="B2" s="464"/>
      <c r="C2" s="465" t="s">
        <v>2230</v>
      </c>
      <c r="D2" s="465" t="s">
        <v>2231</v>
      </c>
      <c r="E2" s="465" t="s">
        <v>2232</v>
      </c>
      <c r="F2" s="465" t="s">
        <v>2233</v>
      </c>
      <c r="G2" s="465" t="s">
        <v>2234</v>
      </c>
      <c r="H2" s="466" t="s">
        <v>2235</v>
      </c>
    </row>
    <row r="3" ht="17.25" customHeight="1">
      <c r="A3" s="467" t="s">
        <v>2236</v>
      </c>
      <c r="B3" s="468" t="s">
        <v>2237</v>
      </c>
      <c r="C3" s="469" t="s">
        <v>2238</v>
      </c>
      <c r="D3" s="469" t="s">
        <v>2238</v>
      </c>
      <c r="E3" s="469" t="s">
        <v>2239</v>
      </c>
      <c r="F3" s="469" t="s">
        <v>2240</v>
      </c>
      <c r="G3" s="469" t="s">
        <v>2241</v>
      </c>
      <c r="H3" s="470"/>
    </row>
    <row r="4" ht="17.25" customHeight="1">
      <c r="A4" s="471"/>
      <c r="B4" s="248" t="s">
        <v>2242</v>
      </c>
      <c r="C4" s="472" t="s">
        <v>2243</v>
      </c>
      <c r="D4" s="472" t="s">
        <v>2243</v>
      </c>
      <c r="E4" s="472" t="s">
        <v>2243</v>
      </c>
      <c r="F4" s="472" t="s">
        <v>2243</v>
      </c>
      <c r="G4" s="14" t="s">
        <v>430</v>
      </c>
      <c r="H4" s="473"/>
    </row>
    <row r="5" ht="17.25" customHeight="1">
      <c r="A5" s="474"/>
      <c r="B5" s="475" t="s">
        <v>12</v>
      </c>
      <c r="C5" s="476" t="s">
        <v>2244</v>
      </c>
      <c r="D5" s="476" t="s">
        <v>2245</v>
      </c>
      <c r="E5" s="477" t="s">
        <v>11</v>
      </c>
      <c r="F5" s="477" t="s">
        <v>2246</v>
      </c>
      <c r="G5" s="476"/>
      <c r="H5" s="478"/>
    </row>
    <row r="6" ht="15.0" customHeight="1">
      <c r="A6" s="479" t="s">
        <v>2247</v>
      </c>
      <c r="B6" s="480" t="s">
        <v>677</v>
      </c>
      <c r="C6" s="481" t="s">
        <v>2248</v>
      </c>
      <c r="D6" s="481" t="s">
        <v>2248</v>
      </c>
      <c r="E6" s="481" t="s">
        <v>2249</v>
      </c>
      <c r="F6" s="481" t="s">
        <v>2249</v>
      </c>
      <c r="G6" s="481" t="s">
        <v>2249</v>
      </c>
      <c r="H6" s="482"/>
    </row>
    <row r="7" ht="14.25" customHeight="1">
      <c r="A7" s="471"/>
      <c r="B7" s="248" t="s">
        <v>822</v>
      </c>
      <c r="C7" s="472" t="s">
        <v>2248</v>
      </c>
      <c r="D7" s="472" t="s">
        <v>2248</v>
      </c>
      <c r="E7" s="472" t="s">
        <v>2249</v>
      </c>
      <c r="F7" s="472" t="s">
        <v>2249</v>
      </c>
      <c r="G7" s="472" t="s">
        <v>2249</v>
      </c>
      <c r="H7" s="473"/>
    </row>
    <row r="8" ht="15.0" customHeight="1">
      <c r="A8" s="471"/>
      <c r="B8" s="248" t="s">
        <v>824</v>
      </c>
      <c r="C8" s="472" t="s">
        <v>2250</v>
      </c>
      <c r="D8" s="472" t="s">
        <v>2250</v>
      </c>
      <c r="E8" s="472" t="s">
        <v>2250</v>
      </c>
      <c r="F8" s="472" t="s">
        <v>2250</v>
      </c>
      <c r="G8" s="472" t="s">
        <v>2250</v>
      </c>
      <c r="H8" s="473"/>
    </row>
    <row r="9" ht="45.75" customHeight="1">
      <c r="A9" s="471"/>
      <c r="B9" s="483" t="s">
        <v>2251</v>
      </c>
      <c r="C9" s="472" t="s">
        <v>2250</v>
      </c>
      <c r="D9" s="472" t="s">
        <v>2250</v>
      </c>
      <c r="E9" s="472" t="s">
        <v>2250</v>
      </c>
      <c r="F9" s="472" t="s">
        <v>2250</v>
      </c>
      <c r="G9" s="472" t="s">
        <v>2250</v>
      </c>
      <c r="H9" s="473"/>
    </row>
    <row r="10" ht="15.0" customHeight="1">
      <c r="A10" s="471"/>
      <c r="B10" s="248" t="s">
        <v>2252</v>
      </c>
      <c r="C10" s="472" t="s">
        <v>2253</v>
      </c>
      <c r="D10" s="472" t="s">
        <v>2250</v>
      </c>
      <c r="E10" s="472" t="s">
        <v>2250</v>
      </c>
      <c r="F10" s="472" t="s">
        <v>2250</v>
      </c>
      <c r="G10" s="472" t="s">
        <v>2250</v>
      </c>
      <c r="H10" s="473"/>
    </row>
    <row r="11" ht="14.25" customHeight="1">
      <c r="A11" s="471"/>
      <c r="B11" s="248" t="s">
        <v>871</v>
      </c>
      <c r="C11" s="472" t="s">
        <v>2248</v>
      </c>
      <c r="D11" s="472" t="s">
        <v>2248</v>
      </c>
      <c r="E11" s="14" t="s">
        <v>2254</v>
      </c>
      <c r="F11" s="14" t="s">
        <v>2250</v>
      </c>
      <c r="G11" s="14" t="s">
        <v>2250</v>
      </c>
      <c r="H11" s="473"/>
    </row>
    <row r="12" ht="15.0" customHeight="1">
      <c r="A12" s="471"/>
      <c r="B12" s="248" t="s">
        <v>2255</v>
      </c>
      <c r="C12" s="472" t="s">
        <v>2248</v>
      </c>
      <c r="D12" s="472" t="s">
        <v>2248</v>
      </c>
      <c r="E12" s="14" t="s">
        <v>2250</v>
      </c>
      <c r="F12" s="14" t="s">
        <v>2250</v>
      </c>
      <c r="G12" s="14" t="s">
        <v>2250</v>
      </c>
      <c r="H12" s="473"/>
    </row>
    <row r="13" ht="14.25" customHeight="1">
      <c r="A13" s="474"/>
      <c r="B13" s="475" t="s">
        <v>837</v>
      </c>
      <c r="C13" s="476" t="s">
        <v>2248</v>
      </c>
      <c r="D13" s="476" t="s">
        <v>2248</v>
      </c>
      <c r="E13" s="476" t="s">
        <v>2248</v>
      </c>
      <c r="F13" s="477" t="s">
        <v>2250</v>
      </c>
      <c r="G13" s="477" t="s">
        <v>2250</v>
      </c>
      <c r="H13" s="478"/>
    </row>
    <row r="14" ht="14.25" customHeight="1"/>
    <row r="15" ht="14.25" customHeight="1"/>
    <row r="16" ht="14.25" customHeight="1">
      <c r="B16" s="484" t="s">
        <v>1</v>
      </c>
      <c r="C16" s="234" t="s">
        <v>25</v>
      </c>
      <c r="D16" s="234" t="s">
        <v>789</v>
      </c>
      <c r="E16" s="234" t="s">
        <v>27</v>
      </c>
      <c r="F16" s="234" t="s">
        <v>2</v>
      </c>
      <c r="G16" s="234" t="s">
        <v>2256</v>
      </c>
      <c r="H16" s="235" t="s">
        <v>790</v>
      </c>
    </row>
    <row r="17" ht="14.25" customHeight="1">
      <c r="B17" s="9"/>
      <c r="C17" s="225" t="s">
        <v>2257</v>
      </c>
      <c r="D17" s="225" t="s">
        <v>2258</v>
      </c>
      <c r="E17" s="225" t="s">
        <v>2259</v>
      </c>
      <c r="F17" s="225" t="s">
        <v>2260</v>
      </c>
      <c r="G17" s="225" t="s">
        <v>2261</v>
      </c>
      <c r="H17" s="225" t="s">
        <v>2262</v>
      </c>
    </row>
    <row r="18" ht="17.25" customHeight="1">
      <c r="A18" s="485" t="s">
        <v>2236</v>
      </c>
      <c r="B18" s="240" t="s">
        <v>2263</v>
      </c>
      <c r="C18" s="469" t="s">
        <v>2264</v>
      </c>
      <c r="D18" s="469" t="s">
        <v>2265</v>
      </c>
      <c r="E18" s="469" t="s">
        <v>2266</v>
      </c>
      <c r="F18" s="469" t="s">
        <v>2267</v>
      </c>
      <c r="G18" s="486"/>
      <c r="H18" s="470"/>
    </row>
    <row r="19" ht="17.25" customHeight="1">
      <c r="A19" s="471"/>
      <c r="B19" s="248" t="s">
        <v>2242</v>
      </c>
      <c r="C19" s="14" t="s">
        <v>2268</v>
      </c>
      <c r="D19" s="14" t="s">
        <v>2268</v>
      </c>
      <c r="E19" s="14" t="s">
        <v>2243</v>
      </c>
      <c r="F19" s="14" t="s">
        <v>430</v>
      </c>
      <c r="G19" s="487"/>
      <c r="H19" s="473"/>
    </row>
    <row r="20" ht="17.25" customHeight="1">
      <c r="A20" s="474"/>
      <c r="B20" s="475" t="s">
        <v>12</v>
      </c>
      <c r="C20" s="477" t="s">
        <v>2269</v>
      </c>
      <c r="D20" s="477" t="s">
        <v>2270</v>
      </c>
      <c r="E20" s="477" t="s">
        <v>2271</v>
      </c>
      <c r="F20" s="477" t="s">
        <v>2272</v>
      </c>
      <c r="G20" s="488"/>
      <c r="H20" s="478"/>
    </row>
    <row r="21" ht="14.25" customHeight="1">
      <c r="A21" s="489" t="s">
        <v>2247</v>
      </c>
      <c r="B21" s="480" t="s">
        <v>677</v>
      </c>
      <c r="C21" s="481" t="s">
        <v>2249</v>
      </c>
      <c r="D21" s="481" t="s">
        <v>2249</v>
      </c>
      <c r="E21" s="481" t="s">
        <v>2249</v>
      </c>
      <c r="F21" s="481" t="s">
        <v>2249</v>
      </c>
      <c r="G21" s="490"/>
      <c r="H21" s="482"/>
    </row>
    <row r="22" ht="14.25" customHeight="1">
      <c r="A22" s="471"/>
      <c r="B22" s="248" t="s">
        <v>822</v>
      </c>
      <c r="C22" s="472" t="s">
        <v>2249</v>
      </c>
      <c r="D22" s="472" t="s">
        <v>2249</v>
      </c>
      <c r="E22" s="472" t="s">
        <v>2249</v>
      </c>
      <c r="F22" s="472" t="s">
        <v>2249</v>
      </c>
      <c r="G22" s="487"/>
      <c r="H22" s="473"/>
    </row>
    <row r="23" ht="14.25" customHeight="1">
      <c r="A23" s="471"/>
      <c r="B23" s="243" t="s">
        <v>824</v>
      </c>
      <c r="C23" s="14" t="s">
        <v>2250</v>
      </c>
      <c r="D23" s="14" t="s">
        <v>2265</v>
      </c>
      <c r="E23" s="14" t="s">
        <v>2273</v>
      </c>
      <c r="F23" s="14" t="s">
        <v>2267</v>
      </c>
      <c r="G23" s="487"/>
      <c r="H23" s="473"/>
    </row>
    <row r="24" ht="14.25" customHeight="1">
      <c r="A24" s="471"/>
      <c r="B24" s="483" t="s">
        <v>2251</v>
      </c>
      <c r="C24" s="472" t="s">
        <v>2250</v>
      </c>
      <c r="D24" s="472" t="s">
        <v>2250</v>
      </c>
      <c r="E24" s="472" t="s">
        <v>2250</v>
      </c>
      <c r="F24" s="472" t="s">
        <v>2250</v>
      </c>
      <c r="G24" s="487"/>
      <c r="H24" s="473"/>
    </row>
    <row r="25" ht="14.25" customHeight="1">
      <c r="A25" s="471"/>
      <c r="B25" s="243" t="s">
        <v>2252</v>
      </c>
      <c r="C25" s="472" t="s">
        <v>2250</v>
      </c>
      <c r="D25" s="472" t="s">
        <v>2250</v>
      </c>
      <c r="E25" s="472" t="s">
        <v>2250</v>
      </c>
      <c r="F25" s="472" t="s">
        <v>2250</v>
      </c>
      <c r="G25" s="487"/>
      <c r="H25" s="473"/>
    </row>
    <row r="26" ht="14.25" customHeight="1">
      <c r="A26" s="471"/>
      <c r="B26" s="248" t="s">
        <v>871</v>
      </c>
      <c r="C26" s="472" t="s">
        <v>2250</v>
      </c>
      <c r="D26" s="472" t="s">
        <v>2250</v>
      </c>
      <c r="E26" s="472" t="s">
        <v>2250</v>
      </c>
      <c r="F26" s="472" t="s">
        <v>2250</v>
      </c>
      <c r="G26" s="487"/>
      <c r="H26" s="473"/>
    </row>
    <row r="27" ht="14.25" customHeight="1">
      <c r="A27" s="471"/>
      <c r="B27" s="248" t="s">
        <v>2255</v>
      </c>
      <c r="C27" s="472" t="s">
        <v>2250</v>
      </c>
      <c r="D27" s="472" t="s">
        <v>2250</v>
      </c>
      <c r="E27" s="472" t="s">
        <v>2250</v>
      </c>
      <c r="F27" s="472" t="s">
        <v>2250</v>
      </c>
      <c r="G27" s="487"/>
      <c r="H27" s="473"/>
    </row>
    <row r="28" ht="14.25" customHeight="1">
      <c r="A28" s="474"/>
      <c r="B28" s="475" t="s">
        <v>837</v>
      </c>
      <c r="C28" s="14" t="s">
        <v>220</v>
      </c>
      <c r="D28" s="477" t="s">
        <v>430</v>
      </c>
      <c r="E28" s="477" t="s">
        <v>2250</v>
      </c>
      <c r="F28" s="477" t="s">
        <v>2250</v>
      </c>
      <c r="G28" s="488"/>
      <c r="H28" s="478"/>
    </row>
    <row r="29" ht="14.25" customHeight="1"/>
    <row r="30" ht="14.25" customHeight="1"/>
    <row r="31" ht="14.25" customHeight="1">
      <c r="B31" s="484" t="s">
        <v>1</v>
      </c>
      <c r="C31" s="234" t="s">
        <v>25</v>
      </c>
      <c r="D31" s="234" t="s">
        <v>789</v>
      </c>
      <c r="E31" s="234" t="s">
        <v>27</v>
      </c>
      <c r="F31" s="234" t="s">
        <v>2</v>
      </c>
      <c r="G31" s="234" t="s">
        <v>3</v>
      </c>
      <c r="H31" s="235" t="s">
        <v>790</v>
      </c>
    </row>
    <row r="32" ht="14.25" customHeight="1">
      <c r="B32" s="9"/>
      <c r="C32" s="225" t="s">
        <v>2274</v>
      </c>
      <c r="D32" s="225" t="s">
        <v>2275</v>
      </c>
      <c r="E32" s="225" t="s">
        <v>2276</v>
      </c>
      <c r="F32" s="225" t="s">
        <v>2277</v>
      </c>
      <c r="G32" s="225" t="s">
        <v>2278</v>
      </c>
      <c r="H32" s="225" t="s">
        <v>2279</v>
      </c>
      <c r="J32" s="491" t="s">
        <v>2280</v>
      </c>
      <c r="K32" s="492"/>
    </row>
    <row r="33" ht="17.25" customHeight="1">
      <c r="A33" s="485" t="s">
        <v>2236</v>
      </c>
      <c r="B33" s="240" t="s">
        <v>2281</v>
      </c>
      <c r="C33" s="469" t="s">
        <v>2282</v>
      </c>
      <c r="D33" s="469" t="s">
        <v>2283</v>
      </c>
      <c r="E33" s="469" t="s">
        <v>2284</v>
      </c>
      <c r="F33" s="469" t="s">
        <v>2285</v>
      </c>
      <c r="G33" s="469" t="s">
        <v>2286</v>
      </c>
      <c r="H33" s="470"/>
      <c r="J33" s="491"/>
      <c r="K33" s="492"/>
    </row>
    <row r="34" ht="17.25" customHeight="1">
      <c r="A34" s="471"/>
      <c r="B34" s="248" t="s">
        <v>2242</v>
      </c>
      <c r="C34" s="14" t="s">
        <v>430</v>
      </c>
      <c r="D34" s="14" t="s">
        <v>430</v>
      </c>
      <c r="E34" s="14" t="s">
        <v>430</v>
      </c>
      <c r="F34" s="14" t="s">
        <v>430</v>
      </c>
      <c r="G34" s="14" t="s">
        <v>430</v>
      </c>
      <c r="H34" s="473"/>
      <c r="J34" s="491"/>
      <c r="K34" s="492"/>
    </row>
    <row r="35" ht="17.25" customHeight="1">
      <c r="A35" s="474"/>
      <c r="B35" s="493" t="s">
        <v>2287</v>
      </c>
      <c r="C35" s="477" t="s">
        <v>2288</v>
      </c>
      <c r="D35" s="477" t="s">
        <v>2288</v>
      </c>
      <c r="E35" s="477"/>
      <c r="F35" s="477"/>
      <c r="G35" s="476"/>
      <c r="H35" s="478"/>
      <c r="J35" s="491"/>
      <c r="K35" s="492"/>
    </row>
    <row r="36" ht="14.25" customHeight="1">
      <c r="A36" s="489" t="s">
        <v>2247</v>
      </c>
      <c r="B36" s="480" t="s">
        <v>677</v>
      </c>
      <c r="C36" s="481" t="s">
        <v>2249</v>
      </c>
      <c r="D36" s="481" t="s">
        <v>2249</v>
      </c>
      <c r="E36" s="481" t="s">
        <v>2249</v>
      </c>
      <c r="F36" s="481" t="s">
        <v>2249</v>
      </c>
      <c r="G36" s="494" t="s">
        <v>2289</v>
      </c>
      <c r="H36" s="482"/>
      <c r="J36" s="491"/>
      <c r="K36" s="492"/>
      <c r="L36" s="365"/>
      <c r="M36" s="365"/>
    </row>
    <row r="37" ht="14.25" customHeight="1">
      <c r="A37" s="471"/>
      <c r="B37" s="248" t="s">
        <v>822</v>
      </c>
      <c r="C37" s="472" t="s">
        <v>2249</v>
      </c>
      <c r="D37" s="472" t="s">
        <v>2249</v>
      </c>
      <c r="E37" s="472" t="s">
        <v>2249</v>
      </c>
      <c r="F37" s="472" t="s">
        <v>2249</v>
      </c>
      <c r="G37" s="14" t="s">
        <v>2290</v>
      </c>
      <c r="H37" s="473"/>
      <c r="J37" s="491"/>
      <c r="K37" s="492"/>
      <c r="L37" s="365"/>
      <c r="M37" s="365"/>
    </row>
    <row r="38" ht="14.25" customHeight="1">
      <c r="A38" s="471"/>
      <c r="B38" s="248" t="s">
        <v>824</v>
      </c>
      <c r="C38" s="14" t="s">
        <v>2250</v>
      </c>
      <c r="D38" s="14" t="s">
        <v>2250</v>
      </c>
      <c r="E38" s="14" t="s">
        <v>2250</v>
      </c>
      <c r="F38" s="14" t="s">
        <v>2250</v>
      </c>
      <c r="G38" s="14" t="s">
        <v>2286</v>
      </c>
      <c r="H38" s="473"/>
      <c r="L38" s="365"/>
      <c r="M38" s="365"/>
    </row>
    <row r="39" ht="14.25" customHeight="1">
      <c r="A39" s="471"/>
      <c r="B39" s="483" t="s">
        <v>2251</v>
      </c>
      <c r="C39" s="472" t="s">
        <v>2250</v>
      </c>
      <c r="D39" s="472" t="s">
        <v>2250</v>
      </c>
      <c r="E39" s="472" t="s">
        <v>2250</v>
      </c>
      <c r="F39" s="472" t="s">
        <v>2250</v>
      </c>
      <c r="G39" s="472" t="s">
        <v>2250</v>
      </c>
      <c r="H39" s="473"/>
    </row>
    <row r="40" ht="14.25" customHeight="1">
      <c r="A40" s="471"/>
      <c r="B40" s="248" t="s">
        <v>2252</v>
      </c>
      <c r="C40" s="472" t="s">
        <v>2250</v>
      </c>
      <c r="D40" s="472" t="s">
        <v>2250</v>
      </c>
      <c r="E40" s="472" t="s">
        <v>2250</v>
      </c>
      <c r="F40" s="472" t="s">
        <v>2250</v>
      </c>
      <c r="G40" s="472" t="s">
        <v>2250</v>
      </c>
      <c r="H40" s="473"/>
    </row>
    <row r="41" ht="14.25" customHeight="1">
      <c r="A41" s="471"/>
      <c r="B41" s="248" t="s">
        <v>871</v>
      </c>
      <c r="C41" s="472" t="s">
        <v>2250</v>
      </c>
      <c r="D41" s="14" t="s">
        <v>2291</v>
      </c>
      <c r="E41" s="14" t="s">
        <v>2291</v>
      </c>
      <c r="F41" s="472" t="s">
        <v>2250</v>
      </c>
      <c r="G41" s="472" t="s">
        <v>2250</v>
      </c>
      <c r="H41" s="473"/>
    </row>
    <row r="42" ht="14.25" customHeight="1">
      <c r="A42" s="471"/>
      <c r="B42" s="248" t="s">
        <v>2255</v>
      </c>
      <c r="C42" s="472" t="s">
        <v>2250</v>
      </c>
      <c r="D42" s="472" t="s">
        <v>2250</v>
      </c>
      <c r="E42" s="472" t="s">
        <v>2250</v>
      </c>
      <c r="F42" s="472" t="s">
        <v>2250</v>
      </c>
      <c r="G42" s="472" t="s">
        <v>2250</v>
      </c>
      <c r="H42" s="473"/>
    </row>
    <row r="43" ht="14.25" customHeight="1">
      <c r="A43" s="474"/>
      <c r="B43" s="475" t="s">
        <v>837</v>
      </c>
      <c r="C43" s="472" t="s">
        <v>2250</v>
      </c>
      <c r="D43" s="472" t="s">
        <v>2250</v>
      </c>
      <c r="E43" s="472" t="s">
        <v>2250</v>
      </c>
      <c r="F43" s="472" t="s">
        <v>2250</v>
      </c>
      <c r="G43" s="472" t="s">
        <v>2250</v>
      </c>
      <c r="H43" s="478"/>
    </row>
    <row r="44" ht="14.25" customHeight="1"/>
    <row r="45" ht="14.25" customHeight="1"/>
    <row r="46" ht="14.25" customHeight="1">
      <c r="B46" s="484" t="s">
        <v>1</v>
      </c>
      <c r="C46" s="234" t="s">
        <v>25</v>
      </c>
      <c r="D46" s="234" t="s">
        <v>789</v>
      </c>
      <c r="E46" s="234" t="s">
        <v>27</v>
      </c>
      <c r="F46" s="234" t="s">
        <v>2</v>
      </c>
      <c r="G46" s="234" t="s">
        <v>3</v>
      </c>
      <c r="H46" s="235" t="s">
        <v>790</v>
      </c>
    </row>
    <row r="47" ht="14.25" customHeight="1">
      <c r="B47" s="9"/>
      <c r="C47" s="224" t="s">
        <v>2292</v>
      </c>
      <c r="D47" s="224" t="s">
        <v>2293</v>
      </c>
      <c r="E47" s="224" t="s">
        <v>2294</v>
      </c>
      <c r="F47" s="224" t="s">
        <v>2295</v>
      </c>
      <c r="G47" s="224" t="s">
        <v>2296</v>
      </c>
      <c r="H47" s="224" t="s">
        <v>2279</v>
      </c>
    </row>
    <row r="48" ht="14.25" customHeight="1">
      <c r="A48" s="485" t="s">
        <v>2236</v>
      </c>
      <c r="B48" s="240" t="s">
        <v>2281</v>
      </c>
      <c r="C48" s="469" t="s">
        <v>2297</v>
      </c>
      <c r="D48" s="469" t="s">
        <v>2298</v>
      </c>
      <c r="E48" s="469" t="s">
        <v>2299</v>
      </c>
      <c r="F48" s="469" t="s">
        <v>2300</v>
      </c>
      <c r="G48" s="469" t="s">
        <v>2301</v>
      </c>
      <c r="H48" s="470"/>
    </row>
    <row r="49" ht="14.25" customHeight="1">
      <c r="A49" s="471"/>
      <c r="B49" s="248" t="s">
        <v>2242</v>
      </c>
      <c r="C49" s="14" t="s">
        <v>430</v>
      </c>
      <c r="D49" s="14" t="s">
        <v>430</v>
      </c>
      <c r="E49" s="14" t="s">
        <v>2302</v>
      </c>
      <c r="F49" s="14" t="s">
        <v>2302</v>
      </c>
      <c r="G49" s="14" t="s">
        <v>2302</v>
      </c>
      <c r="H49" s="473"/>
    </row>
    <row r="50" ht="14.25" customHeight="1">
      <c r="A50" s="474"/>
      <c r="B50" s="493" t="s">
        <v>2287</v>
      </c>
      <c r="C50" s="477" t="s">
        <v>2288</v>
      </c>
      <c r="D50" s="477" t="s">
        <v>2288</v>
      </c>
      <c r="E50" s="477" t="s">
        <v>38</v>
      </c>
      <c r="F50" s="477" t="s">
        <v>2303</v>
      </c>
      <c r="G50" s="477" t="s">
        <v>2303</v>
      </c>
      <c r="H50" s="478"/>
    </row>
    <row r="51" ht="14.25" customHeight="1">
      <c r="A51" s="479" t="s">
        <v>2304</v>
      </c>
      <c r="B51" s="480" t="s">
        <v>677</v>
      </c>
      <c r="C51" s="494" t="s">
        <v>2305</v>
      </c>
      <c r="D51" s="494" t="s">
        <v>2305</v>
      </c>
      <c r="E51" s="494" t="s">
        <v>2305</v>
      </c>
      <c r="F51" s="494" t="s">
        <v>2305</v>
      </c>
      <c r="G51" s="494" t="s">
        <v>2301</v>
      </c>
      <c r="H51" s="482"/>
    </row>
    <row r="52" ht="14.25" customHeight="1">
      <c r="A52" s="471"/>
      <c r="B52" s="248" t="s">
        <v>822</v>
      </c>
      <c r="C52" s="14" t="s">
        <v>2305</v>
      </c>
      <c r="D52" s="14" t="s">
        <v>2305</v>
      </c>
      <c r="E52" s="14" t="s">
        <v>2305</v>
      </c>
      <c r="F52" s="14" t="s">
        <v>2305</v>
      </c>
      <c r="G52" s="14" t="s">
        <v>2301</v>
      </c>
      <c r="H52" s="473"/>
    </row>
    <row r="53" ht="14.25" customHeight="1">
      <c r="A53" s="471"/>
      <c r="B53" s="248" t="s">
        <v>824</v>
      </c>
      <c r="C53" s="14" t="s">
        <v>2298</v>
      </c>
      <c r="D53" s="14" t="s">
        <v>2298</v>
      </c>
      <c r="E53" s="14" t="s">
        <v>2299</v>
      </c>
      <c r="F53" s="14" t="s">
        <v>2306</v>
      </c>
      <c r="G53" s="14" t="s">
        <v>2306</v>
      </c>
      <c r="H53" s="473"/>
    </row>
    <row r="54" ht="14.25" customHeight="1">
      <c r="A54" s="471"/>
      <c r="B54" s="249" t="s">
        <v>2307</v>
      </c>
      <c r="C54" s="472" t="s">
        <v>2250</v>
      </c>
      <c r="D54" s="472" t="s">
        <v>2250</v>
      </c>
      <c r="E54" s="472" t="s">
        <v>2250</v>
      </c>
      <c r="F54" s="472" t="s">
        <v>2250</v>
      </c>
      <c r="G54" s="472" t="s">
        <v>2250</v>
      </c>
      <c r="H54" s="473"/>
    </row>
    <row r="55" ht="14.25" customHeight="1">
      <c r="A55" s="471"/>
      <c r="B55" s="248" t="s">
        <v>2252</v>
      </c>
      <c r="C55" s="472" t="s">
        <v>2250</v>
      </c>
      <c r="D55" s="472" t="s">
        <v>2250</v>
      </c>
      <c r="E55" s="472" t="s">
        <v>2250</v>
      </c>
      <c r="F55" s="14" t="s">
        <v>2300</v>
      </c>
      <c r="G55" s="14" t="s">
        <v>2250</v>
      </c>
      <c r="H55" s="473"/>
    </row>
    <row r="56" ht="14.25" customHeight="1">
      <c r="A56" s="471"/>
      <c r="B56" s="248" t="s">
        <v>871</v>
      </c>
      <c r="C56" s="472" t="s">
        <v>2250</v>
      </c>
      <c r="D56" s="472" t="s">
        <v>2250</v>
      </c>
      <c r="E56" s="472" t="s">
        <v>2250</v>
      </c>
      <c r="F56" s="14" t="s">
        <v>2308</v>
      </c>
      <c r="G56" s="14" t="s">
        <v>2250</v>
      </c>
      <c r="H56" s="473"/>
    </row>
    <row r="57" ht="14.25" customHeight="1">
      <c r="A57" s="474"/>
      <c r="B57" s="248" t="s">
        <v>2255</v>
      </c>
      <c r="C57" s="472" t="s">
        <v>2250</v>
      </c>
      <c r="D57" s="472" t="s">
        <v>2250</v>
      </c>
      <c r="E57" s="472" t="s">
        <v>2250</v>
      </c>
      <c r="F57" s="14" t="s">
        <v>2308</v>
      </c>
      <c r="G57" s="14" t="s">
        <v>2250</v>
      </c>
      <c r="H57" s="473"/>
    </row>
    <row r="58" ht="14.25" customHeight="1"/>
    <row r="59" ht="14.25" customHeight="1"/>
    <row r="60" ht="14.25" customHeight="1">
      <c r="B60" s="484" t="s">
        <v>1</v>
      </c>
      <c r="C60" s="234" t="s">
        <v>25</v>
      </c>
      <c r="D60" s="234" t="s">
        <v>789</v>
      </c>
      <c r="E60" s="234" t="s">
        <v>27</v>
      </c>
      <c r="F60" s="234" t="s">
        <v>2</v>
      </c>
      <c r="G60" s="234" t="s">
        <v>3</v>
      </c>
      <c r="H60" s="235" t="s">
        <v>790</v>
      </c>
    </row>
    <row r="61" ht="14.25" customHeight="1">
      <c r="B61" s="9"/>
      <c r="C61" s="224" t="s">
        <v>2309</v>
      </c>
      <c r="D61" s="224" t="s">
        <v>2310</v>
      </c>
      <c r="E61" s="224" t="s">
        <v>2311</v>
      </c>
      <c r="F61" s="224" t="s">
        <v>2312</v>
      </c>
      <c r="G61" s="224" t="s">
        <v>2313</v>
      </c>
      <c r="H61" s="224" t="s">
        <v>2314</v>
      </c>
    </row>
    <row r="62" ht="14.25" customHeight="1">
      <c r="A62" s="485" t="s">
        <v>2236</v>
      </c>
      <c r="B62" s="240" t="s">
        <v>2281</v>
      </c>
      <c r="C62" s="469" t="s">
        <v>2315</v>
      </c>
      <c r="D62" s="469" t="s">
        <v>2316</v>
      </c>
      <c r="E62" s="469" t="s">
        <v>2317</v>
      </c>
      <c r="F62" s="469" t="s">
        <v>2318</v>
      </c>
      <c r="G62" s="469" t="s">
        <v>2319</v>
      </c>
      <c r="H62" s="470"/>
    </row>
    <row r="63" ht="14.25" customHeight="1">
      <c r="A63" s="471"/>
      <c r="B63" s="248" t="s">
        <v>2242</v>
      </c>
      <c r="C63" s="14" t="s">
        <v>2302</v>
      </c>
      <c r="D63" s="14" t="s">
        <v>2302</v>
      </c>
      <c r="E63" s="14" t="s">
        <v>2302</v>
      </c>
      <c r="F63" s="14" t="s">
        <v>2302</v>
      </c>
      <c r="G63" s="14" t="s">
        <v>2302</v>
      </c>
      <c r="H63" s="495"/>
    </row>
    <row r="64" ht="14.25" customHeight="1">
      <c r="A64" s="474"/>
      <c r="B64" s="493" t="s">
        <v>2287</v>
      </c>
      <c r="C64" s="477" t="s">
        <v>2270</v>
      </c>
      <c r="D64" s="477" t="s">
        <v>2303</v>
      </c>
      <c r="E64" s="477" t="s">
        <v>2320</v>
      </c>
      <c r="F64" s="477" t="s">
        <v>2271</v>
      </c>
      <c r="G64" s="477"/>
      <c r="H64" s="478"/>
    </row>
    <row r="65" ht="14.25" customHeight="1">
      <c r="A65" s="479" t="s">
        <v>2304</v>
      </c>
      <c r="B65" s="480" t="s">
        <v>677</v>
      </c>
      <c r="C65" s="494" t="s">
        <v>2315</v>
      </c>
      <c r="D65" s="494" t="s">
        <v>2321</v>
      </c>
      <c r="E65" s="494"/>
      <c r="F65" s="494" t="s">
        <v>2322</v>
      </c>
      <c r="G65" s="481"/>
      <c r="H65" s="482"/>
    </row>
    <row r="66" ht="14.25" customHeight="1">
      <c r="A66" s="471"/>
      <c r="B66" s="248" t="s">
        <v>822</v>
      </c>
      <c r="C66" s="14" t="s">
        <v>2315</v>
      </c>
      <c r="D66" s="14" t="s">
        <v>2323</v>
      </c>
      <c r="E66" s="14"/>
      <c r="F66" s="14" t="s">
        <v>2322</v>
      </c>
      <c r="G66" s="14" t="s">
        <v>2319</v>
      </c>
      <c r="H66" s="473"/>
    </row>
    <row r="67" ht="14.25" customHeight="1">
      <c r="A67" s="471"/>
      <c r="B67" s="248" t="s">
        <v>824</v>
      </c>
      <c r="C67" s="14" t="s">
        <v>2324</v>
      </c>
      <c r="D67" s="14" t="s">
        <v>2316</v>
      </c>
      <c r="E67" s="14" t="s">
        <v>2317</v>
      </c>
      <c r="F67" s="14" t="s">
        <v>2318</v>
      </c>
      <c r="G67" s="14" t="s">
        <v>2325</v>
      </c>
      <c r="H67" s="473"/>
    </row>
    <row r="68" ht="14.25" customHeight="1">
      <c r="A68" s="471"/>
      <c r="B68" s="249" t="s">
        <v>2307</v>
      </c>
      <c r="C68" s="472" t="s">
        <v>2250</v>
      </c>
      <c r="D68" s="472" t="s">
        <v>2250</v>
      </c>
      <c r="E68" s="472" t="s">
        <v>2250</v>
      </c>
      <c r="F68" s="472" t="s">
        <v>2250</v>
      </c>
      <c r="G68" s="472" t="s">
        <v>2250</v>
      </c>
      <c r="H68" s="473"/>
    </row>
    <row r="69" ht="14.25" customHeight="1">
      <c r="A69" s="471"/>
      <c r="B69" s="248" t="s">
        <v>2252</v>
      </c>
      <c r="C69" s="472" t="s">
        <v>2250</v>
      </c>
      <c r="D69" s="472" t="s">
        <v>2250</v>
      </c>
      <c r="E69" s="472" t="s">
        <v>2250</v>
      </c>
      <c r="F69" s="472" t="s">
        <v>2250</v>
      </c>
      <c r="G69" s="472" t="s">
        <v>2250</v>
      </c>
      <c r="H69" s="473"/>
    </row>
    <row r="70" ht="14.25" customHeight="1">
      <c r="A70" s="471"/>
      <c r="B70" s="248" t="s">
        <v>871</v>
      </c>
      <c r="C70" s="472" t="s">
        <v>2250</v>
      </c>
      <c r="D70" s="472" t="s">
        <v>2250</v>
      </c>
      <c r="E70" s="472" t="s">
        <v>2250</v>
      </c>
      <c r="F70" s="472" t="s">
        <v>2250</v>
      </c>
      <c r="G70" s="472" t="s">
        <v>2250</v>
      </c>
      <c r="H70" s="473"/>
    </row>
    <row r="71" ht="14.25" customHeight="1">
      <c r="A71" s="474"/>
      <c r="B71" s="248" t="s">
        <v>2255</v>
      </c>
      <c r="C71" s="472" t="s">
        <v>2250</v>
      </c>
      <c r="D71" s="472" t="s">
        <v>2250</v>
      </c>
      <c r="E71" s="472" t="s">
        <v>2250</v>
      </c>
      <c r="F71" s="472" t="s">
        <v>2250</v>
      </c>
      <c r="G71" s="472" t="s">
        <v>2250</v>
      </c>
      <c r="H71" s="473"/>
    </row>
    <row r="72" ht="14.25" customHeight="1"/>
    <row r="73" ht="14.25" customHeight="1"/>
    <row r="74" ht="14.25" customHeight="1">
      <c r="B74" s="484" t="s">
        <v>1</v>
      </c>
      <c r="C74" s="234" t="s">
        <v>25</v>
      </c>
      <c r="D74" s="234" t="s">
        <v>789</v>
      </c>
      <c r="E74" s="234" t="s">
        <v>27</v>
      </c>
      <c r="F74" s="234" t="s">
        <v>2</v>
      </c>
      <c r="G74" s="234" t="s">
        <v>3</v>
      </c>
      <c r="H74" s="235" t="s">
        <v>790</v>
      </c>
    </row>
    <row r="75" ht="14.25" customHeight="1">
      <c r="B75" s="9"/>
      <c r="C75" s="224" t="s">
        <v>2326</v>
      </c>
      <c r="D75" s="224" t="s">
        <v>2327</v>
      </c>
      <c r="E75" s="224" t="s">
        <v>2328</v>
      </c>
      <c r="F75" s="224" t="s">
        <v>2329</v>
      </c>
      <c r="G75" s="224" t="s">
        <v>2330</v>
      </c>
      <c r="H75" s="224" t="s">
        <v>2331</v>
      </c>
    </row>
    <row r="76" ht="14.25" customHeight="1">
      <c r="A76" s="485" t="s">
        <v>2236</v>
      </c>
      <c r="B76" s="240" t="s">
        <v>6</v>
      </c>
      <c r="C76" s="496" t="s">
        <v>2332</v>
      </c>
      <c r="D76" s="469" t="s">
        <v>2333</v>
      </c>
      <c r="E76" s="469" t="s">
        <v>2334</v>
      </c>
      <c r="F76" s="469" t="s">
        <v>2335</v>
      </c>
      <c r="G76" s="469" t="s">
        <v>2336</v>
      </c>
      <c r="H76" s="470"/>
    </row>
    <row r="77" ht="14.25" customHeight="1">
      <c r="A77" s="471"/>
      <c r="B77" s="242" t="s">
        <v>8</v>
      </c>
      <c r="C77" s="169"/>
      <c r="D77" s="494" t="s">
        <v>2337</v>
      </c>
      <c r="E77" s="494" t="s">
        <v>2338</v>
      </c>
      <c r="F77" s="494" t="s">
        <v>1134</v>
      </c>
      <c r="G77" s="494" t="s">
        <v>2339</v>
      </c>
      <c r="H77" s="497"/>
    </row>
    <row r="78" ht="14.25" customHeight="1">
      <c r="A78" s="471"/>
      <c r="B78" s="243" t="s">
        <v>10</v>
      </c>
      <c r="C78" s="14" t="s">
        <v>2340</v>
      </c>
      <c r="D78" s="14" t="s">
        <v>2340</v>
      </c>
      <c r="E78" s="14" t="s">
        <v>2341</v>
      </c>
      <c r="F78" s="14" t="s">
        <v>2342</v>
      </c>
      <c r="G78" s="14" t="s">
        <v>2249</v>
      </c>
      <c r="H78" s="495" t="s">
        <v>2343</v>
      </c>
    </row>
    <row r="79" ht="14.25" customHeight="1">
      <c r="A79" s="474"/>
      <c r="B79" s="493" t="s">
        <v>2287</v>
      </c>
      <c r="C79" s="477" t="s">
        <v>2344</v>
      </c>
      <c r="D79" s="477" t="s">
        <v>144</v>
      </c>
      <c r="E79" s="477"/>
      <c r="F79" s="477" t="s">
        <v>2345</v>
      </c>
      <c r="G79" s="477" t="s">
        <v>2346</v>
      </c>
      <c r="H79" s="478"/>
    </row>
    <row r="80" ht="14.25" customHeight="1">
      <c r="A80" s="479" t="s">
        <v>2304</v>
      </c>
      <c r="B80" s="480" t="s">
        <v>677</v>
      </c>
      <c r="C80" s="494" t="s">
        <v>1134</v>
      </c>
      <c r="D80" s="494" t="s">
        <v>2338</v>
      </c>
      <c r="E80" s="494" t="s">
        <v>2347</v>
      </c>
      <c r="F80" s="14" t="s">
        <v>2348</v>
      </c>
      <c r="G80" s="494" t="s">
        <v>2349</v>
      </c>
      <c r="H80" s="482"/>
    </row>
    <row r="81" ht="14.25" customHeight="1">
      <c r="A81" s="471"/>
      <c r="B81" s="248" t="s">
        <v>822</v>
      </c>
      <c r="C81" s="14" t="s">
        <v>2350</v>
      </c>
      <c r="D81" s="494" t="s">
        <v>2338</v>
      </c>
      <c r="E81" s="14" t="s">
        <v>2351</v>
      </c>
      <c r="F81" s="14" t="s">
        <v>2345</v>
      </c>
      <c r="G81" s="14" t="s">
        <v>2352</v>
      </c>
      <c r="H81" s="473"/>
    </row>
    <row r="82" ht="14.25" customHeight="1">
      <c r="A82" s="471"/>
      <c r="B82" s="248" t="s">
        <v>824</v>
      </c>
      <c r="C82" s="14" t="s">
        <v>2332</v>
      </c>
      <c r="D82" s="14" t="s">
        <v>64</v>
      </c>
      <c r="E82" s="14" t="s">
        <v>2334</v>
      </c>
      <c r="F82" s="14" t="s">
        <v>2335</v>
      </c>
      <c r="G82" s="14" t="s">
        <v>2336</v>
      </c>
      <c r="H82" s="473"/>
    </row>
    <row r="83" ht="14.25" customHeight="1">
      <c r="A83" s="471"/>
      <c r="B83" s="249" t="s">
        <v>2353</v>
      </c>
      <c r="C83" s="14" t="s">
        <v>2354</v>
      </c>
      <c r="D83" s="14" t="s">
        <v>2354</v>
      </c>
      <c r="E83" s="14" t="s">
        <v>2354</v>
      </c>
      <c r="F83" s="14" t="s">
        <v>2354</v>
      </c>
      <c r="G83" s="14" t="s">
        <v>2354</v>
      </c>
      <c r="H83" s="473"/>
    </row>
    <row r="84" ht="14.25" customHeight="1">
      <c r="A84" s="471"/>
      <c r="B84" s="249" t="s">
        <v>2355</v>
      </c>
      <c r="C84" s="14" t="s">
        <v>2354</v>
      </c>
      <c r="D84" s="14" t="s">
        <v>2354</v>
      </c>
      <c r="E84" s="14" t="s">
        <v>2354</v>
      </c>
      <c r="F84" s="14" t="s">
        <v>2354</v>
      </c>
      <c r="G84" s="14" t="s">
        <v>2354</v>
      </c>
      <c r="H84" s="473"/>
    </row>
    <row r="85" ht="14.25" customHeight="1">
      <c r="A85" s="474"/>
      <c r="B85" s="248" t="s">
        <v>2252</v>
      </c>
      <c r="C85" s="14" t="s">
        <v>2356</v>
      </c>
      <c r="D85" s="14" t="s">
        <v>2357</v>
      </c>
      <c r="E85" s="14" t="s">
        <v>2358</v>
      </c>
      <c r="F85" s="14" t="s">
        <v>2359</v>
      </c>
      <c r="G85" s="14" t="s">
        <v>2360</v>
      </c>
      <c r="H85" s="473"/>
    </row>
    <row r="86" ht="14.25" customHeight="1"/>
    <row r="87" ht="14.25" customHeight="1"/>
    <row r="88" ht="14.25" customHeight="1">
      <c r="B88" s="484" t="s">
        <v>1</v>
      </c>
      <c r="C88" s="234" t="s">
        <v>25</v>
      </c>
      <c r="D88" s="234" t="s">
        <v>789</v>
      </c>
      <c r="E88" s="234" t="s">
        <v>27</v>
      </c>
      <c r="F88" s="234" t="s">
        <v>2</v>
      </c>
      <c r="G88" s="234" t="s">
        <v>3</v>
      </c>
      <c r="H88" s="235" t="s">
        <v>790</v>
      </c>
    </row>
    <row r="89" ht="14.25" customHeight="1">
      <c r="B89" s="9"/>
      <c r="C89" s="239" t="s">
        <v>2361</v>
      </c>
      <c r="D89" s="224" t="s">
        <v>2362</v>
      </c>
      <c r="E89" s="224" t="s">
        <v>2363</v>
      </c>
      <c r="F89" s="224" t="s">
        <v>2364</v>
      </c>
      <c r="G89" s="224" t="s">
        <v>2365</v>
      </c>
      <c r="H89" s="224" t="s">
        <v>2366</v>
      </c>
    </row>
    <row r="90" ht="14.25" customHeight="1">
      <c r="A90" s="485" t="s">
        <v>2236</v>
      </c>
      <c r="B90" s="240" t="s">
        <v>6</v>
      </c>
      <c r="C90" s="496" t="s">
        <v>2367</v>
      </c>
      <c r="D90" s="469" t="s">
        <v>2368</v>
      </c>
      <c r="E90" s="469" t="s">
        <v>2369</v>
      </c>
      <c r="F90" s="469" t="s">
        <v>2348</v>
      </c>
      <c r="G90" s="469" t="s">
        <v>2370</v>
      </c>
      <c r="H90" s="470"/>
    </row>
    <row r="91" ht="14.25" customHeight="1">
      <c r="A91" s="471"/>
      <c r="B91" s="242" t="s">
        <v>8</v>
      </c>
      <c r="C91" s="14" t="s">
        <v>2371</v>
      </c>
      <c r="D91" s="494"/>
      <c r="E91" s="494" t="s">
        <v>2372</v>
      </c>
      <c r="F91" s="494" t="s">
        <v>2373</v>
      </c>
      <c r="G91" s="494" t="s">
        <v>2374</v>
      </c>
      <c r="H91" s="497"/>
    </row>
    <row r="92" ht="14.25" customHeight="1">
      <c r="A92" s="471"/>
      <c r="B92" s="243" t="s">
        <v>10</v>
      </c>
      <c r="C92" s="14" t="s">
        <v>2375</v>
      </c>
      <c r="D92" s="14" t="s">
        <v>2376</v>
      </c>
      <c r="E92" s="14" t="s">
        <v>1160</v>
      </c>
      <c r="F92" s="14" t="s">
        <v>2358</v>
      </c>
      <c r="G92" s="14" t="s">
        <v>2360</v>
      </c>
      <c r="H92" s="495"/>
    </row>
    <row r="93" ht="14.25" customHeight="1">
      <c r="A93" s="474"/>
      <c r="B93" s="493" t="s">
        <v>2287</v>
      </c>
      <c r="C93" s="477" t="s">
        <v>2377</v>
      </c>
      <c r="D93" s="477" t="s">
        <v>2378</v>
      </c>
      <c r="E93" s="477" t="s">
        <v>2379</v>
      </c>
      <c r="F93" s="477" t="s">
        <v>2380</v>
      </c>
      <c r="G93" s="477" t="s">
        <v>2381</v>
      </c>
      <c r="H93" s="478"/>
    </row>
    <row r="94" ht="14.25" customHeight="1">
      <c r="A94" s="479" t="s">
        <v>2304</v>
      </c>
      <c r="B94" s="480" t="s">
        <v>677</v>
      </c>
      <c r="C94" s="477" t="s">
        <v>2377</v>
      </c>
      <c r="D94" s="494" t="s">
        <v>2382</v>
      </c>
      <c r="E94" s="469" t="s">
        <v>2369</v>
      </c>
      <c r="F94" s="494" t="s">
        <v>2383</v>
      </c>
      <c r="G94" s="494" t="s">
        <v>2384</v>
      </c>
      <c r="H94" s="482"/>
    </row>
    <row r="95" ht="14.25" customHeight="1">
      <c r="A95" s="471"/>
      <c r="B95" s="248" t="s">
        <v>822</v>
      </c>
      <c r="C95" s="477" t="s">
        <v>2377</v>
      </c>
      <c r="D95" s="14" t="s">
        <v>2376</v>
      </c>
      <c r="E95" s="14" t="s">
        <v>2385</v>
      </c>
      <c r="F95" s="14" t="s">
        <v>2386</v>
      </c>
      <c r="G95" s="14" t="s">
        <v>2387</v>
      </c>
      <c r="H95" s="473"/>
    </row>
    <row r="96" ht="14.25" customHeight="1">
      <c r="A96" s="471"/>
      <c r="B96" s="248" t="s">
        <v>824</v>
      </c>
      <c r="C96" s="14" t="s">
        <v>2371</v>
      </c>
      <c r="D96" s="14"/>
      <c r="E96" s="494" t="s">
        <v>2372</v>
      </c>
      <c r="F96" s="14" t="s">
        <v>2373</v>
      </c>
      <c r="G96" s="14" t="s">
        <v>2374</v>
      </c>
      <c r="H96" s="473"/>
    </row>
    <row r="97" ht="14.25" customHeight="1">
      <c r="A97" s="471"/>
      <c r="B97" s="249" t="s">
        <v>2388</v>
      </c>
      <c r="C97" s="14" t="s">
        <v>2354</v>
      </c>
      <c r="D97" s="14" t="s">
        <v>2354</v>
      </c>
      <c r="E97" s="14" t="s">
        <v>2354</v>
      </c>
      <c r="F97" s="14" t="s">
        <v>2354</v>
      </c>
      <c r="G97" s="14" t="s">
        <v>2354</v>
      </c>
      <c r="H97" s="473"/>
    </row>
    <row r="98" ht="14.25" customHeight="1">
      <c r="A98" s="471"/>
      <c r="B98" s="249" t="s">
        <v>2389</v>
      </c>
      <c r="C98" s="14" t="s">
        <v>2354</v>
      </c>
      <c r="D98" s="14" t="s">
        <v>2354</v>
      </c>
      <c r="E98" s="14" t="s">
        <v>2354</v>
      </c>
      <c r="F98" s="14" t="s">
        <v>2354</v>
      </c>
      <c r="G98" s="14" t="s">
        <v>2354</v>
      </c>
      <c r="H98" s="473"/>
    </row>
    <row r="99" ht="14.25" customHeight="1">
      <c r="A99" s="474"/>
      <c r="B99" s="243" t="s">
        <v>2390</v>
      </c>
      <c r="C99" s="14" t="s">
        <v>2391</v>
      </c>
      <c r="D99" s="14" t="s">
        <v>2392</v>
      </c>
      <c r="E99" s="14" t="s">
        <v>1160</v>
      </c>
      <c r="F99" s="14" t="s">
        <v>2393</v>
      </c>
      <c r="G99" s="14" t="s">
        <v>2370</v>
      </c>
      <c r="H99" s="473"/>
    </row>
    <row r="100" ht="14.25" customHeight="1"/>
    <row r="101" ht="14.25" customHeight="1"/>
    <row r="102" ht="14.25" customHeight="1">
      <c r="B102" s="484" t="s">
        <v>1</v>
      </c>
      <c r="C102" s="234" t="s">
        <v>25</v>
      </c>
      <c r="D102" s="234" t="s">
        <v>789</v>
      </c>
      <c r="E102" s="234" t="s">
        <v>27</v>
      </c>
      <c r="F102" s="234" t="s">
        <v>2</v>
      </c>
      <c r="G102" s="234" t="s">
        <v>3</v>
      </c>
      <c r="H102" s="235" t="s">
        <v>790</v>
      </c>
    </row>
    <row r="103" ht="14.25" customHeight="1">
      <c r="B103" s="9"/>
      <c r="C103" s="239" t="s">
        <v>791</v>
      </c>
      <c r="D103" s="239" t="s">
        <v>792</v>
      </c>
      <c r="E103" s="239" t="s">
        <v>793</v>
      </c>
      <c r="F103" s="239" t="s">
        <v>794</v>
      </c>
      <c r="G103" s="239" t="s">
        <v>795</v>
      </c>
      <c r="H103" s="239" t="s">
        <v>796</v>
      </c>
    </row>
    <row r="104" ht="14.25" customHeight="1">
      <c r="A104" s="485" t="s">
        <v>2236</v>
      </c>
      <c r="B104" s="240" t="s">
        <v>6</v>
      </c>
      <c r="C104" s="496" t="s">
        <v>2394</v>
      </c>
      <c r="D104" s="469" t="s">
        <v>2395</v>
      </c>
      <c r="E104" s="469" t="s">
        <v>2396</v>
      </c>
      <c r="F104" s="469" t="s">
        <v>2396</v>
      </c>
      <c r="G104" s="469" t="s">
        <v>1151</v>
      </c>
      <c r="H104" s="470"/>
    </row>
    <row r="105" ht="14.25" customHeight="1">
      <c r="A105" s="471"/>
      <c r="B105" s="242" t="s">
        <v>8</v>
      </c>
      <c r="C105" s="14" t="s">
        <v>2397</v>
      </c>
      <c r="D105" s="494" t="s">
        <v>2398</v>
      </c>
      <c r="E105" s="494" t="s">
        <v>2399</v>
      </c>
      <c r="F105" s="494" t="s">
        <v>2400</v>
      </c>
      <c r="G105" s="494" t="s">
        <v>2401</v>
      </c>
      <c r="H105" s="497"/>
    </row>
    <row r="106" ht="14.25" customHeight="1">
      <c r="A106" s="471"/>
      <c r="B106" s="243" t="s">
        <v>10</v>
      </c>
      <c r="C106" s="14" t="s">
        <v>2402</v>
      </c>
      <c r="D106" s="14" t="s">
        <v>2402</v>
      </c>
      <c r="E106" s="14" t="s">
        <v>2403</v>
      </c>
      <c r="F106" s="14" t="s">
        <v>2404</v>
      </c>
      <c r="G106" s="14" t="s">
        <v>2405</v>
      </c>
      <c r="H106" s="495"/>
    </row>
    <row r="107" ht="14.25" customHeight="1">
      <c r="A107" s="474"/>
      <c r="B107" s="493" t="s">
        <v>2287</v>
      </c>
      <c r="C107" s="477" t="s">
        <v>2406</v>
      </c>
      <c r="D107" s="477" t="s">
        <v>2407</v>
      </c>
      <c r="E107" s="477" t="s">
        <v>2408</v>
      </c>
      <c r="F107" s="477" t="s">
        <v>2409</v>
      </c>
      <c r="G107" s="477" t="s">
        <v>2250</v>
      </c>
      <c r="H107" s="478"/>
    </row>
    <row r="108" ht="14.25" customHeight="1">
      <c r="A108" s="479" t="s">
        <v>2304</v>
      </c>
      <c r="B108" s="246" t="s">
        <v>677</v>
      </c>
      <c r="C108" s="498" t="s">
        <v>2406</v>
      </c>
      <c r="D108" s="498" t="s">
        <v>2407</v>
      </c>
      <c r="E108" s="498" t="s">
        <v>2408</v>
      </c>
      <c r="F108" s="498" t="s">
        <v>2408</v>
      </c>
      <c r="G108" s="498" t="s">
        <v>2410</v>
      </c>
      <c r="H108" s="482"/>
    </row>
    <row r="109" ht="14.25" customHeight="1">
      <c r="A109" s="471"/>
      <c r="B109" s="243" t="s">
        <v>822</v>
      </c>
      <c r="C109" s="14" t="s">
        <v>2402</v>
      </c>
      <c r="D109" s="14" t="s">
        <v>2411</v>
      </c>
      <c r="E109" s="14" t="s">
        <v>2412</v>
      </c>
      <c r="F109" s="498" t="s">
        <v>2413</v>
      </c>
      <c r="G109" s="498" t="s">
        <v>2414</v>
      </c>
      <c r="H109" s="473"/>
    </row>
    <row r="110" ht="14.25" customHeight="1">
      <c r="A110" s="471"/>
      <c r="B110" s="248" t="s">
        <v>824</v>
      </c>
      <c r="C110" s="14" t="s">
        <v>2397</v>
      </c>
      <c r="D110" s="14" t="s">
        <v>2398</v>
      </c>
      <c r="E110" s="14" t="s">
        <v>2399</v>
      </c>
      <c r="F110" s="14" t="s">
        <v>2415</v>
      </c>
      <c r="G110" s="14" t="s">
        <v>2416</v>
      </c>
      <c r="H110" s="473"/>
    </row>
    <row r="111" ht="14.25" customHeight="1">
      <c r="A111" s="471"/>
      <c r="B111" s="249" t="s">
        <v>2417</v>
      </c>
      <c r="C111" s="14" t="s">
        <v>2354</v>
      </c>
      <c r="D111" s="14" t="s">
        <v>2354</v>
      </c>
      <c r="E111" s="14" t="s">
        <v>2354</v>
      </c>
      <c r="F111" s="14" t="s">
        <v>2354</v>
      </c>
      <c r="G111" s="14" t="s">
        <v>2354</v>
      </c>
      <c r="H111" s="473"/>
    </row>
    <row r="112" ht="14.25" customHeight="1">
      <c r="A112" s="471"/>
      <c r="B112" s="249" t="s">
        <v>2418</v>
      </c>
      <c r="C112" s="14" t="s">
        <v>2354</v>
      </c>
      <c r="D112" s="14" t="s">
        <v>2354</v>
      </c>
      <c r="E112" s="14" t="s">
        <v>2354</v>
      </c>
      <c r="F112" s="14" t="s">
        <v>2354</v>
      </c>
      <c r="G112" s="14" t="s">
        <v>2354</v>
      </c>
      <c r="H112" s="473"/>
    </row>
    <row r="113" ht="14.25" customHeight="1">
      <c r="A113" s="474"/>
      <c r="B113" s="248" t="s">
        <v>2252</v>
      </c>
      <c r="C113" s="14" t="s">
        <v>2394</v>
      </c>
      <c r="D113" s="14" t="s">
        <v>2419</v>
      </c>
      <c r="E113" s="14" t="s">
        <v>2403</v>
      </c>
      <c r="F113" s="14" t="s">
        <v>2420</v>
      </c>
      <c r="G113" s="472"/>
      <c r="H113" s="473"/>
    </row>
    <row r="114" ht="14.25" customHeight="1">
      <c r="B114" s="243" t="s">
        <v>837</v>
      </c>
      <c r="C114" s="14" t="s">
        <v>2354</v>
      </c>
      <c r="D114" s="14" t="s">
        <v>2354</v>
      </c>
      <c r="E114" s="14" t="s">
        <v>2354</v>
      </c>
      <c r="F114" s="14" t="s">
        <v>2413</v>
      </c>
      <c r="G114" s="14" t="s">
        <v>2414</v>
      </c>
      <c r="H114" s="473"/>
    </row>
    <row r="115" ht="14.25" customHeight="1"/>
    <row r="116" ht="14.25" customHeight="1">
      <c r="B116" s="484" t="s">
        <v>1</v>
      </c>
      <c r="C116" s="234" t="s">
        <v>25</v>
      </c>
      <c r="D116" s="234" t="s">
        <v>789</v>
      </c>
      <c r="E116" s="234" t="s">
        <v>27</v>
      </c>
      <c r="F116" s="234" t="s">
        <v>2</v>
      </c>
      <c r="G116" s="234" t="s">
        <v>3</v>
      </c>
      <c r="H116" s="235" t="s">
        <v>790</v>
      </c>
    </row>
    <row r="117" ht="14.25" customHeight="1">
      <c r="B117" s="9"/>
      <c r="C117" s="239" t="s">
        <v>797</v>
      </c>
      <c r="D117" s="239" t="s">
        <v>798</v>
      </c>
      <c r="E117" s="239" t="s">
        <v>799</v>
      </c>
      <c r="F117" s="239" t="s">
        <v>800</v>
      </c>
      <c r="G117" s="239" t="s">
        <v>801</v>
      </c>
      <c r="H117" s="239" t="s">
        <v>802</v>
      </c>
    </row>
    <row r="118" ht="14.25" customHeight="1">
      <c r="A118" s="485" t="s">
        <v>2236</v>
      </c>
      <c r="B118" s="240" t="s">
        <v>6</v>
      </c>
      <c r="C118" s="496" t="s">
        <v>2421</v>
      </c>
      <c r="D118" s="496" t="s">
        <v>2422</v>
      </c>
      <c r="E118" s="14" t="s">
        <v>2423</v>
      </c>
      <c r="F118" s="469" t="s">
        <v>2424</v>
      </c>
      <c r="G118" s="469" t="s">
        <v>2425</v>
      </c>
      <c r="H118" s="470"/>
    </row>
    <row r="119" ht="14.25" customHeight="1">
      <c r="A119" s="471"/>
      <c r="B119" s="242" t="s">
        <v>8</v>
      </c>
      <c r="C119" s="14" t="s">
        <v>2410</v>
      </c>
      <c r="D119" s="14" t="s">
        <v>2426</v>
      </c>
      <c r="E119" s="494" t="s">
        <v>2427</v>
      </c>
      <c r="F119" s="494" t="s">
        <v>2428</v>
      </c>
      <c r="G119" s="494" t="s">
        <v>2428</v>
      </c>
      <c r="H119" s="497"/>
    </row>
    <row r="120" ht="14.25" customHeight="1">
      <c r="A120" s="471"/>
      <c r="B120" s="243" t="s">
        <v>10</v>
      </c>
      <c r="C120" s="19" t="s">
        <v>2429</v>
      </c>
      <c r="D120" s="14" t="s">
        <v>2430</v>
      </c>
      <c r="E120" s="14" t="s">
        <v>2431</v>
      </c>
      <c r="F120" s="14" t="s">
        <v>2431</v>
      </c>
      <c r="G120" s="14" t="s">
        <v>2431</v>
      </c>
      <c r="H120" s="495"/>
    </row>
    <row r="121" ht="14.25" customHeight="1">
      <c r="A121" s="474"/>
      <c r="B121" s="493" t="s">
        <v>2287</v>
      </c>
      <c r="C121" s="477" t="s">
        <v>2250</v>
      </c>
      <c r="D121" s="477" t="s">
        <v>2432</v>
      </c>
      <c r="E121" s="477" t="s">
        <v>2433</v>
      </c>
      <c r="F121" s="477" t="s">
        <v>2434</v>
      </c>
      <c r="G121" s="477" t="s">
        <v>2435</v>
      </c>
      <c r="H121" s="478"/>
      <c r="K121" s="1" t="s">
        <v>0</v>
      </c>
    </row>
    <row r="122" ht="14.25" customHeight="1">
      <c r="A122" s="499" t="s">
        <v>2436</v>
      </c>
      <c r="B122" s="500" t="s">
        <v>2252</v>
      </c>
      <c r="C122" s="498" t="s">
        <v>2421</v>
      </c>
      <c r="D122" s="498" t="s">
        <v>2426</v>
      </c>
      <c r="E122" s="498" t="s">
        <v>2437</v>
      </c>
      <c r="F122" s="498" t="s">
        <v>2437</v>
      </c>
      <c r="G122" s="498" t="s">
        <v>2435</v>
      </c>
      <c r="H122" s="501"/>
    </row>
    <row r="123" ht="14.25" customHeight="1">
      <c r="A123" s="479" t="s">
        <v>2304</v>
      </c>
      <c r="B123" s="246" t="s">
        <v>677</v>
      </c>
      <c r="C123" s="498" t="s">
        <v>2438</v>
      </c>
      <c r="D123" s="498" t="s">
        <v>2439</v>
      </c>
      <c r="E123" s="498" t="s">
        <v>2427</v>
      </c>
      <c r="F123" s="498" t="s">
        <v>2427</v>
      </c>
      <c r="G123" s="498" t="s">
        <v>2440</v>
      </c>
      <c r="H123" s="482"/>
    </row>
    <row r="124" ht="14.25" customHeight="1">
      <c r="A124" s="471"/>
      <c r="B124" s="243" t="s">
        <v>822</v>
      </c>
      <c r="C124" s="14" t="s">
        <v>2441</v>
      </c>
      <c r="D124" s="498" t="s">
        <v>2439</v>
      </c>
      <c r="E124" s="14" t="s">
        <v>2441</v>
      </c>
      <c r="F124" s="14" t="s">
        <v>2442</v>
      </c>
      <c r="G124" s="14" t="s">
        <v>2443</v>
      </c>
      <c r="H124" s="473"/>
    </row>
    <row r="125" ht="14.25" customHeight="1">
      <c r="A125" s="471"/>
      <c r="B125" s="248" t="s">
        <v>824</v>
      </c>
      <c r="C125" s="14" t="s">
        <v>2444</v>
      </c>
      <c r="D125" s="14" t="s">
        <v>2444</v>
      </c>
      <c r="E125" s="14" t="s">
        <v>2444</v>
      </c>
      <c r="F125" s="14" t="s">
        <v>2434</v>
      </c>
      <c r="G125" s="14" t="s">
        <v>2445</v>
      </c>
      <c r="H125" s="473"/>
    </row>
    <row r="126" ht="14.25" customHeight="1">
      <c r="A126" s="471"/>
      <c r="B126" s="249" t="s">
        <v>2446</v>
      </c>
      <c r="C126" s="14" t="s">
        <v>2354</v>
      </c>
      <c r="D126" s="14" t="s">
        <v>2354</v>
      </c>
      <c r="E126" s="14" t="s">
        <v>2354</v>
      </c>
      <c r="F126" s="14" t="s">
        <v>2354</v>
      </c>
      <c r="G126" s="14" t="s">
        <v>2354</v>
      </c>
      <c r="H126" s="473"/>
    </row>
    <row r="127" ht="14.25" customHeight="1">
      <c r="A127" s="474"/>
      <c r="B127" s="249" t="s">
        <v>2447</v>
      </c>
      <c r="C127" s="14" t="s">
        <v>2354</v>
      </c>
      <c r="D127" s="14" t="s">
        <v>2354</v>
      </c>
      <c r="E127" s="14" t="s">
        <v>2354</v>
      </c>
      <c r="F127" s="14" t="s">
        <v>2354</v>
      </c>
      <c r="G127" s="14" t="s">
        <v>2354</v>
      </c>
      <c r="H127" s="473"/>
    </row>
    <row r="128" ht="14.25" customHeight="1">
      <c r="B128" s="243" t="s">
        <v>837</v>
      </c>
      <c r="C128" s="14" t="s">
        <v>2441</v>
      </c>
      <c r="D128" s="14" t="s">
        <v>2448</v>
      </c>
      <c r="E128" s="14" t="s">
        <v>2431</v>
      </c>
      <c r="F128" s="14"/>
      <c r="G128" s="14"/>
      <c r="H128" s="473"/>
    </row>
    <row r="129" ht="14.25" customHeight="1"/>
    <row r="130" ht="1.5" customHeight="1"/>
    <row r="131" ht="14.25" customHeight="1">
      <c r="B131" s="484" t="s">
        <v>1</v>
      </c>
      <c r="C131" s="234" t="s">
        <v>25</v>
      </c>
      <c r="D131" s="237" t="s">
        <v>789</v>
      </c>
      <c r="E131" s="234" t="s">
        <v>27</v>
      </c>
      <c r="F131" s="234" t="s">
        <v>2</v>
      </c>
      <c r="G131" s="234" t="s">
        <v>3</v>
      </c>
      <c r="H131" s="235" t="s">
        <v>790</v>
      </c>
    </row>
    <row r="132" ht="14.25" customHeight="1">
      <c r="B132" s="9"/>
      <c r="C132" s="239" t="s">
        <v>803</v>
      </c>
      <c r="D132" s="239" t="s">
        <v>804</v>
      </c>
      <c r="E132" s="239" t="s">
        <v>805</v>
      </c>
      <c r="F132" s="239" t="s">
        <v>806</v>
      </c>
      <c r="G132" s="239" t="s">
        <v>807</v>
      </c>
      <c r="H132" s="239" t="s">
        <v>808</v>
      </c>
    </row>
    <row r="133" ht="24.0" customHeight="1">
      <c r="A133" s="485" t="s">
        <v>2236</v>
      </c>
      <c r="B133" s="240" t="s">
        <v>6</v>
      </c>
      <c r="C133" s="14" t="s">
        <v>2449</v>
      </c>
      <c r="D133" s="14" t="s">
        <v>2450</v>
      </c>
      <c r="E133" s="19" t="s">
        <v>2451</v>
      </c>
      <c r="F133" s="51" t="s">
        <v>2452</v>
      </c>
      <c r="G133" s="469" t="s">
        <v>2453</v>
      </c>
      <c r="H133" s="470"/>
    </row>
    <row r="134" ht="14.25" customHeight="1">
      <c r="A134" s="471"/>
      <c r="B134" s="242" t="s">
        <v>8</v>
      </c>
      <c r="C134" s="14" t="s">
        <v>2454</v>
      </c>
      <c r="D134" s="14" t="s">
        <v>2323</v>
      </c>
      <c r="E134" s="14" t="s">
        <v>2455</v>
      </c>
      <c r="F134" s="19" t="s">
        <v>2456</v>
      </c>
      <c r="G134" s="502" t="s">
        <v>2457</v>
      </c>
      <c r="H134" s="497"/>
    </row>
    <row r="135" ht="14.25" customHeight="1">
      <c r="A135" s="471"/>
      <c r="B135" s="243" t="s">
        <v>10</v>
      </c>
      <c r="C135" s="19" t="s">
        <v>2458</v>
      </c>
      <c r="D135" s="14" t="s">
        <v>2459</v>
      </c>
      <c r="E135" s="19" t="s">
        <v>2460</v>
      </c>
      <c r="F135" s="14" t="s">
        <v>2461</v>
      </c>
      <c r="G135" s="503" t="s">
        <v>2462</v>
      </c>
      <c r="H135" s="495"/>
      <c r="K135" s="1" t="s">
        <v>2463</v>
      </c>
    </row>
    <row r="136" ht="14.25" customHeight="1">
      <c r="A136" s="474"/>
      <c r="B136" s="493" t="s">
        <v>2287</v>
      </c>
      <c r="C136" s="14" t="s">
        <v>177</v>
      </c>
      <c r="D136" s="498" t="s">
        <v>2321</v>
      </c>
      <c r="E136" s="51" t="s">
        <v>2464</v>
      </c>
      <c r="F136" s="504" t="s">
        <v>2465</v>
      </c>
      <c r="G136" s="204" t="s">
        <v>2466</v>
      </c>
      <c r="H136" s="478"/>
    </row>
    <row r="137" ht="14.25" customHeight="1">
      <c r="A137" s="499" t="s">
        <v>2436</v>
      </c>
      <c r="B137" s="500" t="s">
        <v>2252</v>
      </c>
      <c r="C137" s="498" t="s">
        <v>2467</v>
      </c>
      <c r="D137" s="14" t="s">
        <v>2468</v>
      </c>
      <c r="E137" s="14" t="s">
        <v>2460</v>
      </c>
      <c r="F137" s="14" t="s">
        <v>2452</v>
      </c>
      <c r="G137" s="14" t="s">
        <v>2453</v>
      </c>
      <c r="H137" s="501"/>
    </row>
    <row r="138" ht="14.25" customHeight="1">
      <c r="A138" s="479" t="s">
        <v>2304</v>
      </c>
      <c r="B138" s="246" t="s">
        <v>677</v>
      </c>
      <c r="C138" s="498"/>
      <c r="D138" s="498" t="s">
        <v>2469</v>
      </c>
      <c r="E138" s="14" t="s">
        <v>2470</v>
      </c>
      <c r="G138" s="505" t="s">
        <v>220</v>
      </c>
      <c r="H138" s="482"/>
    </row>
    <row r="139" ht="14.25" customHeight="1">
      <c r="A139" s="471"/>
      <c r="B139" s="243" t="s">
        <v>822</v>
      </c>
      <c r="C139" s="498"/>
      <c r="D139" s="498" t="s">
        <v>2469</v>
      </c>
      <c r="E139" s="14" t="s">
        <v>2470</v>
      </c>
      <c r="F139" s="14" t="s">
        <v>2461</v>
      </c>
      <c r="G139" s="204" t="s">
        <v>220</v>
      </c>
      <c r="H139" s="473"/>
    </row>
    <row r="140" ht="34.5" customHeight="1">
      <c r="A140" s="471"/>
      <c r="B140" s="248" t="s">
        <v>824</v>
      </c>
      <c r="C140" s="14" t="s">
        <v>2471</v>
      </c>
      <c r="D140" s="14" t="s">
        <v>2472</v>
      </c>
      <c r="E140" s="14" t="s">
        <v>2473</v>
      </c>
      <c r="F140" s="14" t="s">
        <v>2474</v>
      </c>
      <c r="G140" s="14"/>
      <c r="H140" s="473"/>
    </row>
    <row r="141" ht="14.25" customHeight="1">
      <c r="A141" s="471"/>
      <c r="B141" s="249" t="s">
        <v>2475</v>
      </c>
      <c r="C141" s="14" t="s">
        <v>2476</v>
      </c>
      <c r="D141" s="14" t="s">
        <v>2477</v>
      </c>
      <c r="E141" s="14" t="s">
        <v>2477</v>
      </c>
      <c r="F141" s="14" t="s">
        <v>2477</v>
      </c>
      <c r="G141" s="14" t="s">
        <v>2477</v>
      </c>
      <c r="H141" s="473"/>
    </row>
    <row r="142" ht="14.25" customHeight="1">
      <c r="A142" s="474"/>
      <c r="B142" s="249" t="s">
        <v>2478</v>
      </c>
      <c r="C142" s="14" t="s">
        <v>2476</v>
      </c>
      <c r="D142" s="14" t="s">
        <v>2476</v>
      </c>
      <c r="E142" s="14" t="s">
        <v>2476</v>
      </c>
      <c r="F142" s="14"/>
      <c r="G142" s="14"/>
      <c r="H142" s="473"/>
    </row>
    <row r="143" ht="14.25" customHeight="1">
      <c r="B143" s="243" t="s">
        <v>837</v>
      </c>
      <c r="C143" s="14" t="s">
        <v>2479</v>
      </c>
      <c r="D143" s="14" t="s">
        <v>2479</v>
      </c>
      <c r="E143" s="14" t="s">
        <v>2479</v>
      </c>
      <c r="F143" s="14"/>
      <c r="G143" s="14"/>
      <c r="H143" s="473"/>
    </row>
    <row r="144" ht="14.25" customHeight="1"/>
    <row r="145" ht="14.25" customHeight="1"/>
    <row r="146" ht="14.25" customHeight="1">
      <c r="B146" s="484" t="s">
        <v>1</v>
      </c>
      <c r="C146" s="234" t="s">
        <v>25</v>
      </c>
      <c r="D146" s="237" t="s">
        <v>789</v>
      </c>
      <c r="E146" s="234" t="s">
        <v>27</v>
      </c>
      <c r="F146" s="234" t="s">
        <v>2</v>
      </c>
      <c r="G146" s="234" t="s">
        <v>3</v>
      </c>
      <c r="H146" s="235" t="s">
        <v>790</v>
      </c>
    </row>
    <row r="147" ht="14.25" customHeight="1">
      <c r="B147" s="9"/>
      <c r="C147" s="239" t="s">
        <v>809</v>
      </c>
      <c r="D147" s="239" t="s">
        <v>810</v>
      </c>
      <c r="E147" s="239" t="s">
        <v>811</v>
      </c>
      <c r="F147" s="239" t="s">
        <v>812</v>
      </c>
      <c r="G147" s="239" t="s">
        <v>813</v>
      </c>
      <c r="H147" s="239" t="s">
        <v>814</v>
      </c>
    </row>
    <row r="148" ht="14.25" customHeight="1">
      <c r="A148" s="485" t="s">
        <v>2236</v>
      </c>
      <c r="B148" s="506" t="s">
        <v>6</v>
      </c>
      <c r="C148" s="14" t="s">
        <v>2470</v>
      </c>
      <c r="D148" s="14" t="s">
        <v>2470</v>
      </c>
      <c r="E148" s="14" t="s">
        <v>2480</v>
      </c>
      <c r="F148" s="507" t="s">
        <v>2481</v>
      </c>
      <c r="G148" s="14" t="s">
        <v>2482</v>
      </c>
      <c r="H148" s="508"/>
    </row>
    <row r="149" ht="14.25" customHeight="1">
      <c r="A149" s="471"/>
      <c r="B149" s="509" t="s">
        <v>8</v>
      </c>
      <c r="C149" s="510" t="s">
        <v>2483</v>
      </c>
      <c r="D149" s="58" t="s">
        <v>2484</v>
      </c>
      <c r="E149" s="14" t="s">
        <v>2485</v>
      </c>
      <c r="F149" s="14" t="s">
        <v>2486</v>
      </c>
      <c r="G149" s="510" t="s">
        <v>2484</v>
      </c>
      <c r="H149" s="511"/>
    </row>
    <row r="150" ht="14.25" customHeight="1">
      <c r="A150" s="471"/>
      <c r="B150" s="512" t="s">
        <v>10</v>
      </c>
      <c r="C150" s="513" t="s">
        <v>2487</v>
      </c>
      <c r="D150" s="514" t="s">
        <v>2488</v>
      </c>
      <c r="E150" s="513" t="s">
        <v>2489</v>
      </c>
      <c r="F150" s="513" t="s">
        <v>2490</v>
      </c>
      <c r="G150" s="505" t="s">
        <v>220</v>
      </c>
      <c r="H150" s="515"/>
    </row>
    <row r="151" ht="14.25" customHeight="1">
      <c r="A151" s="474"/>
      <c r="B151" s="516" t="s">
        <v>2287</v>
      </c>
      <c r="C151" s="14" t="s">
        <v>2491</v>
      </c>
      <c r="D151" s="51" t="s">
        <v>2492</v>
      </c>
      <c r="E151" s="52" t="s">
        <v>2493</v>
      </c>
      <c r="F151" s="14" t="s">
        <v>2494</v>
      </c>
      <c r="G151" s="14" t="s">
        <v>2494</v>
      </c>
      <c r="H151" s="515"/>
    </row>
    <row r="152" ht="14.25" customHeight="1">
      <c r="B152" s="516" t="s">
        <v>14</v>
      </c>
      <c r="C152" s="14" t="s">
        <v>2470</v>
      </c>
      <c r="D152" s="28" t="s">
        <v>2495</v>
      </c>
      <c r="E152" s="14" t="s">
        <v>2496</v>
      </c>
      <c r="F152" s="14" t="s">
        <v>2496</v>
      </c>
      <c r="G152" s="14" t="s">
        <v>2497</v>
      </c>
      <c r="H152" s="515"/>
    </row>
    <row r="153" ht="14.25" customHeight="1">
      <c r="A153" s="499" t="s">
        <v>2436</v>
      </c>
      <c r="B153" s="517" t="s">
        <v>2252</v>
      </c>
      <c r="C153" s="513" t="s">
        <v>2487</v>
      </c>
      <c r="D153" s="514" t="s">
        <v>2488</v>
      </c>
      <c r="E153" s="513" t="s">
        <v>2489</v>
      </c>
      <c r="F153" s="513" t="s">
        <v>2490</v>
      </c>
      <c r="G153" s="505" t="s">
        <v>220</v>
      </c>
      <c r="H153" s="515"/>
    </row>
    <row r="154" ht="14.25" customHeight="1">
      <c r="A154" s="479" t="s">
        <v>2304</v>
      </c>
      <c r="B154" s="518" t="s">
        <v>677</v>
      </c>
      <c r="C154" s="14" t="s">
        <v>2483</v>
      </c>
      <c r="D154" s="14" t="s">
        <v>2498</v>
      </c>
      <c r="E154" s="51" t="s">
        <v>2480</v>
      </c>
      <c r="F154" s="14" t="s">
        <v>2499</v>
      </c>
      <c r="G154" s="14"/>
      <c r="H154" s="515"/>
    </row>
    <row r="155" ht="14.25" customHeight="1">
      <c r="A155" s="471"/>
      <c r="B155" s="512" t="s">
        <v>822</v>
      </c>
      <c r="C155" s="14" t="s">
        <v>2491</v>
      </c>
      <c r="D155" s="28" t="s">
        <v>2500</v>
      </c>
      <c r="E155" s="510" t="s">
        <v>2501</v>
      </c>
      <c r="F155" s="14" t="s">
        <v>2494</v>
      </c>
      <c r="G155" s="14" t="s">
        <v>2497</v>
      </c>
      <c r="H155" s="515"/>
    </row>
    <row r="156" ht="14.25" customHeight="1">
      <c r="A156" s="471"/>
      <c r="B156" s="519" t="s">
        <v>824</v>
      </c>
      <c r="C156" s="58" t="s">
        <v>2502</v>
      </c>
      <c r="D156" s="28" t="s">
        <v>2495</v>
      </c>
      <c r="E156" s="14" t="s">
        <v>2503</v>
      </c>
      <c r="F156" s="510" t="s">
        <v>2504</v>
      </c>
      <c r="G156" s="505" t="s">
        <v>220</v>
      </c>
      <c r="H156" s="520"/>
    </row>
    <row r="157" ht="14.25" customHeight="1">
      <c r="A157" s="471"/>
      <c r="B157" s="521" t="s">
        <v>2505</v>
      </c>
      <c r="C157" s="14" t="s">
        <v>2506</v>
      </c>
      <c r="D157" s="14" t="s">
        <v>2506</v>
      </c>
      <c r="E157" s="14" t="s">
        <v>2506</v>
      </c>
      <c r="F157" s="14" t="s">
        <v>2506</v>
      </c>
      <c r="G157" s="14" t="s">
        <v>2506</v>
      </c>
      <c r="H157" s="520"/>
    </row>
    <row r="158" ht="14.25" customHeight="1">
      <c r="A158" s="474"/>
      <c r="B158" s="521" t="s">
        <v>2507</v>
      </c>
      <c r="C158" s="14" t="s">
        <v>2506</v>
      </c>
      <c r="D158" s="14" t="s">
        <v>2506</v>
      </c>
      <c r="E158" s="14" t="s">
        <v>2506</v>
      </c>
      <c r="F158" s="14" t="s">
        <v>2506</v>
      </c>
      <c r="G158" s="14" t="s">
        <v>2506</v>
      </c>
      <c r="H158" s="520"/>
    </row>
    <row r="159" ht="14.25" customHeight="1">
      <c r="B159" s="512" t="s">
        <v>837</v>
      </c>
      <c r="C159" s="14" t="s">
        <v>2506</v>
      </c>
      <c r="D159" s="14" t="s">
        <v>2506</v>
      </c>
      <c r="E159" s="14" t="s">
        <v>2506</v>
      </c>
      <c r="F159" s="14" t="s">
        <v>2506</v>
      </c>
      <c r="G159" s="14" t="s">
        <v>2506</v>
      </c>
      <c r="H159" s="520"/>
    </row>
    <row r="160" ht="14.25" customHeight="1"/>
    <row r="161" ht="14.25" customHeight="1"/>
    <row r="162" ht="14.25" customHeight="1">
      <c r="B162" s="484" t="s">
        <v>1</v>
      </c>
      <c r="C162" s="234" t="s">
        <v>25</v>
      </c>
      <c r="D162" s="237" t="s">
        <v>789</v>
      </c>
      <c r="E162" s="234" t="s">
        <v>27</v>
      </c>
      <c r="F162" s="234" t="s">
        <v>2</v>
      </c>
      <c r="G162" s="234" t="s">
        <v>3</v>
      </c>
      <c r="H162" s="235" t="s">
        <v>790</v>
      </c>
    </row>
    <row r="163" ht="14.25" customHeight="1">
      <c r="B163" s="9"/>
      <c r="C163" s="239" t="s">
        <v>815</v>
      </c>
      <c r="D163" s="239" t="s">
        <v>840</v>
      </c>
      <c r="E163" s="239" t="s">
        <v>2508</v>
      </c>
      <c r="F163" s="239" t="s">
        <v>842</v>
      </c>
      <c r="G163" s="239" t="s">
        <v>843</v>
      </c>
      <c r="H163" s="239" t="s">
        <v>844</v>
      </c>
    </row>
    <row r="164" ht="14.25" customHeight="1">
      <c r="A164" s="485" t="s">
        <v>2236</v>
      </c>
      <c r="B164" s="240" t="s">
        <v>6</v>
      </c>
      <c r="C164" s="14" t="s">
        <v>2482</v>
      </c>
      <c r="D164" s="14" t="s">
        <v>2482</v>
      </c>
      <c r="E164" s="522" t="s">
        <v>2509</v>
      </c>
      <c r="F164" s="14" t="s">
        <v>2510</v>
      </c>
      <c r="G164" s="14" t="s">
        <v>2511</v>
      </c>
      <c r="H164" s="470"/>
      <c r="N164" s="1"/>
    </row>
    <row r="165" ht="14.25" customHeight="1">
      <c r="A165" s="471"/>
      <c r="B165" s="242" t="s">
        <v>8</v>
      </c>
      <c r="C165" s="14" t="s">
        <v>2415</v>
      </c>
      <c r="D165" s="28" t="s">
        <v>2512</v>
      </c>
      <c r="E165" s="28" t="s">
        <v>2513</v>
      </c>
      <c r="F165" s="14" t="s">
        <v>2514</v>
      </c>
      <c r="G165" s="19" t="s">
        <v>2515</v>
      </c>
      <c r="H165" s="497"/>
    </row>
    <row r="166" ht="14.25" customHeight="1">
      <c r="A166" s="471"/>
      <c r="B166" s="243" t="s">
        <v>10</v>
      </c>
      <c r="C166" s="14" t="s">
        <v>2469</v>
      </c>
      <c r="D166" s="14" t="s">
        <v>2516</v>
      </c>
      <c r="E166" s="14" t="s">
        <v>2517</v>
      </c>
      <c r="F166" s="14" t="s">
        <v>2518</v>
      </c>
      <c r="G166" s="14" t="s">
        <v>2518</v>
      </c>
      <c r="H166" s="495"/>
    </row>
    <row r="167" ht="14.25" customHeight="1">
      <c r="A167" s="474"/>
      <c r="B167" s="493" t="s">
        <v>2287</v>
      </c>
      <c r="C167" s="19" t="s">
        <v>2519</v>
      </c>
      <c r="D167" s="39" t="s">
        <v>2520</v>
      </c>
      <c r="E167" s="19" t="s">
        <v>2476</v>
      </c>
      <c r="F167" s="19" t="s">
        <v>2476</v>
      </c>
      <c r="G167" s="28" t="s">
        <v>2521</v>
      </c>
      <c r="H167" s="495"/>
    </row>
    <row r="168" ht="14.25" customHeight="1">
      <c r="B168" s="516" t="s">
        <v>14</v>
      </c>
      <c r="C168" s="14" t="s">
        <v>2522</v>
      </c>
      <c r="D168" s="28" t="s">
        <v>2523</v>
      </c>
      <c r="E168" s="28" t="s">
        <v>2524</v>
      </c>
      <c r="F168" s="14" t="s">
        <v>2525</v>
      </c>
      <c r="G168" s="14" t="s">
        <v>2467</v>
      </c>
      <c r="H168" s="14" t="s">
        <v>2526</v>
      </c>
    </row>
    <row r="169" ht="14.25" customHeight="1">
      <c r="A169" s="499" t="s">
        <v>2436</v>
      </c>
      <c r="B169" s="500" t="s">
        <v>2252</v>
      </c>
      <c r="C169" s="14" t="s">
        <v>2527</v>
      </c>
      <c r="D169" s="28" t="s">
        <v>2522</v>
      </c>
      <c r="E169" s="28" t="s">
        <v>2524</v>
      </c>
      <c r="F169" s="14" t="s">
        <v>2510</v>
      </c>
      <c r="G169" s="19" t="s">
        <v>2528</v>
      </c>
      <c r="H169" s="495"/>
    </row>
    <row r="170" ht="14.25" customHeight="1">
      <c r="A170" s="479" t="s">
        <v>2304</v>
      </c>
      <c r="B170" s="246" t="s">
        <v>42</v>
      </c>
      <c r="D170" s="28" t="s">
        <v>2529</v>
      </c>
      <c r="E170" s="14" t="s">
        <v>2530</v>
      </c>
      <c r="F170" s="14" t="s">
        <v>2531</v>
      </c>
      <c r="G170" s="14" t="s">
        <v>2511</v>
      </c>
      <c r="H170" s="495"/>
    </row>
    <row r="171" ht="14.25" customHeight="1">
      <c r="A171" s="471"/>
      <c r="B171" s="243"/>
      <c r="C171" s="14"/>
      <c r="D171" s="14"/>
      <c r="G171" s="523"/>
      <c r="H171" s="495"/>
    </row>
    <row r="172" ht="14.25" customHeight="1">
      <c r="A172" s="471"/>
      <c r="B172" s="248" t="s">
        <v>824</v>
      </c>
      <c r="C172" s="14" t="s">
        <v>2527</v>
      </c>
      <c r="D172" s="14" t="s">
        <v>2472</v>
      </c>
      <c r="E172" s="58" t="s">
        <v>2513</v>
      </c>
      <c r="F172" s="14" t="s">
        <v>2525</v>
      </c>
      <c r="G172" s="28" t="s">
        <v>2521</v>
      </c>
      <c r="H172" s="473"/>
    </row>
    <row r="173" ht="14.25" customHeight="1">
      <c r="A173" s="471"/>
      <c r="B173" s="249" t="s">
        <v>2505</v>
      </c>
      <c r="C173" s="14" t="s">
        <v>2532</v>
      </c>
      <c r="D173" s="14" t="s">
        <v>2533</v>
      </c>
      <c r="E173" s="14" t="s">
        <v>2533</v>
      </c>
      <c r="F173" s="14" t="s">
        <v>2533</v>
      </c>
      <c r="G173" s="14" t="s">
        <v>2533</v>
      </c>
      <c r="H173" s="473"/>
    </row>
    <row r="174" ht="14.25" customHeight="1">
      <c r="A174" s="474"/>
      <c r="B174" s="249" t="s">
        <v>2534</v>
      </c>
      <c r="C174" s="14" t="s">
        <v>2533</v>
      </c>
      <c r="D174" s="14" t="s">
        <v>2533</v>
      </c>
      <c r="E174" s="14" t="s">
        <v>2533</v>
      </c>
      <c r="F174" s="14" t="s">
        <v>2533</v>
      </c>
      <c r="G174" s="14" t="s">
        <v>2533</v>
      </c>
      <c r="H174" s="473"/>
    </row>
    <row r="175" ht="14.25" customHeight="1">
      <c r="B175" s="243" t="s">
        <v>2535</v>
      </c>
      <c r="C175" s="14" t="s">
        <v>2506</v>
      </c>
      <c r="D175" s="14" t="s">
        <v>2270</v>
      </c>
      <c r="E175" s="524" t="s">
        <v>2533</v>
      </c>
      <c r="F175" s="524" t="s">
        <v>2533</v>
      </c>
      <c r="G175" s="524" t="s">
        <v>2533</v>
      </c>
      <c r="H175" s="473"/>
    </row>
    <row r="176" ht="14.25" customHeight="1"/>
    <row r="177" ht="14.25" customHeight="1">
      <c r="K177" s="1"/>
    </row>
    <row r="178" ht="14.25" customHeight="1">
      <c r="B178" s="484" t="s">
        <v>1</v>
      </c>
      <c r="C178" s="234" t="s">
        <v>25</v>
      </c>
      <c r="D178" s="237" t="s">
        <v>789</v>
      </c>
      <c r="E178" s="234" t="s">
        <v>27</v>
      </c>
      <c r="F178" s="234" t="s">
        <v>2</v>
      </c>
      <c r="G178" s="234" t="s">
        <v>3</v>
      </c>
      <c r="H178" s="235" t="s">
        <v>790</v>
      </c>
    </row>
    <row r="179" ht="14.25" customHeight="1">
      <c r="B179" s="9"/>
      <c r="C179" s="239" t="s">
        <v>2536</v>
      </c>
      <c r="D179" s="239" t="s">
        <v>2537</v>
      </c>
      <c r="E179" s="239" t="s">
        <v>2538</v>
      </c>
      <c r="F179" s="239" t="s">
        <v>848</v>
      </c>
      <c r="G179" s="239" t="s">
        <v>849</v>
      </c>
      <c r="H179" s="239" t="s">
        <v>850</v>
      </c>
      <c r="K179" s="1" t="s">
        <v>2539</v>
      </c>
      <c r="M179" s="1" t="s">
        <v>2540</v>
      </c>
    </row>
    <row r="180" ht="14.25" customHeight="1">
      <c r="A180" s="485" t="s">
        <v>2236</v>
      </c>
      <c r="B180" s="240" t="s">
        <v>6</v>
      </c>
      <c r="C180" s="14" t="s">
        <v>2541</v>
      </c>
      <c r="D180" s="14" t="s">
        <v>2541</v>
      </c>
      <c r="E180" s="522" t="s">
        <v>2542</v>
      </c>
      <c r="F180" s="19" t="s">
        <v>2543</v>
      </c>
      <c r="G180" s="19" t="s">
        <v>2544</v>
      </c>
      <c r="H180" s="470"/>
    </row>
    <row r="181" ht="14.25" customHeight="1">
      <c r="A181" s="471"/>
      <c r="B181" s="242" t="s">
        <v>8</v>
      </c>
      <c r="C181" s="14" t="s">
        <v>2545</v>
      </c>
      <c r="D181" s="14" t="s">
        <v>2546</v>
      </c>
      <c r="E181" s="14" t="s">
        <v>2547</v>
      </c>
      <c r="F181" s="14" t="s">
        <v>2548</v>
      </c>
      <c r="G181" s="14" t="s">
        <v>2549</v>
      </c>
      <c r="H181" s="497"/>
    </row>
    <row r="182" ht="14.25" customHeight="1">
      <c r="A182" s="471"/>
      <c r="B182" s="243" t="s">
        <v>10</v>
      </c>
      <c r="C182" s="14" t="s">
        <v>2550</v>
      </c>
      <c r="D182" s="14" t="s">
        <v>2551</v>
      </c>
      <c r="E182" s="14" t="s">
        <v>2552</v>
      </c>
      <c r="F182" s="14" t="s">
        <v>2553</v>
      </c>
      <c r="G182" s="14" t="s">
        <v>2554</v>
      </c>
      <c r="H182" s="495"/>
      <c r="K182" s="1"/>
      <c r="M182" s="14" t="s">
        <v>2555</v>
      </c>
    </row>
    <row r="183" ht="14.25" customHeight="1">
      <c r="A183" s="474"/>
      <c r="B183" s="493" t="s">
        <v>2287</v>
      </c>
      <c r="C183" s="39" t="s">
        <v>1220</v>
      </c>
      <c r="D183" s="469" t="s">
        <v>2556</v>
      </c>
      <c r="E183" s="469" t="s">
        <v>2556</v>
      </c>
      <c r="F183" s="52" t="s">
        <v>2557</v>
      </c>
      <c r="G183" s="525" t="s">
        <v>2558</v>
      </c>
      <c r="H183" s="495"/>
      <c r="M183" s="14"/>
    </row>
    <row r="184" ht="14.25" customHeight="1">
      <c r="B184" s="516" t="s">
        <v>14</v>
      </c>
      <c r="C184" s="14" t="s">
        <v>2559</v>
      </c>
      <c r="D184" s="19" t="s">
        <v>2560</v>
      </c>
      <c r="E184" s="19" t="s">
        <v>2561</v>
      </c>
      <c r="F184" s="24" t="s">
        <v>2562</v>
      </c>
      <c r="G184" s="14" t="s">
        <v>2563</v>
      </c>
      <c r="H184" s="515"/>
      <c r="K184" s="19"/>
      <c r="M184" s="14"/>
    </row>
    <row r="185" ht="14.25" customHeight="1">
      <c r="A185" s="499" t="s">
        <v>2436</v>
      </c>
      <c r="B185" s="500" t="s">
        <v>2252</v>
      </c>
      <c r="C185" s="14" t="s">
        <v>2564</v>
      </c>
      <c r="D185" s="51" t="s">
        <v>2565</v>
      </c>
      <c r="E185" s="14" t="s">
        <v>2547</v>
      </c>
      <c r="F185" s="526" t="s">
        <v>2566</v>
      </c>
      <c r="G185" s="28" t="s">
        <v>2567</v>
      </c>
      <c r="H185" s="495"/>
      <c r="M185" s="15"/>
    </row>
    <row r="186" ht="14.25" customHeight="1">
      <c r="A186" s="479" t="s">
        <v>2304</v>
      </c>
      <c r="B186" s="246" t="s">
        <v>42</v>
      </c>
      <c r="C186" s="28" t="s">
        <v>2559</v>
      </c>
      <c r="D186" s="28" t="s">
        <v>2568</v>
      </c>
      <c r="E186" s="19" t="s">
        <v>2561</v>
      </c>
      <c r="F186" s="24" t="s">
        <v>2569</v>
      </c>
      <c r="G186" s="525" t="s">
        <v>2558</v>
      </c>
      <c r="H186" s="495"/>
      <c r="K186" s="14"/>
      <c r="M186" s="14"/>
    </row>
    <row r="187" ht="14.25" customHeight="1">
      <c r="A187" s="471"/>
      <c r="B187" s="248" t="s">
        <v>824</v>
      </c>
      <c r="C187" s="39" t="s">
        <v>1220</v>
      </c>
      <c r="D187" s="19" t="s">
        <v>2560</v>
      </c>
      <c r="E187" s="14" t="s">
        <v>2570</v>
      </c>
      <c r="F187" s="14" t="s">
        <v>2548</v>
      </c>
      <c r="G187" s="19" t="s">
        <v>2571</v>
      </c>
      <c r="H187" s="473"/>
      <c r="K187" s="14"/>
      <c r="M187" s="14"/>
    </row>
    <row r="188" ht="14.25" customHeight="1">
      <c r="A188" s="471"/>
      <c r="B188" s="249" t="s">
        <v>2505</v>
      </c>
      <c r="C188" s="14" t="s">
        <v>2506</v>
      </c>
      <c r="D188" s="14" t="s">
        <v>2506</v>
      </c>
      <c r="E188" s="14" t="s">
        <v>2506</v>
      </c>
      <c r="F188" s="14" t="s">
        <v>2506</v>
      </c>
      <c r="G188" s="14" t="s">
        <v>2506</v>
      </c>
      <c r="H188" s="473"/>
      <c r="K188" s="28"/>
      <c r="M188" s="19"/>
    </row>
    <row r="189" ht="14.25" customHeight="1">
      <c r="A189" s="474"/>
      <c r="B189" s="249" t="s">
        <v>2572</v>
      </c>
      <c r="C189" s="14" t="s">
        <v>2506</v>
      </c>
      <c r="D189" s="14" t="s">
        <v>2506</v>
      </c>
      <c r="E189" s="14" t="s">
        <v>2506</v>
      </c>
      <c r="F189" s="14" t="s">
        <v>2506</v>
      </c>
      <c r="G189" s="14" t="s">
        <v>2506</v>
      </c>
      <c r="H189" s="473"/>
      <c r="M189" s="14" t="s">
        <v>2573</v>
      </c>
    </row>
    <row r="190" ht="14.25" customHeight="1">
      <c r="B190" s="243" t="s">
        <v>2535</v>
      </c>
      <c r="C190" s="14" t="s">
        <v>2506</v>
      </c>
      <c r="D190" s="14" t="s">
        <v>2506</v>
      </c>
      <c r="E190" s="14" t="s">
        <v>2506</v>
      </c>
      <c r="F190" s="14" t="s">
        <v>2506</v>
      </c>
      <c r="G190" s="14" t="s">
        <v>2506</v>
      </c>
      <c r="H190" s="473"/>
      <c r="K190" s="27"/>
      <c r="M190" s="510"/>
    </row>
    <row r="191" ht="14.25" customHeight="1">
      <c r="M191" s="27"/>
    </row>
    <row r="192" ht="14.25" customHeight="1"/>
    <row r="193" ht="14.25" customHeight="1">
      <c r="B193" s="484" t="s">
        <v>1</v>
      </c>
      <c r="C193" s="234" t="s">
        <v>25</v>
      </c>
      <c r="D193" s="237" t="s">
        <v>789</v>
      </c>
      <c r="E193" s="234" t="s">
        <v>27</v>
      </c>
      <c r="F193" s="234" t="s">
        <v>2</v>
      </c>
      <c r="G193" s="234" t="s">
        <v>3</v>
      </c>
      <c r="H193" s="235" t="s">
        <v>790</v>
      </c>
    </row>
    <row r="194" ht="14.25" customHeight="1">
      <c r="B194" s="9"/>
      <c r="C194" s="239" t="s">
        <v>851</v>
      </c>
      <c r="D194" s="239" t="s">
        <v>2574</v>
      </c>
      <c r="E194" s="239" t="s">
        <v>853</v>
      </c>
      <c r="F194" s="239" t="s">
        <v>854</v>
      </c>
      <c r="G194" s="239" t="s">
        <v>855</v>
      </c>
      <c r="H194" s="239" t="s">
        <v>856</v>
      </c>
    </row>
    <row r="195" ht="14.25" customHeight="1">
      <c r="A195" s="485" t="s">
        <v>2236</v>
      </c>
      <c r="B195" s="240" t="s">
        <v>6</v>
      </c>
      <c r="C195" s="14" t="s">
        <v>2575</v>
      </c>
      <c r="D195" s="14" t="s">
        <v>2575</v>
      </c>
      <c r="E195" s="1" t="s">
        <v>2576</v>
      </c>
      <c r="F195" s="19" t="s">
        <v>220</v>
      </c>
      <c r="G195" s="527" t="s">
        <v>2577</v>
      </c>
      <c r="H195" s="470"/>
    </row>
    <row r="196" ht="14.25" customHeight="1">
      <c r="A196" s="471"/>
      <c r="B196" s="242" t="s">
        <v>8</v>
      </c>
      <c r="C196" s="14" t="s">
        <v>2578</v>
      </c>
      <c r="D196" s="19" t="s">
        <v>2579</v>
      </c>
      <c r="E196" s="14" t="s">
        <v>2580</v>
      </c>
      <c r="F196" s="14" t="s">
        <v>2581</v>
      </c>
      <c r="G196" s="527" t="s">
        <v>2577</v>
      </c>
      <c r="H196" s="497"/>
    </row>
    <row r="197" ht="14.25" customHeight="1">
      <c r="A197" s="471"/>
      <c r="B197" s="243" t="s">
        <v>10</v>
      </c>
      <c r="C197" s="14" t="s">
        <v>2582</v>
      </c>
      <c r="D197" s="28" t="s">
        <v>2583</v>
      </c>
      <c r="E197" s="14" t="s">
        <v>2584</v>
      </c>
      <c r="F197" s="14" t="s">
        <v>2585</v>
      </c>
      <c r="G197" s="527" t="s">
        <v>2577</v>
      </c>
      <c r="H197" s="495"/>
    </row>
    <row r="198" ht="14.25" customHeight="1">
      <c r="A198" s="474"/>
      <c r="B198" s="493" t="s">
        <v>2287</v>
      </c>
      <c r="C198" s="52" t="s">
        <v>177</v>
      </c>
      <c r="D198" s="52" t="s">
        <v>177</v>
      </c>
      <c r="E198" s="14" t="s">
        <v>2586</v>
      </c>
      <c r="F198" s="1" t="s">
        <v>2587</v>
      </c>
      <c r="G198" s="527" t="s">
        <v>2577</v>
      </c>
      <c r="H198" s="495"/>
    </row>
    <row r="199" ht="14.25" customHeight="1">
      <c r="B199" s="516" t="s">
        <v>14</v>
      </c>
      <c r="C199" s="14" t="s">
        <v>2588</v>
      </c>
      <c r="D199" s="28" t="s">
        <v>2589</v>
      </c>
      <c r="E199" s="14" t="s">
        <v>2590</v>
      </c>
      <c r="F199" s="24" t="s">
        <v>2591</v>
      </c>
      <c r="G199" s="528" t="s">
        <v>2592</v>
      </c>
      <c r="H199" s="515"/>
    </row>
    <row r="200" ht="14.25" customHeight="1">
      <c r="A200" s="499" t="s">
        <v>2436</v>
      </c>
      <c r="B200" s="500" t="s">
        <v>2252</v>
      </c>
      <c r="C200" s="14" t="s">
        <v>2593</v>
      </c>
      <c r="D200" s="14" t="s">
        <v>2594</v>
      </c>
      <c r="E200" s="19" t="s">
        <v>2595</v>
      </c>
      <c r="F200" s="24" t="s">
        <v>2591</v>
      </c>
      <c r="G200" s="527" t="s">
        <v>2577</v>
      </c>
      <c r="H200" s="495"/>
    </row>
    <row r="201" ht="14.25" customHeight="1">
      <c r="A201" s="479" t="s">
        <v>2304</v>
      </c>
      <c r="B201" s="246" t="s">
        <v>42</v>
      </c>
      <c r="C201" s="28" t="s">
        <v>2596</v>
      </c>
      <c r="D201" s="28" t="s">
        <v>2597</v>
      </c>
      <c r="E201" s="14" t="s">
        <v>2590</v>
      </c>
      <c r="F201" s="19" t="s">
        <v>2585</v>
      </c>
      <c r="G201" s="527" t="s">
        <v>2577</v>
      </c>
      <c r="H201" s="495"/>
    </row>
    <row r="202" ht="14.25" customHeight="1">
      <c r="A202" s="471"/>
      <c r="B202" s="248" t="s">
        <v>824</v>
      </c>
      <c r="C202" s="39" t="s">
        <v>2588</v>
      </c>
      <c r="D202" s="28" t="s">
        <v>2598</v>
      </c>
      <c r="E202" s="529" t="s">
        <v>2599</v>
      </c>
      <c r="F202" s="14" t="s">
        <v>2600</v>
      </c>
      <c r="G202" s="527" t="s">
        <v>2577</v>
      </c>
      <c r="H202" s="473"/>
    </row>
    <row r="203" ht="14.25" customHeight="1">
      <c r="A203" s="471"/>
      <c r="B203" s="249" t="s">
        <v>2505</v>
      </c>
      <c r="C203" s="14" t="s">
        <v>2506</v>
      </c>
      <c r="D203" s="14" t="s">
        <v>2506</v>
      </c>
      <c r="E203" s="14" t="s">
        <v>2506</v>
      </c>
      <c r="F203" s="14" t="s">
        <v>2506</v>
      </c>
      <c r="G203" s="527" t="s">
        <v>2577</v>
      </c>
      <c r="H203" s="473"/>
    </row>
    <row r="204" ht="14.25" customHeight="1">
      <c r="A204" s="474"/>
      <c r="B204" s="249" t="s">
        <v>2572</v>
      </c>
      <c r="C204" s="14" t="s">
        <v>2506</v>
      </c>
      <c r="D204" s="14" t="s">
        <v>2506</v>
      </c>
      <c r="E204" s="14" t="s">
        <v>2506</v>
      </c>
      <c r="F204" s="14" t="s">
        <v>2506</v>
      </c>
      <c r="G204" s="527" t="s">
        <v>2577</v>
      </c>
      <c r="H204" s="473"/>
    </row>
    <row r="205" ht="14.25" customHeight="1">
      <c r="B205" s="243" t="s">
        <v>2535</v>
      </c>
      <c r="C205" s="14" t="s">
        <v>2506</v>
      </c>
      <c r="D205" s="14" t="s">
        <v>2506</v>
      </c>
      <c r="E205" s="14" t="s">
        <v>2506</v>
      </c>
      <c r="F205" s="14" t="s">
        <v>2506</v>
      </c>
      <c r="G205" s="527" t="s">
        <v>2577</v>
      </c>
      <c r="H205" s="473"/>
    </row>
    <row r="206" ht="14.25" customHeight="1"/>
    <row r="207" ht="14.25" customHeight="1"/>
    <row r="208" ht="14.25" customHeight="1">
      <c r="B208" s="484" t="s">
        <v>1</v>
      </c>
      <c r="C208" s="234" t="s">
        <v>25</v>
      </c>
      <c r="D208" s="237" t="s">
        <v>789</v>
      </c>
      <c r="E208" s="234" t="s">
        <v>27</v>
      </c>
      <c r="F208" s="234" t="s">
        <v>2</v>
      </c>
      <c r="G208" s="234" t="s">
        <v>3</v>
      </c>
      <c r="H208" s="235" t="s">
        <v>790</v>
      </c>
    </row>
    <row r="209" ht="14.25" customHeight="1">
      <c r="B209" s="9"/>
      <c r="C209" s="239" t="s">
        <v>857</v>
      </c>
      <c r="D209" s="239" t="s">
        <v>2601</v>
      </c>
      <c r="E209" s="239" t="s">
        <v>859</v>
      </c>
      <c r="F209" s="239" t="s">
        <v>860</v>
      </c>
      <c r="G209" s="239" t="s">
        <v>861</v>
      </c>
      <c r="H209" s="239" t="s">
        <v>862</v>
      </c>
    </row>
    <row r="210" ht="14.25" customHeight="1">
      <c r="A210" s="485" t="s">
        <v>2236</v>
      </c>
      <c r="B210" s="240" t="s">
        <v>6</v>
      </c>
      <c r="C210" s="527" t="s">
        <v>2577</v>
      </c>
      <c r="D210" s="14" t="s">
        <v>2602</v>
      </c>
      <c r="E210" s="522" t="s">
        <v>2603</v>
      </c>
      <c r="F210" s="14" t="s">
        <v>2604</v>
      </c>
      <c r="G210" s="469" t="s">
        <v>2605</v>
      </c>
      <c r="H210" s="470"/>
    </row>
    <row r="211" ht="14.25" customHeight="1">
      <c r="A211" s="471"/>
      <c r="B211" s="242" t="s">
        <v>8</v>
      </c>
      <c r="C211" s="527" t="s">
        <v>2577</v>
      </c>
      <c r="D211" s="28" t="s">
        <v>2606</v>
      </c>
      <c r="E211" s="469" t="s">
        <v>2607</v>
      </c>
      <c r="F211" s="28" t="s">
        <v>2608</v>
      </c>
      <c r="G211" s="530" t="s">
        <v>2609</v>
      </c>
      <c r="H211" s="497"/>
    </row>
    <row r="212" ht="14.25" customHeight="1">
      <c r="A212" s="471"/>
      <c r="B212" s="243" t="s">
        <v>10</v>
      </c>
      <c r="C212" s="527" t="s">
        <v>2577</v>
      </c>
      <c r="D212" s="14" t="s">
        <v>2610</v>
      </c>
      <c r="E212" s="14" t="s">
        <v>2611</v>
      </c>
      <c r="F212" s="14" t="s">
        <v>2612</v>
      </c>
      <c r="G212" s="14" t="s">
        <v>2612</v>
      </c>
      <c r="H212" s="495"/>
    </row>
    <row r="213" ht="14.25" customHeight="1">
      <c r="A213" s="474"/>
      <c r="B213" s="493" t="s">
        <v>2287</v>
      </c>
      <c r="C213" s="527" t="s">
        <v>2577</v>
      </c>
      <c r="D213" s="28" t="s">
        <v>2613</v>
      </c>
      <c r="E213" s="505" t="s">
        <v>2614</v>
      </c>
      <c r="F213" s="505" t="s">
        <v>2614</v>
      </c>
      <c r="G213" s="505" t="s">
        <v>2614</v>
      </c>
      <c r="H213" s="495"/>
    </row>
    <row r="214" ht="14.25" customHeight="1">
      <c r="B214" s="516" t="s">
        <v>14</v>
      </c>
      <c r="C214" s="527" t="s">
        <v>2577</v>
      </c>
      <c r="D214" s="28" t="s">
        <v>2615</v>
      </c>
      <c r="E214" s="1" t="s">
        <v>2616</v>
      </c>
      <c r="F214" s="19" t="s">
        <v>2617</v>
      </c>
      <c r="G214" s="14" t="s">
        <v>2618</v>
      </c>
      <c r="H214" s="515"/>
    </row>
    <row r="215" ht="14.25" customHeight="1">
      <c r="A215" s="499" t="s">
        <v>2436</v>
      </c>
      <c r="B215" s="500" t="s">
        <v>2252</v>
      </c>
      <c r="C215" s="527" t="s">
        <v>2577</v>
      </c>
      <c r="D215" s="14" t="s">
        <v>2602</v>
      </c>
      <c r="E215" s="14" t="s">
        <v>2611</v>
      </c>
      <c r="F215" s="19" t="s">
        <v>2617</v>
      </c>
      <c r="G215" s="14" t="s">
        <v>2618</v>
      </c>
      <c r="H215" s="495"/>
    </row>
    <row r="216" ht="14.25" customHeight="1">
      <c r="A216" s="479" t="s">
        <v>2304</v>
      </c>
      <c r="B216" s="246" t="s">
        <v>42</v>
      </c>
      <c r="C216" s="527" t="s">
        <v>2577</v>
      </c>
      <c r="D216" s="28" t="s">
        <v>2615</v>
      </c>
      <c r="E216" s="1" t="s">
        <v>2616</v>
      </c>
      <c r="F216" s="28" t="s">
        <v>2608</v>
      </c>
      <c r="G216" s="530" t="s">
        <v>2609</v>
      </c>
      <c r="H216" s="495"/>
    </row>
    <row r="217" ht="14.25" customHeight="1">
      <c r="A217" s="471"/>
      <c r="B217" s="248" t="s">
        <v>824</v>
      </c>
      <c r="C217" s="527" t="s">
        <v>2577</v>
      </c>
      <c r="D217" s="28" t="s">
        <v>2619</v>
      </c>
      <c r="E217" s="522" t="s">
        <v>2603</v>
      </c>
      <c r="F217" s="14" t="s">
        <v>2612</v>
      </c>
      <c r="G217" s="14" t="s">
        <v>2612</v>
      </c>
      <c r="H217" s="473"/>
    </row>
    <row r="218" ht="14.25" customHeight="1">
      <c r="A218" s="471"/>
      <c r="B218" s="249" t="s">
        <v>2620</v>
      </c>
      <c r="C218" s="527" t="s">
        <v>2577</v>
      </c>
      <c r="D218" s="14" t="s">
        <v>2506</v>
      </c>
      <c r="E218" s="14" t="s">
        <v>2506</v>
      </c>
      <c r="F218" s="14" t="s">
        <v>2506</v>
      </c>
      <c r="G218" s="14" t="s">
        <v>2506</v>
      </c>
      <c r="H218" s="473"/>
    </row>
    <row r="219" ht="14.25" customHeight="1">
      <c r="A219" s="474"/>
      <c r="B219" s="249" t="s">
        <v>2572</v>
      </c>
      <c r="C219" s="527" t="s">
        <v>2577</v>
      </c>
      <c r="D219" s="14" t="s">
        <v>2506</v>
      </c>
      <c r="E219" s="14" t="s">
        <v>2506</v>
      </c>
      <c r="F219" s="14" t="s">
        <v>2506</v>
      </c>
      <c r="G219" s="14" t="s">
        <v>2506</v>
      </c>
      <c r="H219" s="473"/>
    </row>
    <row r="220" ht="14.25" customHeight="1">
      <c r="E220" s="366"/>
    </row>
    <row r="221" ht="14.25" customHeight="1"/>
    <row r="222" ht="14.25" customHeight="1">
      <c r="B222" s="484" t="s">
        <v>1</v>
      </c>
      <c r="C222" s="234" t="s">
        <v>25</v>
      </c>
      <c r="D222" s="237" t="s">
        <v>789</v>
      </c>
      <c r="E222" s="234" t="s">
        <v>27</v>
      </c>
      <c r="F222" s="234" t="s">
        <v>2</v>
      </c>
      <c r="G222" s="234" t="s">
        <v>3</v>
      </c>
      <c r="H222" s="235" t="s">
        <v>790</v>
      </c>
    </row>
    <row r="223" ht="14.25" customHeight="1">
      <c r="B223" s="9"/>
      <c r="C223" s="239" t="s">
        <v>2621</v>
      </c>
      <c r="D223" s="239" t="s">
        <v>876</v>
      </c>
      <c r="E223" s="239" t="s">
        <v>877</v>
      </c>
      <c r="F223" s="239" t="s">
        <v>878</v>
      </c>
      <c r="G223" s="239" t="s">
        <v>879</v>
      </c>
      <c r="H223" s="239" t="s">
        <v>880</v>
      </c>
    </row>
    <row r="224" ht="14.25" customHeight="1">
      <c r="A224" s="485" t="s">
        <v>2236</v>
      </c>
      <c r="B224" s="240" t="s">
        <v>6</v>
      </c>
      <c r="C224" s="528" t="s">
        <v>2622</v>
      </c>
      <c r="D224" s="14" t="s">
        <v>2623</v>
      </c>
      <c r="E224" s="1" t="s">
        <v>2624</v>
      </c>
      <c r="F224" s="527" t="s">
        <v>2577</v>
      </c>
      <c r="G224" s="527" t="s">
        <v>2577</v>
      </c>
      <c r="H224" s="470"/>
    </row>
    <row r="225" ht="14.25" customHeight="1">
      <c r="A225" s="471"/>
      <c r="B225" s="242" t="s">
        <v>8</v>
      </c>
      <c r="C225" s="528" t="s">
        <v>2625</v>
      </c>
      <c r="D225" s="28" t="s">
        <v>2580</v>
      </c>
      <c r="E225" s="522" t="s">
        <v>2626</v>
      </c>
      <c r="F225" s="527" t="s">
        <v>2577</v>
      </c>
      <c r="G225" s="527" t="s">
        <v>2577</v>
      </c>
      <c r="H225" s="497"/>
    </row>
    <row r="226" ht="14.25" customHeight="1">
      <c r="A226" s="471"/>
      <c r="B226" s="243" t="s">
        <v>10</v>
      </c>
      <c r="C226" s="528" t="s">
        <v>2627</v>
      </c>
      <c r="D226" s="28" t="s">
        <v>2628</v>
      </c>
      <c r="E226" s="14" t="s">
        <v>2629</v>
      </c>
      <c r="F226" s="527" t="s">
        <v>2577</v>
      </c>
      <c r="G226" s="527" t="s">
        <v>2577</v>
      </c>
      <c r="H226" s="495"/>
    </row>
    <row r="227" ht="14.25" customHeight="1">
      <c r="A227" s="474"/>
      <c r="B227" s="493" t="s">
        <v>2287</v>
      </c>
      <c r="C227" s="528" t="s">
        <v>2630</v>
      </c>
      <c r="D227" s="28" t="s">
        <v>2630</v>
      </c>
      <c r="E227" s="14" t="s">
        <v>2631</v>
      </c>
      <c r="F227" s="527" t="s">
        <v>2577</v>
      </c>
      <c r="G227" s="527" t="s">
        <v>2577</v>
      </c>
      <c r="H227" s="495"/>
    </row>
    <row r="228" ht="14.25" customHeight="1">
      <c r="B228" s="516" t="s">
        <v>14</v>
      </c>
      <c r="C228" s="528" t="s">
        <v>2632</v>
      </c>
      <c r="D228" s="28" t="s">
        <v>2633</v>
      </c>
      <c r="E228" s="14" t="s">
        <v>2634</v>
      </c>
      <c r="F228" s="527" t="s">
        <v>2577</v>
      </c>
      <c r="G228" s="527" t="s">
        <v>2577</v>
      </c>
      <c r="H228" s="515"/>
      <c r="K228" s="1" t="s">
        <v>0</v>
      </c>
    </row>
    <row r="229" ht="14.25" customHeight="1">
      <c r="A229" s="499" t="s">
        <v>2436</v>
      </c>
      <c r="B229" s="500" t="s">
        <v>2252</v>
      </c>
      <c r="C229" s="528" t="s">
        <v>2625</v>
      </c>
      <c r="D229" s="14" t="s">
        <v>2633</v>
      </c>
      <c r="E229" s="14" t="s">
        <v>2634</v>
      </c>
      <c r="F229" s="527" t="s">
        <v>2577</v>
      </c>
      <c r="G229" s="527" t="s">
        <v>2577</v>
      </c>
      <c r="H229" s="495"/>
      <c r="K229" s="1" t="s">
        <v>0</v>
      </c>
    </row>
    <row r="230" ht="14.25" customHeight="1">
      <c r="A230" s="479" t="s">
        <v>2304</v>
      </c>
      <c r="B230" s="246" t="s">
        <v>42</v>
      </c>
      <c r="C230" s="528" t="s">
        <v>2627</v>
      </c>
      <c r="D230" s="28" t="s">
        <v>2628</v>
      </c>
      <c r="E230" s="1" t="s">
        <v>2624</v>
      </c>
      <c r="F230" s="527" t="s">
        <v>2577</v>
      </c>
      <c r="G230" s="527" t="s">
        <v>2577</v>
      </c>
      <c r="H230" s="495"/>
    </row>
    <row r="231" ht="14.25" customHeight="1">
      <c r="A231" s="471"/>
      <c r="B231" s="248" t="s">
        <v>824</v>
      </c>
      <c r="C231" s="528" t="s">
        <v>2635</v>
      </c>
      <c r="D231" s="28" t="s">
        <v>2636</v>
      </c>
      <c r="E231" s="522" t="s">
        <v>2626</v>
      </c>
      <c r="F231" s="527" t="s">
        <v>2577</v>
      </c>
      <c r="G231" s="527" t="s">
        <v>2577</v>
      </c>
      <c r="H231" s="473"/>
    </row>
    <row r="232" ht="14.25" customHeight="1">
      <c r="A232" s="471"/>
      <c r="B232" s="249" t="s">
        <v>2620</v>
      </c>
      <c r="C232" s="528"/>
      <c r="D232" s="14"/>
      <c r="E232" s="14"/>
      <c r="F232" s="527" t="s">
        <v>2577</v>
      </c>
      <c r="G232" s="527" t="s">
        <v>2577</v>
      </c>
      <c r="H232" s="473"/>
    </row>
    <row r="233" ht="14.25" customHeight="1">
      <c r="A233" s="474"/>
      <c r="B233" s="249" t="s">
        <v>2572</v>
      </c>
      <c r="C233" s="528"/>
      <c r="D233" s="14"/>
      <c r="E233" s="14"/>
      <c r="F233" s="527" t="s">
        <v>2577</v>
      </c>
      <c r="G233" s="527" t="s">
        <v>2577</v>
      </c>
      <c r="H233" s="473"/>
    </row>
    <row r="234" ht="14.25" customHeight="1"/>
    <row r="235" ht="14.25" customHeight="1">
      <c r="B235" s="484" t="s">
        <v>1</v>
      </c>
      <c r="C235" s="234" t="s">
        <v>25</v>
      </c>
      <c r="D235" s="237" t="s">
        <v>789</v>
      </c>
      <c r="E235" s="234" t="s">
        <v>27</v>
      </c>
      <c r="F235" s="234" t="s">
        <v>2</v>
      </c>
      <c r="G235" s="234" t="s">
        <v>3</v>
      </c>
      <c r="H235" s="235" t="s">
        <v>790</v>
      </c>
    </row>
    <row r="236" ht="14.25" customHeight="1">
      <c r="B236" s="9"/>
      <c r="C236" s="239" t="s">
        <v>2637</v>
      </c>
      <c r="D236" s="239" t="s">
        <v>2638</v>
      </c>
      <c r="E236" s="239" t="s">
        <v>2639</v>
      </c>
      <c r="F236" s="239" t="s">
        <v>2640</v>
      </c>
      <c r="G236" s="239" t="s">
        <v>2641</v>
      </c>
      <c r="H236" s="239" t="s">
        <v>2642</v>
      </c>
    </row>
    <row r="237" ht="14.25" customHeight="1">
      <c r="A237" s="485" t="s">
        <v>2236</v>
      </c>
      <c r="B237" s="240" t="s">
        <v>6</v>
      </c>
      <c r="C237" s="39" t="s">
        <v>2643</v>
      </c>
      <c r="D237" s="28" t="s">
        <v>2644</v>
      </c>
      <c r="E237" s="14" t="s">
        <v>2645</v>
      </c>
      <c r="F237" s="51" t="s">
        <v>2646</v>
      </c>
      <c r="G237" s="51" t="s">
        <v>2647</v>
      </c>
      <c r="H237" s="487"/>
    </row>
    <row r="238" ht="14.25" customHeight="1">
      <c r="A238" s="471"/>
      <c r="B238" s="242" t="s">
        <v>8</v>
      </c>
      <c r="C238" s="14" t="s">
        <v>2648</v>
      </c>
      <c r="D238" s="531" t="s">
        <v>2649</v>
      </c>
      <c r="E238" s="14" t="s">
        <v>2650</v>
      </c>
      <c r="F238" s="14" t="s">
        <v>2651</v>
      </c>
      <c r="G238" s="28" t="s">
        <v>2567</v>
      </c>
      <c r="H238" s="532"/>
    </row>
    <row r="239" ht="14.25" customHeight="1">
      <c r="A239" s="471"/>
      <c r="B239" s="243" t="s">
        <v>10</v>
      </c>
      <c r="C239" s="51" t="s">
        <v>2652</v>
      </c>
      <c r="D239" s="533" t="s">
        <v>2653</v>
      </c>
      <c r="E239" s="51" t="s">
        <v>2654</v>
      </c>
      <c r="F239" s="15" t="s">
        <v>2655</v>
      </c>
      <c r="G239" s="526" t="s">
        <v>2656</v>
      </c>
      <c r="H239" s="532"/>
    </row>
    <row r="240" ht="14.25" customHeight="1">
      <c r="A240" s="474"/>
      <c r="B240" s="493" t="s">
        <v>2287</v>
      </c>
      <c r="C240" s="39" t="s">
        <v>2657</v>
      </c>
      <c r="D240" s="14" t="s">
        <v>2658</v>
      </c>
      <c r="E240" s="14" t="s">
        <v>2659</v>
      </c>
      <c r="F240" s="14" t="s">
        <v>2660</v>
      </c>
      <c r="G240" s="534" t="s">
        <v>2661</v>
      </c>
      <c r="H240" s="532"/>
    </row>
    <row r="241" ht="14.25" customHeight="1">
      <c r="B241" s="516" t="s">
        <v>14</v>
      </c>
      <c r="C241" s="51" t="s">
        <v>2662</v>
      </c>
      <c r="D241" s="51" t="s">
        <v>2662</v>
      </c>
      <c r="E241" s="51" t="s">
        <v>2662</v>
      </c>
      <c r="F241" s="24" t="s">
        <v>2662</v>
      </c>
      <c r="G241" s="14" t="s">
        <v>2663</v>
      </c>
      <c r="H241" s="532"/>
    </row>
    <row r="242" ht="14.25" customHeight="1">
      <c r="A242" s="499" t="s">
        <v>2436</v>
      </c>
      <c r="B242" s="500" t="s">
        <v>2252</v>
      </c>
      <c r="C242" s="14" t="s">
        <v>2664</v>
      </c>
      <c r="D242" s="531" t="s">
        <v>2649</v>
      </c>
      <c r="E242" s="14" t="s">
        <v>2665</v>
      </c>
      <c r="F242" s="14" t="s">
        <v>2666</v>
      </c>
      <c r="G242" s="28" t="s">
        <v>2567</v>
      </c>
      <c r="H242" s="532"/>
    </row>
    <row r="243" ht="14.25" customHeight="1">
      <c r="A243" s="479" t="s">
        <v>2304</v>
      </c>
      <c r="B243" s="246" t="s">
        <v>42</v>
      </c>
      <c r="C243" s="39" t="s">
        <v>2667</v>
      </c>
      <c r="D243" s="58" t="s">
        <v>2668</v>
      </c>
      <c r="E243" s="39" t="s">
        <v>2645</v>
      </c>
      <c r="F243" s="15" t="s">
        <v>2655</v>
      </c>
      <c r="G243" s="15" t="s">
        <v>2661</v>
      </c>
      <c r="H243" s="532"/>
      <c r="I243" s="209"/>
      <c r="J243" s="510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</row>
    <row r="244" ht="14.25" customHeight="1">
      <c r="A244" s="471"/>
      <c r="B244" s="248" t="s">
        <v>824</v>
      </c>
      <c r="C244" s="39" t="s">
        <v>2662</v>
      </c>
      <c r="D244" s="39" t="s">
        <v>2662</v>
      </c>
      <c r="E244" s="39" t="s">
        <v>2662</v>
      </c>
      <c r="F244" s="39" t="s">
        <v>2662</v>
      </c>
      <c r="G244" s="51" t="s">
        <v>2663</v>
      </c>
      <c r="H244" s="487"/>
    </row>
    <row r="245" ht="14.25" customHeight="1">
      <c r="A245" s="471"/>
      <c r="B245" s="249" t="s">
        <v>2620</v>
      </c>
      <c r="C245" s="14" t="s">
        <v>2669</v>
      </c>
      <c r="D245" s="14" t="s">
        <v>2669</v>
      </c>
      <c r="E245" s="14" t="s">
        <v>2669</v>
      </c>
      <c r="F245" s="14" t="s">
        <v>2669</v>
      </c>
      <c r="G245" s="14" t="s">
        <v>2669</v>
      </c>
      <c r="H245" s="487"/>
    </row>
    <row r="246" ht="14.25" customHeight="1">
      <c r="A246" s="474"/>
      <c r="B246" s="249" t="s">
        <v>2572</v>
      </c>
      <c r="C246" s="14" t="s">
        <v>2669</v>
      </c>
      <c r="D246" s="14" t="s">
        <v>2669</v>
      </c>
      <c r="E246" s="14" t="s">
        <v>2669</v>
      </c>
      <c r="F246" s="14" t="s">
        <v>2669</v>
      </c>
      <c r="G246" s="14" t="s">
        <v>2669</v>
      </c>
      <c r="H246" s="487"/>
    </row>
    <row r="247" ht="14.25" customHeight="1">
      <c r="C247" s="28"/>
    </row>
    <row r="248" ht="14.25" customHeight="1">
      <c r="B248" s="484" t="s">
        <v>1</v>
      </c>
      <c r="C248" s="234" t="s">
        <v>25</v>
      </c>
      <c r="D248" s="237" t="s">
        <v>789</v>
      </c>
      <c r="E248" s="234" t="s">
        <v>27</v>
      </c>
      <c r="F248" s="234" t="s">
        <v>2</v>
      </c>
      <c r="G248" s="234" t="s">
        <v>3</v>
      </c>
      <c r="H248" s="235" t="s">
        <v>790</v>
      </c>
    </row>
    <row r="249" ht="14.25" customHeight="1">
      <c r="B249" s="9"/>
      <c r="C249" s="239" t="s">
        <v>2670</v>
      </c>
      <c r="D249" s="239" t="s">
        <v>2671</v>
      </c>
      <c r="E249" s="239" t="s">
        <v>2672</v>
      </c>
      <c r="F249" s="239" t="s">
        <v>2673</v>
      </c>
      <c r="G249" s="239" t="s">
        <v>2674</v>
      </c>
      <c r="H249" s="239" t="s">
        <v>2675</v>
      </c>
    </row>
    <row r="250" ht="14.25" customHeight="1">
      <c r="A250" s="485" t="s">
        <v>2236</v>
      </c>
      <c r="B250" s="240" t="s">
        <v>6</v>
      </c>
      <c r="C250" s="81" t="s">
        <v>2676</v>
      </c>
      <c r="D250" s="535" t="s">
        <v>2677</v>
      </c>
      <c r="E250" s="28" t="s">
        <v>2678</v>
      </c>
      <c r="F250" s="526" t="s">
        <v>2679</v>
      </c>
      <c r="G250" s="536" t="s">
        <v>2680</v>
      </c>
      <c r="H250" s="487"/>
    </row>
    <row r="251" ht="14.25" customHeight="1">
      <c r="A251" s="471"/>
      <c r="B251" s="242" t="s">
        <v>8</v>
      </c>
      <c r="C251" s="14" t="s">
        <v>2681</v>
      </c>
      <c r="D251" s="58" t="s">
        <v>2682</v>
      </c>
      <c r="E251" s="535" t="s">
        <v>2683</v>
      </c>
      <c r="F251" s="28" t="s">
        <v>2684</v>
      </c>
      <c r="G251" s="14" t="s">
        <v>2685</v>
      </c>
      <c r="H251" s="532"/>
      <c r="J251" s="537"/>
      <c r="K251" s="1"/>
    </row>
    <row r="252" ht="14.25" customHeight="1">
      <c r="A252" s="471"/>
      <c r="B252" s="243" t="s">
        <v>10</v>
      </c>
      <c r="C252" s="39" t="s">
        <v>2686</v>
      </c>
      <c r="D252" s="39" t="s">
        <v>2687</v>
      </c>
      <c r="E252" s="24" t="s">
        <v>2688</v>
      </c>
      <c r="F252" s="538" t="s">
        <v>2689</v>
      </c>
      <c r="G252" s="24" t="s">
        <v>2690</v>
      </c>
      <c r="H252" s="532"/>
      <c r="J252" s="1"/>
    </row>
    <row r="253" ht="14.25" customHeight="1">
      <c r="A253" s="474"/>
      <c r="B253" s="493" t="s">
        <v>2287</v>
      </c>
      <c r="C253" s="39" t="s">
        <v>2691</v>
      </c>
      <c r="D253" s="39" t="s">
        <v>2692</v>
      </c>
      <c r="E253" s="39" t="s">
        <v>2693</v>
      </c>
      <c r="F253" s="39" t="s">
        <v>2693</v>
      </c>
      <c r="G253" s="39" t="s">
        <v>2693</v>
      </c>
      <c r="H253" s="532"/>
      <c r="J253" s="1"/>
    </row>
    <row r="254" ht="14.25" customHeight="1">
      <c r="B254" s="516" t="s">
        <v>14</v>
      </c>
      <c r="C254" s="14" t="s">
        <v>2694</v>
      </c>
      <c r="D254" s="19" t="s">
        <v>2695</v>
      </c>
      <c r="E254" s="28" t="s">
        <v>2696</v>
      </c>
      <c r="F254" s="510" t="s">
        <v>2697</v>
      </c>
      <c r="G254" s="81" t="s">
        <v>2698</v>
      </c>
      <c r="H254" s="532"/>
      <c r="J254" s="1"/>
    </row>
    <row r="255" ht="14.25" customHeight="1">
      <c r="A255" s="499" t="s">
        <v>2436</v>
      </c>
      <c r="B255" s="500" t="s">
        <v>2252</v>
      </c>
      <c r="C255" s="14" t="s">
        <v>2681</v>
      </c>
      <c r="D255" s="535" t="s">
        <v>1251</v>
      </c>
      <c r="E255" s="28" t="s">
        <v>2696</v>
      </c>
      <c r="F255" s="526" t="s">
        <v>2679</v>
      </c>
      <c r="G255" s="81" t="s">
        <v>2698</v>
      </c>
      <c r="H255" s="532"/>
      <c r="J255" s="1"/>
    </row>
    <row r="256" ht="14.25" customHeight="1">
      <c r="A256" s="479" t="s">
        <v>2304</v>
      </c>
      <c r="B256" s="246" t="s">
        <v>42</v>
      </c>
      <c r="C256" s="527" t="s">
        <v>2577</v>
      </c>
      <c r="D256" s="39" t="s">
        <v>2687</v>
      </c>
      <c r="E256" s="535" t="s">
        <v>2699</v>
      </c>
      <c r="F256" s="28" t="s">
        <v>2684</v>
      </c>
      <c r="G256" s="527" t="s">
        <v>2577</v>
      </c>
      <c r="H256" s="532"/>
      <c r="I256" s="209"/>
      <c r="J256" s="53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</row>
    <row r="257" ht="14.25" customHeight="1">
      <c r="A257" s="471"/>
      <c r="B257" s="248" t="s">
        <v>824</v>
      </c>
      <c r="C257" s="81" t="s">
        <v>2676</v>
      </c>
      <c r="D257" s="535" t="s">
        <v>2677</v>
      </c>
      <c r="E257" s="28" t="s">
        <v>2700</v>
      </c>
      <c r="F257" s="538" t="s">
        <v>2701</v>
      </c>
      <c r="G257" s="24" t="s">
        <v>2702</v>
      </c>
      <c r="H257" s="487"/>
      <c r="J257" s="539"/>
    </row>
    <row r="258" ht="14.25" customHeight="1">
      <c r="A258" s="471"/>
      <c r="B258" s="249" t="s">
        <v>2620</v>
      </c>
      <c r="C258" s="14"/>
      <c r="D258" s="14"/>
      <c r="E258" s="14"/>
      <c r="F258" s="14"/>
      <c r="G258" s="14"/>
      <c r="H258" s="487"/>
    </row>
    <row r="259" ht="14.25" customHeight="1">
      <c r="A259" s="474"/>
      <c r="B259" s="249" t="s">
        <v>2572</v>
      </c>
      <c r="C259" s="14"/>
      <c r="D259" s="14"/>
      <c r="E259" s="14"/>
      <c r="G259" s="14"/>
      <c r="H259" s="487"/>
    </row>
    <row r="260" ht="14.25" customHeight="1"/>
    <row r="261" ht="14.25" customHeight="1"/>
    <row r="262" ht="14.25" customHeight="1">
      <c r="B262" s="484" t="s">
        <v>1</v>
      </c>
      <c r="C262" s="237" t="s">
        <v>25</v>
      </c>
      <c r="D262" s="237" t="s">
        <v>789</v>
      </c>
      <c r="E262" s="234" t="s">
        <v>27</v>
      </c>
      <c r="F262" s="234" t="s">
        <v>2</v>
      </c>
      <c r="G262" s="234" t="s">
        <v>3</v>
      </c>
      <c r="H262" s="235" t="s">
        <v>790</v>
      </c>
    </row>
    <row r="263" ht="14.25" customHeight="1">
      <c r="B263" s="9"/>
      <c r="C263" s="239" t="s">
        <v>2703</v>
      </c>
      <c r="D263" s="239" t="s">
        <v>2704</v>
      </c>
      <c r="E263" s="239" t="s">
        <v>2705</v>
      </c>
      <c r="F263" s="239" t="s">
        <v>2706</v>
      </c>
      <c r="G263" s="239" t="s">
        <v>2707</v>
      </c>
      <c r="H263" s="239" t="s">
        <v>2708</v>
      </c>
    </row>
    <row r="264" ht="14.25" customHeight="1">
      <c r="A264" s="485" t="s">
        <v>2236</v>
      </c>
      <c r="B264" s="240" t="s">
        <v>6</v>
      </c>
      <c r="C264" s="39" t="s">
        <v>2709</v>
      </c>
      <c r="D264" s="540" t="s">
        <v>2710</v>
      </c>
      <c r="E264" s="541" t="s">
        <v>2711</v>
      </c>
      <c r="F264" s="52" t="s">
        <v>2712</v>
      </c>
      <c r="G264" s="542" t="s">
        <v>2713</v>
      </c>
      <c r="H264" s="487"/>
    </row>
    <row r="265" ht="14.25" customHeight="1">
      <c r="A265" s="471"/>
      <c r="B265" s="242" t="s">
        <v>8</v>
      </c>
      <c r="C265" s="81" t="s">
        <v>2714</v>
      </c>
      <c r="D265" s="81" t="s">
        <v>2714</v>
      </c>
      <c r="E265" s="81" t="s">
        <v>2714</v>
      </c>
      <c r="F265" s="81" t="s">
        <v>2714</v>
      </c>
      <c r="G265" s="543" t="s">
        <v>2577</v>
      </c>
      <c r="H265" s="532"/>
      <c r="J265" s="1" t="s">
        <v>2715</v>
      </c>
    </row>
    <row r="266" ht="14.25" customHeight="1">
      <c r="A266" s="471"/>
      <c r="B266" s="243" t="s">
        <v>10</v>
      </c>
      <c r="C266" s="24" t="s">
        <v>177</v>
      </c>
      <c r="D266" s="24" t="s">
        <v>177</v>
      </c>
      <c r="E266" s="24" t="s">
        <v>74</v>
      </c>
      <c r="F266" s="105" t="s">
        <v>2716</v>
      </c>
      <c r="G266" s="106" t="s">
        <v>2717</v>
      </c>
      <c r="H266" s="532"/>
    </row>
    <row r="267" ht="14.25" customHeight="1">
      <c r="A267" s="474"/>
      <c r="B267" s="493" t="s">
        <v>2287</v>
      </c>
      <c r="C267" s="69" t="s">
        <v>2718</v>
      </c>
      <c r="D267" s="14" t="s">
        <v>2719</v>
      </c>
      <c r="E267" s="14" t="s">
        <v>177</v>
      </c>
      <c r="F267" s="19" t="s">
        <v>2720</v>
      </c>
      <c r="G267" s="19" t="s">
        <v>2720</v>
      </c>
      <c r="H267" s="532"/>
    </row>
    <row r="268" ht="14.25" customHeight="1">
      <c r="B268" s="516" t="s">
        <v>14</v>
      </c>
      <c r="C268" s="69" t="s">
        <v>2718</v>
      </c>
      <c r="D268" s="538" t="s">
        <v>2721</v>
      </c>
      <c r="E268" s="538" t="s">
        <v>2722</v>
      </c>
      <c r="F268" s="544" t="s">
        <v>2723</v>
      </c>
      <c r="G268" s="545" t="s">
        <v>2724</v>
      </c>
      <c r="H268" s="532"/>
      <c r="J268" s="39"/>
    </row>
    <row r="269" ht="14.25" customHeight="1">
      <c r="A269" s="499" t="s">
        <v>2436</v>
      </c>
      <c r="B269" s="500" t="s">
        <v>2252</v>
      </c>
      <c r="C269" s="538" t="s">
        <v>2725</v>
      </c>
      <c r="D269" s="538" t="s">
        <v>2721</v>
      </c>
      <c r="E269" s="541" t="s">
        <v>2711</v>
      </c>
      <c r="F269" s="544" t="s">
        <v>2723</v>
      </c>
      <c r="G269" s="64" t="s">
        <v>2726</v>
      </c>
      <c r="H269" s="532"/>
    </row>
    <row r="270" ht="14.25" customHeight="1">
      <c r="A270" s="479" t="s">
        <v>2304</v>
      </c>
      <c r="B270" s="246" t="s">
        <v>42</v>
      </c>
      <c r="C270" s="39" t="s">
        <v>2718</v>
      </c>
      <c r="D270" s="546" t="s">
        <v>2710</v>
      </c>
      <c r="E270" s="538" t="s">
        <v>2713</v>
      </c>
      <c r="F270" s="538" t="s">
        <v>2713</v>
      </c>
      <c r="G270" s="69" t="s">
        <v>2724</v>
      </c>
      <c r="H270" s="532"/>
    </row>
    <row r="271" ht="14.25" customHeight="1">
      <c r="A271" s="471"/>
      <c r="B271" s="248" t="s">
        <v>824</v>
      </c>
      <c r="C271" s="81" t="s">
        <v>2714</v>
      </c>
      <c r="D271" s="81" t="s">
        <v>2714</v>
      </c>
      <c r="E271" s="81" t="s">
        <v>2714</v>
      </c>
      <c r="F271" s="81" t="s">
        <v>2714</v>
      </c>
      <c r="G271" s="535" t="s">
        <v>2727</v>
      </c>
      <c r="H271" s="487"/>
    </row>
    <row r="272" ht="14.25" customHeight="1">
      <c r="A272" s="471"/>
      <c r="B272" s="249" t="s">
        <v>2620</v>
      </c>
      <c r="C272" s="14"/>
      <c r="D272" s="14"/>
      <c r="E272" s="14"/>
      <c r="F272" s="14"/>
      <c r="G272" s="14"/>
      <c r="H272" s="487"/>
      <c r="J272" s="1" t="s">
        <v>2728</v>
      </c>
    </row>
    <row r="273" ht="14.25" customHeight="1">
      <c r="A273" s="474"/>
      <c r="B273" s="249" t="s">
        <v>2572</v>
      </c>
      <c r="C273" s="14"/>
      <c r="D273" s="14"/>
      <c r="E273" s="14"/>
      <c r="F273" s="14"/>
      <c r="G273" s="14"/>
      <c r="H273" s="487"/>
    </row>
    <row r="274" ht="14.25" customHeight="1"/>
    <row r="275" ht="14.25" customHeight="1"/>
    <row r="276" ht="14.25" customHeight="1">
      <c r="B276" s="484" t="s">
        <v>1</v>
      </c>
      <c r="C276" s="237" t="s">
        <v>25</v>
      </c>
      <c r="D276" s="237" t="s">
        <v>789</v>
      </c>
      <c r="E276" s="234" t="s">
        <v>27</v>
      </c>
      <c r="F276" s="234" t="s">
        <v>2</v>
      </c>
      <c r="G276" s="234" t="s">
        <v>3</v>
      </c>
      <c r="H276" s="235" t="s">
        <v>790</v>
      </c>
    </row>
    <row r="277" ht="14.25" customHeight="1">
      <c r="B277" s="9"/>
      <c r="C277" s="239" t="s">
        <v>2729</v>
      </c>
      <c r="D277" s="239" t="s">
        <v>2730</v>
      </c>
      <c r="E277" s="239" t="s">
        <v>2731</v>
      </c>
      <c r="F277" s="239" t="s">
        <v>2732</v>
      </c>
      <c r="G277" s="239" t="s">
        <v>2733</v>
      </c>
      <c r="H277" s="239" t="s">
        <v>2734</v>
      </c>
    </row>
    <row r="278" ht="14.25" customHeight="1">
      <c r="A278" s="485" t="s">
        <v>2236</v>
      </c>
      <c r="B278" s="240" t="s">
        <v>2735</v>
      </c>
      <c r="C278" s="39" t="s">
        <v>2736</v>
      </c>
      <c r="D278" s="106" t="s">
        <v>2737</v>
      </c>
      <c r="E278" s="19" t="s">
        <v>2738</v>
      </c>
      <c r="F278" s="547" t="s">
        <v>2739</v>
      </c>
      <c r="G278" s="58" t="s">
        <v>2740</v>
      </c>
      <c r="H278" s="487"/>
    </row>
    <row r="279" ht="14.25" customHeight="1">
      <c r="A279" s="471"/>
      <c r="B279" s="242" t="s">
        <v>8</v>
      </c>
      <c r="C279" s="538" t="s">
        <v>2741</v>
      </c>
      <c r="D279" s="19" t="s">
        <v>2742</v>
      </c>
      <c r="E279" s="81" t="s">
        <v>2743</v>
      </c>
      <c r="F279" s="19" t="s">
        <v>2744</v>
      </c>
      <c r="G279" s="116" t="s">
        <v>2745</v>
      </c>
      <c r="H279" s="532"/>
      <c r="K279" s="88" t="s">
        <v>141</v>
      </c>
    </row>
    <row r="280" ht="14.25" customHeight="1">
      <c r="A280" s="471"/>
      <c r="B280" s="243" t="s">
        <v>10</v>
      </c>
      <c r="C280" s="208" t="s">
        <v>2746</v>
      </c>
      <c r="D280" s="208" t="s">
        <v>2747</v>
      </c>
      <c r="E280" s="208" t="s">
        <v>2748</v>
      </c>
      <c r="F280" s="208" t="s">
        <v>2748</v>
      </c>
      <c r="G280" s="204" t="s">
        <v>2749</v>
      </c>
      <c r="H280" s="532"/>
      <c r="J280" s="39"/>
      <c r="K280" s="90" t="s">
        <v>145</v>
      </c>
    </row>
    <row r="281" ht="14.25" customHeight="1">
      <c r="A281" s="474"/>
      <c r="B281" s="493" t="s">
        <v>2287</v>
      </c>
      <c r="C281" s="116" t="s">
        <v>535</v>
      </c>
      <c r="D281" s="90" t="s">
        <v>2750</v>
      </c>
      <c r="E281" s="90" t="s">
        <v>2750</v>
      </c>
      <c r="F281" s="90" t="s">
        <v>2750</v>
      </c>
      <c r="G281" s="90" t="s">
        <v>2750</v>
      </c>
      <c r="H281" s="532"/>
      <c r="K281" s="91" t="s">
        <v>149</v>
      </c>
    </row>
    <row r="282" ht="14.25" customHeight="1">
      <c r="B282" s="516" t="s">
        <v>14</v>
      </c>
      <c r="C282" s="39" t="s">
        <v>2751</v>
      </c>
      <c r="D282" s="81" t="s">
        <v>2752</v>
      </c>
      <c r="E282" s="39"/>
      <c r="F282" s="540" t="s">
        <v>2753</v>
      </c>
      <c r="G282" s="19" t="s">
        <v>2754</v>
      </c>
      <c r="H282" s="532"/>
      <c r="K282" s="94" t="s">
        <v>153</v>
      </c>
    </row>
    <row r="283" ht="14.25" customHeight="1">
      <c r="A283" s="499" t="s">
        <v>2436</v>
      </c>
      <c r="B283" s="500" t="s">
        <v>2252</v>
      </c>
      <c r="C283" s="208" t="s">
        <v>2746</v>
      </c>
      <c r="D283" s="546" t="s">
        <v>2748</v>
      </c>
      <c r="E283" s="546" t="s">
        <v>2748</v>
      </c>
      <c r="F283" s="546" t="s">
        <v>2748</v>
      </c>
      <c r="G283" s="505" t="s">
        <v>2749</v>
      </c>
      <c r="H283" s="532"/>
      <c r="K283" s="95" t="s">
        <v>154</v>
      </c>
    </row>
    <row r="284" ht="14.25" customHeight="1">
      <c r="A284" s="479" t="s">
        <v>2304</v>
      </c>
      <c r="B284" s="246" t="s">
        <v>2755</v>
      </c>
      <c r="C284" s="51" t="s">
        <v>2736</v>
      </c>
      <c r="D284" s="106" t="s">
        <v>2737</v>
      </c>
      <c r="E284" s="81" t="s">
        <v>2743</v>
      </c>
      <c r="F284" s="547" t="s">
        <v>2739</v>
      </c>
      <c r="G284" s="548" t="s">
        <v>2756</v>
      </c>
      <c r="H284" s="532"/>
    </row>
    <row r="285" ht="14.25" customHeight="1">
      <c r="A285" s="471"/>
      <c r="B285" s="248" t="s">
        <v>824</v>
      </c>
      <c r="C285" s="39" t="s">
        <v>2751</v>
      </c>
      <c r="D285" s="168" t="s">
        <v>2752</v>
      </c>
      <c r="E285" s="168" t="s">
        <v>2757</v>
      </c>
      <c r="F285" s="540" t="s">
        <v>2753</v>
      </c>
      <c r="G285" s="19" t="s">
        <v>2754</v>
      </c>
      <c r="H285" s="487"/>
    </row>
    <row r="286" ht="14.25" customHeight="1">
      <c r="A286" s="471"/>
      <c r="B286" s="249" t="s">
        <v>2620</v>
      </c>
      <c r="C286" s="14"/>
      <c r="D286" s="14"/>
      <c r="E286" s="14"/>
      <c r="F286" s="14"/>
      <c r="G286" s="14"/>
      <c r="H286" s="487"/>
    </row>
    <row r="287" ht="14.25" customHeight="1">
      <c r="A287" s="474"/>
      <c r="B287" s="249" t="s">
        <v>2572</v>
      </c>
      <c r="C287" s="14"/>
      <c r="D287" s="14"/>
      <c r="E287" s="14"/>
      <c r="G287" s="14"/>
      <c r="H287" s="487"/>
    </row>
    <row r="288" ht="14.25" customHeight="1"/>
    <row r="289" ht="14.25" customHeight="1"/>
    <row r="290" ht="14.25" customHeight="1">
      <c r="B290" s="484" t="s">
        <v>1</v>
      </c>
      <c r="C290" s="237" t="s">
        <v>25</v>
      </c>
      <c r="D290" s="237" t="s">
        <v>789</v>
      </c>
      <c r="E290" s="234" t="s">
        <v>27</v>
      </c>
      <c r="F290" s="234" t="s">
        <v>2</v>
      </c>
      <c r="G290" s="234" t="s">
        <v>3</v>
      </c>
      <c r="H290" s="235" t="s">
        <v>790</v>
      </c>
    </row>
    <row r="291" ht="14.25" customHeight="1">
      <c r="B291" s="9"/>
      <c r="C291" s="239" t="s">
        <v>2758</v>
      </c>
      <c r="D291" s="239" t="s">
        <v>2759</v>
      </c>
      <c r="E291" s="239" t="s">
        <v>2760</v>
      </c>
      <c r="F291" s="239" t="s">
        <v>2761</v>
      </c>
      <c r="G291" s="239" t="s">
        <v>2762</v>
      </c>
      <c r="H291" s="239" t="s">
        <v>2763</v>
      </c>
    </row>
    <row r="292" ht="14.25" customHeight="1">
      <c r="A292" s="485" t="s">
        <v>2236</v>
      </c>
      <c r="B292" s="240" t="s">
        <v>6</v>
      </c>
      <c r="C292" s="39" t="s">
        <v>2764</v>
      </c>
      <c r="D292" s="81" t="s">
        <v>2765</v>
      </c>
      <c r="E292" s="168" t="s">
        <v>2766</v>
      </c>
      <c r="F292" s="105" t="s">
        <v>2767</v>
      </c>
      <c r="G292" s="41" t="s">
        <v>2768</v>
      </c>
      <c r="H292" s="487"/>
    </row>
    <row r="293" ht="14.25" customHeight="1">
      <c r="A293" s="471"/>
      <c r="B293" s="242" t="s">
        <v>8</v>
      </c>
      <c r="C293" s="73" t="s">
        <v>2769</v>
      </c>
      <c r="D293" s="57" t="s">
        <v>2770</v>
      </c>
      <c r="E293" s="28" t="s">
        <v>2771</v>
      </c>
      <c r="F293" s="73" t="s">
        <v>2772</v>
      </c>
      <c r="G293" s="81" t="s">
        <v>2773</v>
      </c>
      <c r="H293" s="532"/>
    </row>
    <row r="294" ht="14.25" customHeight="1">
      <c r="A294" s="471"/>
      <c r="B294" s="243" t="s">
        <v>10</v>
      </c>
      <c r="C294" s="14" t="s">
        <v>2518</v>
      </c>
      <c r="D294" s="69" t="s">
        <v>2774</v>
      </c>
      <c r="E294" s="14" t="s">
        <v>2775</v>
      </c>
      <c r="F294" s="14" t="s">
        <v>2776</v>
      </c>
      <c r="G294" s="14"/>
      <c r="H294" s="532"/>
    </row>
    <row r="295" ht="14.25" customHeight="1">
      <c r="A295" s="474"/>
      <c r="B295" s="493" t="s">
        <v>2287</v>
      </c>
      <c r="C295" s="47" t="s">
        <v>2777</v>
      </c>
      <c r="D295" s="47" t="s">
        <v>2777</v>
      </c>
      <c r="E295" s="47" t="s">
        <v>2777</v>
      </c>
      <c r="F295" s="47" t="s">
        <v>2777</v>
      </c>
      <c r="G295" s="47" t="s">
        <v>2777</v>
      </c>
      <c r="H295" s="532"/>
      <c r="J295" s="168"/>
    </row>
    <row r="296" ht="14.25" customHeight="1">
      <c r="B296" s="516" t="s">
        <v>14</v>
      </c>
      <c r="C296" s="47" t="s">
        <v>2778</v>
      </c>
      <c r="D296" s="69" t="s">
        <v>2779</v>
      </c>
      <c r="E296" s="549" t="s">
        <v>2780</v>
      </c>
      <c r="F296" s="51" t="s">
        <v>2781</v>
      </c>
      <c r="H296" s="532"/>
      <c r="J296" s="168"/>
    </row>
    <row r="297" ht="14.25" customHeight="1">
      <c r="A297" s="499" t="s">
        <v>2436</v>
      </c>
      <c r="B297" s="500" t="s">
        <v>2252</v>
      </c>
      <c r="C297" s="39" t="s">
        <v>2778</v>
      </c>
      <c r="D297" s="69" t="s">
        <v>2782</v>
      </c>
      <c r="E297" s="168" t="s">
        <v>2766</v>
      </c>
      <c r="F297" s="536" t="s">
        <v>2772</v>
      </c>
      <c r="G297" s="81" t="s">
        <v>2783</v>
      </c>
      <c r="H297" s="532"/>
    </row>
    <row r="298" ht="14.25" customHeight="1">
      <c r="A298" s="479" t="s">
        <v>2304</v>
      </c>
      <c r="B298" s="246" t="s">
        <v>2755</v>
      </c>
      <c r="C298" s="116" t="s">
        <v>2784</v>
      </c>
      <c r="D298" s="116" t="s">
        <v>2784</v>
      </c>
      <c r="E298" s="116" t="s">
        <v>2784</v>
      </c>
      <c r="F298" s="116" t="s">
        <v>2784</v>
      </c>
      <c r="G298" s="116" t="s">
        <v>2784</v>
      </c>
      <c r="H298" s="532"/>
    </row>
    <row r="299" ht="14.25" customHeight="1">
      <c r="A299" s="471"/>
      <c r="B299" s="248" t="s">
        <v>824</v>
      </c>
      <c r="C299" s="536" t="s">
        <v>2769</v>
      </c>
      <c r="D299" s="536" t="s">
        <v>2785</v>
      </c>
      <c r="E299" s="28" t="s">
        <v>2786</v>
      </c>
      <c r="F299" s="105" t="s">
        <v>2767</v>
      </c>
      <c r="G299" s="550" t="s">
        <v>2773</v>
      </c>
      <c r="H299" s="487"/>
    </row>
    <row r="300" ht="14.25" customHeight="1">
      <c r="A300" s="471"/>
      <c r="B300" s="249" t="s">
        <v>2620</v>
      </c>
      <c r="C300" s="47" t="s">
        <v>2787</v>
      </c>
      <c r="D300" s="47" t="s">
        <v>2787</v>
      </c>
      <c r="E300" s="47" t="s">
        <v>2787</v>
      </c>
      <c r="F300" s="47" t="s">
        <v>2787</v>
      </c>
      <c r="G300" s="47" t="s">
        <v>2787</v>
      </c>
      <c r="H300" s="487"/>
    </row>
    <row r="301" ht="14.25" customHeight="1">
      <c r="A301" s="474"/>
      <c r="B301" s="249" t="s">
        <v>2572</v>
      </c>
      <c r="C301" s="21" t="s">
        <v>2787</v>
      </c>
      <c r="D301" s="21" t="s">
        <v>2787</v>
      </c>
      <c r="E301" s="21" t="s">
        <v>2787</v>
      </c>
      <c r="F301" s="21" t="s">
        <v>2787</v>
      </c>
      <c r="G301" s="21" t="s">
        <v>2787</v>
      </c>
      <c r="H301" s="487"/>
    </row>
    <row r="302" ht="14.25" customHeight="1"/>
    <row r="303" ht="14.25" customHeight="1"/>
    <row r="304" ht="14.25" customHeight="1">
      <c r="B304" s="484" t="s">
        <v>1</v>
      </c>
      <c r="C304" s="237" t="s">
        <v>25</v>
      </c>
      <c r="D304" s="237" t="s">
        <v>789</v>
      </c>
      <c r="E304" s="234" t="s">
        <v>27</v>
      </c>
      <c r="F304" s="234" t="s">
        <v>2</v>
      </c>
      <c r="G304" s="234" t="s">
        <v>3</v>
      </c>
      <c r="H304" s="235" t="s">
        <v>790</v>
      </c>
    </row>
    <row r="305" ht="14.25" customHeight="1">
      <c r="B305" s="9"/>
      <c r="C305" s="239" t="s">
        <v>2788</v>
      </c>
      <c r="D305" s="239" t="s">
        <v>2789</v>
      </c>
      <c r="E305" s="239" t="s">
        <v>2790</v>
      </c>
      <c r="F305" s="239" t="s">
        <v>2791</v>
      </c>
      <c r="G305" s="239" t="s">
        <v>2792</v>
      </c>
      <c r="H305" s="239" t="s">
        <v>2793</v>
      </c>
      <c r="I305" s="1" t="s">
        <v>0</v>
      </c>
    </row>
    <row r="306" ht="14.25" customHeight="1">
      <c r="A306" s="485" t="s">
        <v>2236</v>
      </c>
      <c r="B306" s="240" t="s">
        <v>2735</v>
      </c>
      <c r="C306" s="551" t="s">
        <v>542</v>
      </c>
      <c r="D306" s="552" t="s">
        <v>2794</v>
      </c>
      <c r="E306" s="51" t="s">
        <v>2795</v>
      </c>
      <c r="F306" s="553" t="s">
        <v>2796</v>
      </c>
      <c r="G306" s="69" t="s">
        <v>2797</v>
      </c>
      <c r="H306" s="487"/>
    </row>
    <row r="307" ht="14.25" customHeight="1">
      <c r="A307" s="471"/>
      <c r="B307" s="242" t="s">
        <v>8</v>
      </c>
      <c r="C307" s="551" t="s">
        <v>542</v>
      </c>
      <c r="D307" s="554" t="s">
        <v>2798</v>
      </c>
      <c r="E307" s="1" t="s">
        <v>2799</v>
      </c>
      <c r="F307" s="51" t="s">
        <v>2800</v>
      </c>
      <c r="G307" s="52" t="s">
        <v>2801</v>
      </c>
      <c r="H307" s="532"/>
    </row>
    <row r="308" ht="14.25" customHeight="1">
      <c r="A308" s="471"/>
      <c r="B308" s="243" t="s">
        <v>10</v>
      </c>
      <c r="C308" s="551" t="s">
        <v>542</v>
      </c>
      <c r="D308" s="69" t="s">
        <v>2802</v>
      </c>
      <c r="E308" s="69" t="s">
        <v>2802</v>
      </c>
      <c r="F308" s="69" t="s">
        <v>2802</v>
      </c>
      <c r="G308" s="69" t="s">
        <v>2802</v>
      </c>
      <c r="H308" s="532"/>
    </row>
    <row r="309" ht="14.25" customHeight="1">
      <c r="A309" s="474"/>
      <c r="B309" s="493" t="s">
        <v>2287</v>
      </c>
      <c r="C309" s="551" t="s">
        <v>542</v>
      </c>
      <c r="D309" s="106" t="s">
        <v>177</v>
      </c>
      <c r="E309" s="14" t="s">
        <v>2803</v>
      </c>
      <c r="F309" s="81" t="s">
        <v>2804</v>
      </c>
      <c r="G309" s="51" t="s">
        <v>38</v>
      </c>
      <c r="H309" s="532"/>
    </row>
    <row r="310" ht="14.25" customHeight="1">
      <c r="B310" s="516" t="s">
        <v>14</v>
      </c>
      <c r="C310" s="551" t="s">
        <v>542</v>
      </c>
      <c r="D310" s="81" t="s">
        <v>2783</v>
      </c>
      <c r="E310" s="52" t="s">
        <v>2805</v>
      </c>
      <c r="F310" s="52" t="s">
        <v>2806</v>
      </c>
      <c r="G310" s="1" t="s">
        <v>2807</v>
      </c>
      <c r="H310" s="532"/>
    </row>
    <row r="311" ht="14.25" customHeight="1">
      <c r="A311" s="499" t="s">
        <v>2436</v>
      </c>
      <c r="B311" s="500" t="s">
        <v>2252</v>
      </c>
      <c r="C311" s="551" t="s">
        <v>542</v>
      </c>
      <c r="D311" s="19" t="s">
        <v>2794</v>
      </c>
      <c r="E311" s="1" t="s">
        <v>2799</v>
      </c>
      <c r="F311" s="81" t="s">
        <v>2804</v>
      </c>
      <c r="G311" s="52" t="s">
        <v>2801</v>
      </c>
      <c r="H311" s="532"/>
    </row>
    <row r="312" ht="14.25" customHeight="1">
      <c r="A312" s="479" t="s">
        <v>2304</v>
      </c>
      <c r="B312" s="246" t="s">
        <v>42</v>
      </c>
      <c r="C312" s="551" t="s">
        <v>542</v>
      </c>
      <c r="D312" s="106" t="s">
        <v>2784</v>
      </c>
      <c r="E312" s="52" t="s">
        <v>2805</v>
      </c>
      <c r="F312" s="553" t="s">
        <v>2796</v>
      </c>
      <c r="G312" s="52" t="s">
        <v>2806</v>
      </c>
      <c r="H312" s="532"/>
      <c r="J312" s="39" t="s">
        <v>2808</v>
      </c>
    </row>
    <row r="313" ht="14.25" customHeight="1">
      <c r="A313" s="471"/>
      <c r="B313" s="248" t="s">
        <v>824</v>
      </c>
      <c r="C313" s="551" t="s">
        <v>542</v>
      </c>
      <c r="D313" s="555" t="s">
        <v>2798</v>
      </c>
      <c r="E313" s="14" t="s">
        <v>2809</v>
      </c>
      <c r="F313" s="51" t="s">
        <v>2800</v>
      </c>
      <c r="G313" s="1" t="s">
        <v>2807</v>
      </c>
      <c r="H313" s="487"/>
    </row>
    <row r="314" ht="14.25" customHeight="1">
      <c r="A314" s="471"/>
      <c r="B314" s="249" t="s">
        <v>2620</v>
      </c>
      <c r="C314" s="551" t="s">
        <v>542</v>
      </c>
      <c r="D314" s="77"/>
      <c r="E314" s="14"/>
      <c r="F314" s="51"/>
      <c r="G314" s="51"/>
      <c r="H314" s="487"/>
    </row>
    <row r="315" ht="14.25" customHeight="1">
      <c r="A315" s="474"/>
      <c r="B315" s="249" t="s">
        <v>2572</v>
      </c>
      <c r="C315" s="551" t="s">
        <v>542</v>
      </c>
      <c r="D315" s="39"/>
      <c r="E315" s="77"/>
      <c r="F315" s="51"/>
      <c r="G315" s="51"/>
      <c r="H315" s="487"/>
    </row>
    <row r="316" ht="14.25" customHeight="1"/>
    <row r="317" ht="14.25" customHeight="1">
      <c r="B317" s="484" t="s">
        <v>1</v>
      </c>
      <c r="C317" s="237" t="s">
        <v>25</v>
      </c>
      <c r="D317" s="237" t="s">
        <v>789</v>
      </c>
      <c r="E317" s="234" t="s">
        <v>27</v>
      </c>
      <c r="F317" s="234" t="s">
        <v>2</v>
      </c>
      <c r="G317" s="234" t="s">
        <v>3</v>
      </c>
      <c r="H317" s="235" t="s">
        <v>790</v>
      </c>
    </row>
    <row r="318" ht="14.25" customHeight="1">
      <c r="B318" s="9"/>
      <c r="C318" s="239" t="s">
        <v>2810</v>
      </c>
      <c r="D318" s="239" t="s">
        <v>2811</v>
      </c>
      <c r="E318" s="239" t="s">
        <v>2812</v>
      </c>
      <c r="F318" s="239" t="s">
        <v>2813</v>
      </c>
      <c r="G318" s="239" t="s">
        <v>2814</v>
      </c>
      <c r="H318" s="239" t="s">
        <v>2815</v>
      </c>
    </row>
    <row r="319" ht="14.25" customHeight="1">
      <c r="A319" s="485" t="s">
        <v>2236</v>
      </c>
      <c r="B319" s="240" t="s">
        <v>2735</v>
      </c>
      <c r="C319" s="39" t="s">
        <v>2797</v>
      </c>
      <c r="D319" s="19" t="s">
        <v>2816</v>
      </c>
      <c r="E319" s="69" t="s">
        <v>2817</v>
      </c>
      <c r="F319" s="52" t="s">
        <v>2818</v>
      </c>
      <c r="G319" s="208" t="s">
        <v>2819</v>
      </c>
      <c r="H319" s="487"/>
    </row>
    <row r="320" ht="14.25" customHeight="1">
      <c r="A320" s="471"/>
      <c r="B320" s="242" t="s">
        <v>8</v>
      </c>
      <c r="C320" s="81" t="s">
        <v>2820</v>
      </c>
      <c r="D320" s="81" t="s">
        <v>2820</v>
      </c>
      <c r="E320" s="81" t="s">
        <v>2820</v>
      </c>
      <c r="F320" s="81" t="s">
        <v>2820</v>
      </c>
      <c r="G320" s="551" t="s">
        <v>542</v>
      </c>
      <c r="H320" s="532"/>
    </row>
    <row r="321" ht="14.25" customHeight="1">
      <c r="A321" s="471"/>
      <c r="B321" s="243" t="s">
        <v>10</v>
      </c>
      <c r="C321" s="208" t="s">
        <v>2821</v>
      </c>
      <c r="D321" s="208" t="s">
        <v>2250</v>
      </c>
      <c r="E321" s="208" t="s">
        <v>2250</v>
      </c>
      <c r="F321" s="51" t="s">
        <v>2822</v>
      </c>
      <c r="G321" s="51"/>
      <c r="H321" s="532"/>
    </row>
    <row r="322" ht="14.25" customHeight="1">
      <c r="A322" s="474"/>
      <c r="B322" s="493" t="s">
        <v>2287</v>
      </c>
      <c r="C322" s="14" t="s">
        <v>2823</v>
      </c>
      <c r="D322" s="14" t="s">
        <v>2824</v>
      </c>
      <c r="E322" s="14" t="s">
        <v>2824</v>
      </c>
      <c r="F322" s="14" t="s">
        <v>2824</v>
      </c>
      <c r="G322" s="14" t="s">
        <v>2824</v>
      </c>
      <c r="H322" s="532"/>
    </row>
    <row r="323" ht="14.25" customHeight="1">
      <c r="B323" s="516" t="s">
        <v>14</v>
      </c>
      <c r="C323" s="52" t="s">
        <v>2825</v>
      </c>
      <c r="D323" s="69" t="s">
        <v>2826</v>
      </c>
      <c r="E323" s="52" t="s">
        <v>2827</v>
      </c>
      <c r="F323" s="69" t="s">
        <v>2828</v>
      </c>
      <c r="G323" s="556" t="s">
        <v>2829</v>
      </c>
      <c r="H323" s="532"/>
    </row>
    <row r="324" ht="14.25" customHeight="1">
      <c r="A324" s="499" t="s">
        <v>2436</v>
      </c>
      <c r="B324" s="500" t="s">
        <v>2252</v>
      </c>
      <c r="C324" s="52" t="s">
        <v>2830</v>
      </c>
      <c r="D324" s="69" t="s">
        <v>2826</v>
      </c>
      <c r="E324" s="69" t="s">
        <v>2817</v>
      </c>
      <c r="F324" s="69" t="s">
        <v>2828</v>
      </c>
      <c r="G324" s="556" t="s">
        <v>2829</v>
      </c>
      <c r="H324" s="532"/>
    </row>
    <row r="325" ht="14.25" customHeight="1">
      <c r="A325" s="479" t="s">
        <v>2304</v>
      </c>
      <c r="B325" s="246" t="s">
        <v>42</v>
      </c>
      <c r="C325" s="69" t="s">
        <v>2831</v>
      </c>
      <c r="D325" s="549" t="s">
        <v>2832</v>
      </c>
      <c r="E325" s="549" t="s">
        <v>2833</v>
      </c>
      <c r="F325" s="39" t="s">
        <v>2834</v>
      </c>
      <c r="G325" s="43" t="s">
        <v>2819</v>
      </c>
      <c r="H325" s="532"/>
    </row>
    <row r="326" ht="14.25" customHeight="1">
      <c r="A326" s="471"/>
      <c r="B326" s="248" t="s">
        <v>824</v>
      </c>
      <c r="C326" s="81" t="s">
        <v>2820</v>
      </c>
      <c r="D326" s="81" t="s">
        <v>2820</v>
      </c>
      <c r="E326" s="81" t="s">
        <v>2820</v>
      </c>
      <c r="F326" s="81" t="s">
        <v>2820</v>
      </c>
      <c r="G326" s="551" t="s">
        <v>542</v>
      </c>
      <c r="H326" s="487"/>
    </row>
    <row r="327" ht="14.25" customHeight="1">
      <c r="A327" s="471"/>
      <c r="B327" s="249" t="s">
        <v>2835</v>
      </c>
      <c r="C327" s="52" t="s">
        <v>2836</v>
      </c>
      <c r="D327" s="52" t="s">
        <v>2836</v>
      </c>
      <c r="E327" s="52" t="s">
        <v>2836</v>
      </c>
      <c r="F327" s="52" t="s">
        <v>2836</v>
      </c>
      <c r="G327" s="52" t="s">
        <v>2836</v>
      </c>
      <c r="H327" s="487"/>
    </row>
    <row r="328" ht="14.25" customHeight="1">
      <c r="A328" s="474"/>
      <c r="B328" s="249" t="s">
        <v>2837</v>
      </c>
      <c r="C328" s="69" t="s">
        <v>2838</v>
      </c>
      <c r="D328" s="69" t="s">
        <v>2838</v>
      </c>
      <c r="E328" s="69" t="s">
        <v>2838</v>
      </c>
      <c r="F328" s="69" t="s">
        <v>2838</v>
      </c>
      <c r="G328" s="69" t="s">
        <v>2838</v>
      </c>
      <c r="H328" s="487"/>
    </row>
    <row r="329" ht="14.25" customHeight="1"/>
    <row r="330" ht="14.25" customHeight="1">
      <c r="B330" s="484" t="s">
        <v>1</v>
      </c>
      <c r="C330" s="237" t="s">
        <v>25</v>
      </c>
      <c r="D330" s="237" t="s">
        <v>789</v>
      </c>
      <c r="E330" s="234" t="s">
        <v>27</v>
      </c>
      <c r="F330" s="234" t="s">
        <v>2</v>
      </c>
      <c r="G330" s="234" t="s">
        <v>3</v>
      </c>
      <c r="H330" s="235" t="s">
        <v>790</v>
      </c>
    </row>
    <row r="331" ht="14.25" customHeight="1">
      <c r="B331" s="9"/>
      <c r="C331" s="239" t="s">
        <v>2839</v>
      </c>
      <c r="D331" s="239" t="s">
        <v>2840</v>
      </c>
      <c r="E331" s="239" t="s">
        <v>2841</v>
      </c>
      <c r="F331" s="239" t="s">
        <v>2842</v>
      </c>
      <c r="G331" s="239" t="s">
        <v>2843</v>
      </c>
      <c r="H331" s="239" t="s">
        <v>2844</v>
      </c>
    </row>
    <row r="332" ht="14.25" customHeight="1">
      <c r="A332" s="485" t="s">
        <v>2236</v>
      </c>
      <c r="B332" s="240" t="s">
        <v>2735</v>
      </c>
      <c r="C332" s="14" t="s">
        <v>2845</v>
      </c>
      <c r="D332" s="541" t="s">
        <v>2846</v>
      </c>
      <c r="E332" s="39" t="s">
        <v>33</v>
      </c>
      <c r="F332" s="14" t="s">
        <v>33</v>
      </c>
      <c r="G332" s="51" t="s">
        <v>33</v>
      </c>
      <c r="H332" s="487"/>
    </row>
    <row r="333" ht="14.25" customHeight="1">
      <c r="A333" s="471"/>
      <c r="B333" s="242" t="s">
        <v>8</v>
      </c>
      <c r="C333" s="106" t="s">
        <v>1342</v>
      </c>
      <c r="D333" s="14" t="s">
        <v>2847</v>
      </c>
      <c r="E333" s="52" t="s">
        <v>2848</v>
      </c>
      <c r="F333" s="52" t="s">
        <v>2849</v>
      </c>
      <c r="G333" s="51" t="s">
        <v>2850</v>
      </c>
      <c r="H333" s="532"/>
    </row>
    <row r="334" ht="14.25" customHeight="1">
      <c r="A334" s="471"/>
      <c r="B334" s="243" t="s">
        <v>10</v>
      </c>
      <c r="C334" s="116" t="s">
        <v>2851</v>
      </c>
      <c r="D334" s="116" t="s">
        <v>2851</v>
      </c>
      <c r="E334" s="116" t="s">
        <v>2851</v>
      </c>
      <c r="F334" s="116" t="s">
        <v>2852</v>
      </c>
      <c r="G334" s="557" t="s">
        <v>2851</v>
      </c>
      <c r="H334" s="532"/>
      <c r="J334" s="558" t="s">
        <v>2853</v>
      </c>
    </row>
    <row r="335" ht="14.25" customHeight="1">
      <c r="A335" s="474"/>
      <c r="B335" s="493" t="s">
        <v>2287</v>
      </c>
      <c r="C335" s="14"/>
      <c r="D335" s="14"/>
      <c r="E335" s="14"/>
      <c r="F335" s="14"/>
      <c r="G335" s="81" t="s">
        <v>2854</v>
      </c>
      <c r="H335" s="532"/>
      <c r="J335" s="558" t="s">
        <v>2855</v>
      </c>
    </row>
    <row r="336" ht="14.25" customHeight="1">
      <c r="B336" s="516" t="s">
        <v>14</v>
      </c>
      <c r="C336" s="215" t="s">
        <v>2856</v>
      </c>
      <c r="D336" s="58" t="s">
        <v>2857</v>
      </c>
      <c r="E336" s="198" t="s">
        <v>2858</v>
      </c>
      <c r="F336" s="43" t="s">
        <v>2859</v>
      </c>
      <c r="G336" s="92" t="s">
        <v>2860</v>
      </c>
      <c r="H336" s="81" t="s">
        <v>2861</v>
      </c>
    </row>
    <row r="337" ht="14.25" customHeight="1">
      <c r="A337" s="559"/>
      <c r="B337" s="517" t="s">
        <v>2862</v>
      </c>
      <c r="C337" s="547" t="s">
        <v>2863</v>
      </c>
      <c r="D337" s="546" t="s">
        <v>2864</v>
      </c>
      <c r="E337" s="546" t="s">
        <v>2865</v>
      </c>
      <c r="F337" s="560" t="s">
        <v>2866</v>
      </c>
      <c r="G337" s="58" t="s">
        <v>33</v>
      </c>
      <c r="H337" s="532"/>
    </row>
    <row r="338" ht="14.25" customHeight="1">
      <c r="A338" s="499" t="s">
        <v>2436</v>
      </c>
      <c r="B338" s="500" t="s">
        <v>2252</v>
      </c>
      <c r="C338" s="39" t="s">
        <v>2845</v>
      </c>
      <c r="D338" s="14" t="s">
        <v>2847</v>
      </c>
      <c r="E338" s="52" t="s">
        <v>2848</v>
      </c>
      <c r="F338" s="52" t="s">
        <v>2849</v>
      </c>
      <c r="G338" s="52" t="s">
        <v>2867</v>
      </c>
      <c r="H338" s="532"/>
      <c r="J338" s="561"/>
    </row>
    <row r="339" ht="14.25" customHeight="1">
      <c r="A339" s="479" t="s">
        <v>2304</v>
      </c>
      <c r="B339" s="562" t="s">
        <v>2868</v>
      </c>
      <c r="C339" s="549" t="s">
        <v>2869</v>
      </c>
      <c r="D339" s="549" t="s">
        <v>2869</v>
      </c>
      <c r="E339" s="549" t="s">
        <v>2869</v>
      </c>
      <c r="F339" s="549" t="s">
        <v>2869</v>
      </c>
      <c r="G339" s="549" t="s">
        <v>2869</v>
      </c>
      <c r="H339" s="532"/>
      <c r="J339" s="510"/>
    </row>
    <row r="340" ht="14.25" customHeight="1">
      <c r="A340" s="471"/>
      <c r="B340" s="248" t="s">
        <v>824</v>
      </c>
      <c r="C340" s="106" t="s">
        <v>1342</v>
      </c>
      <c r="D340" s="541" t="s">
        <v>2846</v>
      </c>
      <c r="E340" s="52" t="s">
        <v>2858</v>
      </c>
      <c r="F340" s="69" t="s">
        <v>2870</v>
      </c>
      <c r="G340" s="81" t="s">
        <v>2854</v>
      </c>
      <c r="H340" s="487"/>
      <c r="J340" s="19"/>
    </row>
    <row r="341" ht="14.25" customHeight="1">
      <c r="A341" s="471"/>
      <c r="B341" s="249" t="s">
        <v>2835</v>
      </c>
      <c r="C341" s="52" t="s">
        <v>2836</v>
      </c>
      <c r="D341" s="52" t="s">
        <v>2836</v>
      </c>
      <c r="E341" s="52" t="s">
        <v>2836</v>
      </c>
      <c r="F341" s="52" t="s">
        <v>2836</v>
      </c>
      <c r="G341" s="52" t="s">
        <v>2836</v>
      </c>
      <c r="H341" s="487"/>
      <c r="J341" s="510"/>
    </row>
    <row r="342" ht="14.25" customHeight="1">
      <c r="A342" s="474"/>
      <c r="B342" s="249" t="s">
        <v>2837</v>
      </c>
      <c r="C342" s="69" t="s">
        <v>2838</v>
      </c>
      <c r="D342" s="69" t="s">
        <v>2838</v>
      </c>
      <c r="E342" s="69" t="s">
        <v>2838</v>
      </c>
      <c r="F342" s="69" t="s">
        <v>2838</v>
      </c>
      <c r="G342" s="69" t="s">
        <v>2838</v>
      </c>
      <c r="H342" s="487"/>
      <c r="J342" s="1"/>
    </row>
    <row r="343" ht="14.25" customHeight="1">
      <c r="A343" s="1" t="s">
        <v>2871</v>
      </c>
    </row>
    <row r="344" ht="14.25" customHeight="1"/>
    <row r="345" ht="14.25" customHeight="1">
      <c r="B345" s="484" t="s">
        <v>1</v>
      </c>
      <c r="C345" s="237" t="s">
        <v>25</v>
      </c>
      <c r="D345" s="237" t="s">
        <v>789</v>
      </c>
      <c r="E345" s="234" t="s">
        <v>27</v>
      </c>
      <c r="F345" s="234" t="s">
        <v>2</v>
      </c>
      <c r="G345" s="234" t="s">
        <v>3</v>
      </c>
      <c r="H345" s="235" t="s">
        <v>790</v>
      </c>
    </row>
    <row r="346" ht="14.25" customHeight="1">
      <c r="B346" s="9"/>
      <c r="C346" s="239" t="s">
        <v>2872</v>
      </c>
      <c r="D346" s="239" t="s">
        <v>2873</v>
      </c>
      <c r="E346" s="239" t="s">
        <v>2874</v>
      </c>
      <c r="F346" s="239" t="s">
        <v>2875</v>
      </c>
      <c r="G346" s="239" t="s">
        <v>2876</v>
      </c>
      <c r="H346" s="239" t="s">
        <v>2877</v>
      </c>
    </row>
    <row r="347" ht="14.25" customHeight="1">
      <c r="A347" s="485" t="s">
        <v>2236</v>
      </c>
      <c r="B347" s="240" t="s">
        <v>6</v>
      </c>
      <c r="C347" s="14" t="s">
        <v>2878</v>
      </c>
      <c r="D347" s="52" t="s">
        <v>2879</v>
      </c>
      <c r="E347" s="563" t="s">
        <v>2880</v>
      </c>
      <c r="F347" s="58" t="s">
        <v>2881</v>
      </c>
      <c r="G347" s="564" t="s">
        <v>2882</v>
      </c>
      <c r="H347" s="487"/>
    </row>
    <row r="348" ht="14.25" customHeight="1">
      <c r="A348" s="471"/>
      <c r="B348" s="242" t="s">
        <v>8</v>
      </c>
      <c r="C348" s="81" t="s">
        <v>2883</v>
      </c>
      <c r="D348" s="81" t="s">
        <v>2883</v>
      </c>
      <c r="E348" s="39" t="s">
        <v>2884</v>
      </c>
      <c r="F348" s="19" t="s">
        <v>2885</v>
      </c>
      <c r="G348" s="139" t="s">
        <v>2886</v>
      </c>
      <c r="H348" s="532"/>
    </row>
    <row r="349" ht="14.25" customHeight="1">
      <c r="A349" s="471"/>
      <c r="B349" s="243" t="s">
        <v>10</v>
      </c>
      <c r="C349" s="106" t="s">
        <v>2887</v>
      </c>
      <c r="D349" s="106" t="s">
        <v>2887</v>
      </c>
      <c r="E349" s="106" t="s">
        <v>2887</v>
      </c>
      <c r="F349" s="106" t="s">
        <v>2888</v>
      </c>
      <c r="G349" s="106" t="s">
        <v>2887</v>
      </c>
      <c r="H349" s="532"/>
    </row>
    <row r="350" ht="14.25" customHeight="1">
      <c r="A350" s="474"/>
      <c r="B350" s="493" t="s">
        <v>2287</v>
      </c>
      <c r="C350" s="14"/>
      <c r="D350" s="14"/>
      <c r="E350" s="14"/>
      <c r="F350" s="14"/>
      <c r="G350" s="51"/>
      <c r="H350" s="532"/>
      <c r="J350" s="14"/>
    </row>
    <row r="351" ht="18.75" customHeight="1">
      <c r="B351" s="516" t="s">
        <v>14</v>
      </c>
      <c r="C351" s="106" t="s">
        <v>2889</v>
      </c>
      <c r="D351" s="106" t="s">
        <v>2890</v>
      </c>
      <c r="E351" s="14" t="s">
        <v>2891</v>
      </c>
      <c r="F351" s="540" t="s">
        <v>2892</v>
      </c>
      <c r="G351" s="208" t="s">
        <v>2893</v>
      </c>
      <c r="H351" s="532"/>
      <c r="K351" s="1" t="s">
        <v>0</v>
      </c>
    </row>
    <row r="352" ht="27.75" customHeight="1">
      <c r="A352" s="559"/>
      <c r="B352" s="517" t="s">
        <v>2862</v>
      </c>
      <c r="C352" s="217" t="s">
        <v>33</v>
      </c>
      <c r="D352" s="565" t="s">
        <v>2894</v>
      </c>
      <c r="E352" s="566" t="s">
        <v>2895</v>
      </c>
      <c r="F352" s="58" t="s">
        <v>2896</v>
      </c>
      <c r="G352" s="58" t="s">
        <v>2881</v>
      </c>
      <c r="H352" s="532"/>
      <c r="J352" s="567"/>
    </row>
    <row r="353" ht="14.25" customHeight="1">
      <c r="A353" s="499" t="s">
        <v>2436</v>
      </c>
      <c r="B353" s="500" t="s">
        <v>2252</v>
      </c>
      <c r="C353" s="106" t="s">
        <v>2889</v>
      </c>
      <c r="D353" s="52" t="s">
        <v>2879</v>
      </c>
      <c r="E353" s="14" t="s">
        <v>2891</v>
      </c>
      <c r="F353" s="19" t="s">
        <v>2897</v>
      </c>
      <c r="G353" s="81" t="s">
        <v>2898</v>
      </c>
      <c r="H353" s="532"/>
      <c r="J353" s="1"/>
    </row>
    <row r="354" ht="14.25" customHeight="1">
      <c r="A354" s="479" t="s">
        <v>2304</v>
      </c>
      <c r="B354" s="562" t="s">
        <v>2868</v>
      </c>
      <c r="C354" s="568" t="s">
        <v>2869</v>
      </c>
      <c r="D354" s="568" t="s">
        <v>2869</v>
      </c>
      <c r="E354" s="568" t="s">
        <v>2869</v>
      </c>
      <c r="F354" s="568" t="s">
        <v>2869</v>
      </c>
      <c r="G354" s="21" t="s">
        <v>2899</v>
      </c>
      <c r="H354" s="532"/>
      <c r="J354" s="39"/>
    </row>
    <row r="355" ht="14.25" customHeight="1">
      <c r="A355" s="471"/>
      <c r="B355" s="248" t="s">
        <v>824</v>
      </c>
      <c r="C355" s="139" t="s">
        <v>2900</v>
      </c>
      <c r="D355" s="106" t="s">
        <v>2890</v>
      </c>
      <c r="E355" s="52" t="s">
        <v>2901</v>
      </c>
      <c r="F355" s="58"/>
      <c r="H355" s="487"/>
    </row>
    <row r="356" ht="14.25" customHeight="1">
      <c r="A356" s="471"/>
      <c r="B356" s="249" t="s">
        <v>2835</v>
      </c>
      <c r="C356" s="14" t="s">
        <v>2836</v>
      </c>
      <c r="D356" s="14" t="s">
        <v>2836</v>
      </c>
      <c r="E356" s="14" t="s">
        <v>2836</v>
      </c>
      <c r="F356" s="14" t="s">
        <v>2836</v>
      </c>
      <c r="G356" s="14" t="s">
        <v>2836</v>
      </c>
      <c r="H356" s="487"/>
      <c r="J356" s="1"/>
    </row>
    <row r="357" ht="14.25" customHeight="1">
      <c r="A357" s="474"/>
      <c r="B357" s="249" t="s">
        <v>2837</v>
      </c>
      <c r="C357" s="39" t="s">
        <v>2838</v>
      </c>
      <c r="D357" s="39" t="s">
        <v>2838</v>
      </c>
      <c r="E357" s="39" t="s">
        <v>2838</v>
      </c>
      <c r="F357" s="39" t="s">
        <v>2838</v>
      </c>
      <c r="G357" s="39" t="s">
        <v>2838</v>
      </c>
      <c r="H357" s="487"/>
    </row>
    <row r="358" ht="14.25" customHeight="1"/>
    <row r="359" ht="14.25" customHeight="1">
      <c r="B359" s="484" t="s">
        <v>1</v>
      </c>
      <c r="C359" s="237" t="s">
        <v>25</v>
      </c>
      <c r="D359" s="237" t="s">
        <v>789</v>
      </c>
      <c r="E359" s="234" t="s">
        <v>27</v>
      </c>
      <c r="F359" s="234" t="s">
        <v>2</v>
      </c>
      <c r="G359" s="234" t="s">
        <v>3</v>
      </c>
      <c r="H359" s="235" t="s">
        <v>790</v>
      </c>
    </row>
    <row r="360" ht="14.25" customHeight="1">
      <c r="B360" s="9"/>
      <c r="C360" s="239" t="s">
        <v>2902</v>
      </c>
      <c r="D360" s="239" t="s">
        <v>2903</v>
      </c>
      <c r="E360" s="239" t="s">
        <v>2904</v>
      </c>
      <c r="F360" s="239" t="s">
        <v>2905</v>
      </c>
      <c r="G360" s="239" t="s">
        <v>2906</v>
      </c>
      <c r="H360" s="239" t="s">
        <v>2907</v>
      </c>
    </row>
    <row r="361" ht="14.25" customHeight="1">
      <c r="A361" s="485" t="s">
        <v>2236</v>
      </c>
      <c r="B361" s="240" t="s">
        <v>6</v>
      </c>
      <c r="C361" s="39" t="s">
        <v>2908</v>
      </c>
      <c r="D361" s="51" t="s">
        <v>2909</v>
      </c>
      <c r="E361" s="51" t="s">
        <v>2910</v>
      </c>
      <c r="F361" s="14" t="s">
        <v>2911</v>
      </c>
      <c r="G361" s="51" t="s">
        <v>2912</v>
      </c>
      <c r="H361" s="487"/>
    </row>
    <row r="362" ht="14.25" customHeight="1">
      <c r="A362" s="471"/>
      <c r="B362" s="242" t="s">
        <v>8</v>
      </c>
      <c r="C362" s="81" t="s">
        <v>2898</v>
      </c>
      <c r="D362" s="39" t="s">
        <v>2913</v>
      </c>
      <c r="E362" s="81" t="s">
        <v>1435</v>
      </c>
      <c r="F362" s="569" t="s">
        <v>2914</v>
      </c>
      <c r="G362" s="15" t="s">
        <v>2915</v>
      </c>
      <c r="H362" s="532"/>
    </row>
    <row r="363" ht="14.25" customHeight="1">
      <c r="A363" s="471"/>
      <c r="B363" s="243" t="s">
        <v>10</v>
      </c>
      <c r="C363" s="116" t="s">
        <v>2916</v>
      </c>
      <c r="D363" s="536" t="s">
        <v>2917</v>
      </c>
      <c r="E363" s="116" t="s">
        <v>2918</v>
      </c>
      <c r="F363" s="116" t="s">
        <v>2918</v>
      </c>
      <c r="G363" s="116" t="s">
        <v>2918</v>
      </c>
      <c r="H363" s="532"/>
      <c r="J363" s="1" t="s">
        <v>2919</v>
      </c>
    </row>
    <row r="364" ht="14.25" customHeight="1">
      <c r="A364" s="474"/>
      <c r="B364" s="493" t="s">
        <v>2287</v>
      </c>
      <c r="C364" s="14" t="s">
        <v>2432</v>
      </c>
      <c r="D364" s="51" t="s">
        <v>2920</v>
      </c>
      <c r="E364" s="14" t="s">
        <v>2921</v>
      </c>
      <c r="F364" s="106" t="s">
        <v>269</v>
      </c>
      <c r="G364" s="51" t="s">
        <v>2922</v>
      </c>
      <c r="H364" s="532"/>
      <c r="J364" s="1" t="s">
        <v>2923</v>
      </c>
    </row>
    <row r="365" ht="14.25" customHeight="1">
      <c r="B365" s="516" t="s">
        <v>14</v>
      </c>
      <c r="C365" s="14" t="s">
        <v>2924</v>
      </c>
      <c r="D365" s="51" t="s">
        <v>2925</v>
      </c>
      <c r="E365" s="550" t="s">
        <v>2926</v>
      </c>
      <c r="F365" s="14" t="s">
        <v>2927</v>
      </c>
      <c r="G365" s="19" t="s">
        <v>2928</v>
      </c>
      <c r="H365" s="532"/>
    </row>
    <row r="366" ht="27.75" customHeight="1">
      <c r="A366" s="559"/>
      <c r="B366" s="517" t="s">
        <v>2862</v>
      </c>
      <c r="C366" s="139" t="s">
        <v>2929</v>
      </c>
      <c r="D366" s="14" t="s">
        <v>2930</v>
      </c>
      <c r="E366" s="550" t="s">
        <v>2931</v>
      </c>
      <c r="F366" s="58" t="s">
        <v>2932</v>
      </c>
      <c r="G366" s="15" t="s">
        <v>2933</v>
      </c>
      <c r="H366" s="532"/>
    </row>
    <row r="367" ht="14.25" customHeight="1">
      <c r="A367" s="499" t="s">
        <v>2436</v>
      </c>
      <c r="B367" s="500" t="s">
        <v>2252</v>
      </c>
      <c r="C367" s="570" t="s">
        <v>33</v>
      </c>
      <c r="D367" s="99" t="s">
        <v>2918</v>
      </c>
      <c r="E367" s="106" t="s">
        <v>2918</v>
      </c>
      <c r="F367" s="106" t="s">
        <v>2918</v>
      </c>
      <c r="G367" s="106" t="s">
        <v>2918</v>
      </c>
      <c r="H367" s="532"/>
      <c r="J367" s="1"/>
      <c r="K367" s="571"/>
    </row>
    <row r="368" ht="14.25" customHeight="1">
      <c r="A368" s="479" t="s">
        <v>2304</v>
      </c>
      <c r="B368" s="246" t="s">
        <v>42</v>
      </c>
      <c r="C368" s="52" t="s">
        <v>2934</v>
      </c>
      <c r="D368" s="52" t="s">
        <v>2934</v>
      </c>
      <c r="E368" s="52" t="s">
        <v>2934</v>
      </c>
      <c r="F368" s="52" t="s">
        <v>2935</v>
      </c>
      <c r="G368" s="39" t="s">
        <v>264</v>
      </c>
      <c r="H368" s="535" t="s">
        <v>2936</v>
      </c>
      <c r="J368" s="27"/>
    </row>
    <row r="369" ht="18.75" customHeight="1">
      <c r="A369" s="471"/>
      <c r="B369" s="248" t="s">
        <v>824</v>
      </c>
      <c r="C369" s="572"/>
      <c r="D369" s="573"/>
      <c r="E369" s="574"/>
      <c r="F369" s="41"/>
      <c r="G369" s="41"/>
      <c r="H369" s="487"/>
    </row>
    <row r="370" ht="14.25" customHeight="1">
      <c r="A370" s="471"/>
      <c r="B370" s="249" t="s">
        <v>2835</v>
      </c>
      <c r="C370" s="14" t="s">
        <v>2836</v>
      </c>
      <c r="D370" s="14" t="s">
        <v>2836</v>
      </c>
      <c r="E370" s="14" t="s">
        <v>2836</v>
      </c>
      <c r="F370" s="14" t="s">
        <v>2836</v>
      </c>
      <c r="G370" s="14" t="s">
        <v>2836</v>
      </c>
      <c r="H370" s="487"/>
    </row>
    <row r="371" ht="14.25" customHeight="1">
      <c r="A371" s="474"/>
      <c r="B371" s="249" t="s">
        <v>2837</v>
      </c>
      <c r="C371" s="39" t="s">
        <v>2838</v>
      </c>
      <c r="D371" s="39" t="s">
        <v>2838</v>
      </c>
      <c r="E371" s="39" t="s">
        <v>2838</v>
      </c>
      <c r="F371" s="39" t="s">
        <v>2838</v>
      </c>
      <c r="G371" s="39" t="s">
        <v>430</v>
      </c>
      <c r="H371" s="487"/>
    </row>
    <row r="372" ht="14.25" customHeight="1"/>
    <row r="373" ht="14.25" customHeight="1">
      <c r="B373" s="484" t="s">
        <v>1</v>
      </c>
      <c r="C373" s="237" t="s">
        <v>25</v>
      </c>
      <c r="D373" s="237" t="s">
        <v>789</v>
      </c>
      <c r="E373" s="234" t="s">
        <v>27</v>
      </c>
      <c r="F373" s="234" t="s">
        <v>2</v>
      </c>
      <c r="G373" s="234" t="s">
        <v>3</v>
      </c>
      <c r="H373" s="235" t="s">
        <v>790</v>
      </c>
    </row>
    <row r="374" ht="14.25" customHeight="1">
      <c r="B374" s="9"/>
      <c r="C374" s="239" t="s">
        <v>2937</v>
      </c>
      <c r="D374" s="239" t="s">
        <v>2938</v>
      </c>
      <c r="E374" s="239" t="s">
        <v>2939</v>
      </c>
      <c r="F374" s="239" t="s">
        <v>2940</v>
      </c>
      <c r="G374" s="239" t="s">
        <v>2941</v>
      </c>
      <c r="H374" s="239" t="s">
        <v>2942</v>
      </c>
    </row>
    <row r="375" ht="14.25" customHeight="1">
      <c r="A375" s="485" t="s">
        <v>2236</v>
      </c>
      <c r="B375" s="240" t="s">
        <v>2943</v>
      </c>
      <c r="C375" s="58" t="s">
        <v>2944</v>
      </c>
      <c r="D375" s="58" t="s">
        <v>2945</v>
      </c>
      <c r="E375" s="575" t="s">
        <v>2946</v>
      </c>
      <c r="F375" s="73" t="s">
        <v>2947</v>
      </c>
      <c r="G375" s="138" t="s">
        <v>2948</v>
      </c>
      <c r="H375" s="487"/>
    </row>
    <row r="376" ht="14.25" customHeight="1">
      <c r="A376" s="471"/>
      <c r="B376" s="242" t="s">
        <v>2949</v>
      </c>
      <c r="C376" s="535" t="s">
        <v>2936</v>
      </c>
      <c r="D376" s="64" t="s">
        <v>2950</v>
      </c>
      <c r="E376" s="1" t="s">
        <v>2951</v>
      </c>
      <c r="F376" s="576" t="s">
        <v>2952</v>
      </c>
      <c r="G376" s="536" t="s">
        <v>2953</v>
      </c>
      <c r="H376" s="532"/>
      <c r="J376" s="1"/>
    </row>
    <row r="377" ht="14.25" customHeight="1">
      <c r="A377" s="471"/>
      <c r="B377" s="243" t="s">
        <v>10</v>
      </c>
      <c r="C377" s="47" t="s">
        <v>2954</v>
      </c>
      <c r="D377" s="47" t="s">
        <v>2955</v>
      </c>
      <c r="E377" s="47" t="s">
        <v>2955</v>
      </c>
      <c r="F377" s="46" t="s">
        <v>33</v>
      </c>
      <c r="G377" s="46" t="s">
        <v>33</v>
      </c>
      <c r="H377" s="532"/>
      <c r="J377" s="1"/>
    </row>
    <row r="378" ht="14.25" customHeight="1">
      <c r="A378" s="474"/>
      <c r="B378" s="493" t="s">
        <v>12</v>
      </c>
      <c r="C378" s="58" t="s">
        <v>2956</v>
      </c>
      <c r="D378" s="58" t="s">
        <v>2956</v>
      </c>
      <c r="E378" s="58" t="s">
        <v>2956</v>
      </c>
      <c r="F378" s="41" t="s">
        <v>673</v>
      </c>
      <c r="G378" s="51"/>
      <c r="H378" s="532"/>
      <c r="J378" s="510"/>
    </row>
    <row r="379" ht="27.75" customHeight="1">
      <c r="A379" s="559"/>
      <c r="B379" s="517" t="s">
        <v>2862</v>
      </c>
      <c r="C379" s="550" t="s">
        <v>2957</v>
      </c>
      <c r="D379" s="58" t="s">
        <v>2958</v>
      </c>
      <c r="E379" s="58" t="s">
        <v>2959</v>
      </c>
      <c r="F379" s="73" t="s">
        <v>2960</v>
      </c>
      <c r="G379" s="50" t="s">
        <v>2961</v>
      </c>
      <c r="H379" s="532"/>
      <c r="J379" s="577"/>
    </row>
    <row r="380" ht="14.25" customHeight="1">
      <c r="B380" s="516" t="s">
        <v>14</v>
      </c>
      <c r="C380" s="81" t="s">
        <v>2962</v>
      </c>
      <c r="D380" s="51" t="s">
        <v>2963</v>
      </c>
      <c r="E380" s="39" t="s">
        <v>2964</v>
      </c>
      <c r="F380" s="1" t="s">
        <v>2965</v>
      </c>
      <c r="G380" s="536" t="s">
        <v>2966</v>
      </c>
      <c r="H380" s="532"/>
      <c r="J380" s="14" t="s">
        <v>2967</v>
      </c>
      <c r="K380" s="1"/>
    </row>
    <row r="381" ht="14.25" customHeight="1">
      <c r="A381" s="499" t="s">
        <v>2436</v>
      </c>
      <c r="B381" s="500" t="s">
        <v>2252</v>
      </c>
      <c r="C381" s="93" t="s">
        <v>2918</v>
      </c>
      <c r="D381" s="93" t="s">
        <v>2918</v>
      </c>
      <c r="E381" s="1" t="s">
        <v>2951</v>
      </c>
      <c r="F381" s="536" t="s">
        <v>2952</v>
      </c>
      <c r="G381" s="208" t="s">
        <v>2948</v>
      </c>
      <c r="H381" s="532"/>
      <c r="J381" s="578"/>
    </row>
    <row r="382" ht="14.25" customHeight="1">
      <c r="A382" s="479" t="s">
        <v>2304</v>
      </c>
      <c r="B382" s="562" t="s">
        <v>2968</v>
      </c>
      <c r="C382" s="579" t="s">
        <v>2969</v>
      </c>
      <c r="D382" s="52" t="s">
        <v>2970</v>
      </c>
      <c r="E382" s="52" t="s">
        <v>2970</v>
      </c>
      <c r="F382" s="52" t="s">
        <v>2970</v>
      </c>
      <c r="G382" s="39"/>
      <c r="H382" s="532"/>
      <c r="J382" s="1" t="s">
        <v>2971</v>
      </c>
    </row>
    <row r="383" ht="14.25" customHeight="1">
      <c r="A383" s="471"/>
      <c r="B383" s="248"/>
      <c r="C383" s="41"/>
      <c r="D383" s="573"/>
      <c r="E383" s="572"/>
      <c r="F383" s="41"/>
      <c r="G383" s="41"/>
      <c r="H383" s="487"/>
    </row>
    <row r="384" ht="14.25" customHeight="1">
      <c r="A384" s="471"/>
      <c r="B384" s="249" t="s">
        <v>2972</v>
      </c>
      <c r="C384" s="14" t="s">
        <v>2836</v>
      </c>
      <c r="D384" s="14" t="s">
        <v>2836</v>
      </c>
      <c r="E384" s="14" t="s">
        <v>2836</v>
      </c>
      <c r="F384" s="14" t="s">
        <v>2836</v>
      </c>
      <c r="G384" s="14" t="s">
        <v>2836</v>
      </c>
      <c r="H384" s="487"/>
    </row>
    <row r="385" ht="14.25" customHeight="1">
      <c r="A385" s="474"/>
      <c r="B385" s="249" t="s">
        <v>2837</v>
      </c>
      <c r="C385" s="39" t="s">
        <v>2838</v>
      </c>
      <c r="D385" s="39" t="s">
        <v>2838</v>
      </c>
      <c r="E385" s="39" t="s">
        <v>2838</v>
      </c>
      <c r="F385" s="39" t="s">
        <v>2838</v>
      </c>
      <c r="G385" s="39" t="s">
        <v>2838</v>
      </c>
      <c r="H385" s="487"/>
    </row>
    <row r="386" ht="14.25" customHeight="1"/>
    <row r="387" ht="14.25" customHeight="1">
      <c r="B387" s="484" t="s">
        <v>1</v>
      </c>
      <c r="C387" s="237" t="s">
        <v>25</v>
      </c>
      <c r="D387" s="237" t="s">
        <v>789</v>
      </c>
      <c r="E387" s="234" t="s">
        <v>27</v>
      </c>
      <c r="F387" s="234" t="s">
        <v>2</v>
      </c>
      <c r="G387" s="234" t="s">
        <v>3</v>
      </c>
      <c r="H387" s="235" t="s">
        <v>790</v>
      </c>
    </row>
    <row r="388" ht="14.25" customHeight="1">
      <c r="B388" s="9"/>
      <c r="C388" s="239" t="s">
        <v>2973</v>
      </c>
      <c r="D388" s="239" t="s">
        <v>2974</v>
      </c>
      <c r="E388" s="239" t="s">
        <v>2975</v>
      </c>
      <c r="F388" s="239" t="s">
        <v>2976</v>
      </c>
      <c r="G388" s="239" t="s">
        <v>2977</v>
      </c>
      <c r="H388" s="239" t="s">
        <v>2978</v>
      </c>
    </row>
    <row r="389" ht="14.25" customHeight="1">
      <c r="A389" s="485" t="s">
        <v>2236</v>
      </c>
      <c r="B389" s="240" t="s">
        <v>2979</v>
      </c>
      <c r="C389" s="550" t="s">
        <v>2947</v>
      </c>
      <c r="D389" s="14" t="s">
        <v>2980</v>
      </c>
      <c r="E389" s="139" t="s">
        <v>2981</v>
      </c>
      <c r="F389" s="46" t="s">
        <v>33</v>
      </c>
      <c r="G389" s="46" t="s">
        <v>33</v>
      </c>
      <c r="H389" s="487"/>
      <c r="J389" s="1" t="s">
        <v>2982</v>
      </c>
    </row>
    <row r="390" ht="14.25" customHeight="1">
      <c r="A390" s="471"/>
      <c r="B390" s="242" t="s">
        <v>8</v>
      </c>
      <c r="C390" s="510" t="s">
        <v>2983</v>
      </c>
      <c r="D390" s="58" t="s">
        <v>2984</v>
      </c>
      <c r="E390" s="58" t="s">
        <v>38</v>
      </c>
      <c r="F390" s="580" t="s">
        <v>2985</v>
      </c>
      <c r="G390" s="536" t="s">
        <v>2986</v>
      </c>
      <c r="H390" s="532"/>
    </row>
    <row r="391" ht="14.25" customHeight="1">
      <c r="A391" s="471"/>
      <c r="B391" s="243" t="s">
        <v>10</v>
      </c>
      <c r="C391" s="51" t="s">
        <v>33</v>
      </c>
      <c r="D391" s="51" t="s">
        <v>33</v>
      </c>
      <c r="E391" s="51" t="s">
        <v>33</v>
      </c>
      <c r="F391" s="51" t="s">
        <v>33</v>
      </c>
      <c r="G391" s="51" t="s">
        <v>33</v>
      </c>
      <c r="H391" s="532"/>
    </row>
    <row r="392" ht="14.25" customHeight="1">
      <c r="A392" s="474"/>
      <c r="B392" s="493" t="s">
        <v>2287</v>
      </c>
      <c r="C392" s="14" t="s">
        <v>2987</v>
      </c>
      <c r="D392" s="14" t="s">
        <v>2988</v>
      </c>
      <c r="E392" s="14" t="s">
        <v>2989</v>
      </c>
      <c r="F392" s="14" t="s">
        <v>2990</v>
      </c>
      <c r="G392" s="51" t="s">
        <v>2990</v>
      </c>
      <c r="H392" s="532"/>
    </row>
    <row r="393" ht="14.25" customHeight="1">
      <c r="A393" s="559"/>
      <c r="B393" s="517" t="s">
        <v>2862</v>
      </c>
      <c r="C393" s="58" t="s">
        <v>2932</v>
      </c>
      <c r="D393" s="52" t="s">
        <v>2991</v>
      </c>
      <c r="E393" s="548" t="s">
        <v>33</v>
      </c>
      <c r="F393" s="73" t="s">
        <v>2986</v>
      </c>
      <c r="G393" s="581" t="s">
        <v>2749</v>
      </c>
      <c r="H393" s="532"/>
    </row>
    <row r="394" ht="27.75" customHeight="1">
      <c r="A394" s="206"/>
      <c r="B394" s="582" t="s">
        <v>2992</v>
      </c>
      <c r="C394" s="583" t="s">
        <v>33</v>
      </c>
      <c r="D394" s="14" t="s">
        <v>2980</v>
      </c>
      <c r="E394" s="550" t="s">
        <v>2993</v>
      </c>
      <c r="F394" s="217" t="s">
        <v>2981</v>
      </c>
      <c r="G394" s="198" t="s">
        <v>2994</v>
      </c>
      <c r="H394" s="584"/>
      <c r="I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</row>
    <row r="395" ht="14.25" customHeight="1">
      <c r="B395" s="516" t="s">
        <v>2995</v>
      </c>
      <c r="C395" s="52" t="s">
        <v>2996</v>
      </c>
      <c r="D395" s="52" t="s">
        <v>2997</v>
      </c>
      <c r="E395" s="52" t="s">
        <v>2998</v>
      </c>
      <c r="F395" s="570" t="s">
        <v>2999</v>
      </c>
      <c r="G395" s="581" t="s">
        <v>2999</v>
      </c>
      <c r="H395" s="532"/>
    </row>
    <row r="396" ht="14.25" customHeight="1">
      <c r="A396" s="499" t="s">
        <v>2436</v>
      </c>
      <c r="B396" s="500" t="s">
        <v>2252</v>
      </c>
      <c r="C396" s="52" t="s">
        <v>2996</v>
      </c>
      <c r="D396" s="139" t="s">
        <v>2984</v>
      </c>
      <c r="E396" s="39" t="s">
        <v>3000</v>
      </c>
      <c r="F396" s="39" t="s">
        <v>3000</v>
      </c>
      <c r="G396" s="39" t="s">
        <v>3000</v>
      </c>
      <c r="H396" s="532"/>
      <c r="I396" s="585"/>
      <c r="J396" s="46" t="s">
        <v>3001</v>
      </c>
    </row>
    <row r="397" ht="14.25" customHeight="1">
      <c r="A397" s="479" t="s">
        <v>2304</v>
      </c>
      <c r="B397" s="246" t="s">
        <v>42</v>
      </c>
      <c r="C397" s="52" t="s">
        <v>2970</v>
      </c>
      <c r="D397" s="52" t="s">
        <v>2970</v>
      </c>
      <c r="E397" s="52" t="s">
        <v>2970</v>
      </c>
      <c r="F397" s="52" t="s">
        <v>2970</v>
      </c>
      <c r="G397" s="39" t="s">
        <v>33</v>
      </c>
      <c r="H397" s="39"/>
      <c r="I397" s="365"/>
      <c r="J397" s="1"/>
    </row>
    <row r="398" ht="14.25" customHeight="1">
      <c r="A398" s="471"/>
      <c r="B398" s="248" t="s">
        <v>824</v>
      </c>
      <c r="C398" s="14" t="s">
        <v>3002</v>
      </c>
      <c r="D398" s="51"/>
      <c r="E398" s="14"/>
      <c r="F398" s="580"/>
      <c r="G398" s="51"/>
      <c r="H398" s="487"/>
    </row>
    <row r="399" ht="14.25" customHeight="1">
      <c r="A399" s="471"/>
      <c r="B399" s="249" t="s">
        <v>2835</v>
      </c>
      <c r="C399" s="14" t="s">
        <v>3000</v>
      </c>
      <c r="D399" s="14" t="s">
        <v>3000</v>
      </c>
      <c r="E399" s="14" t="s">
        <v>3000</v>
      </c>
      <c r="F399" s="14" t="s">
        <v>3000</v>
      </c>
      <c r="G399" s="14" t="s">
        <v>3000</v>
      </c>
      <c r="H399" s="487"/>
    </row>
    <row r="400" ht="14.25" customHeight="1">
      <c r="A400" s="474"/>
      <c r="B400" s="249" t="s">
        <v>2837</v>
      </c>
      <c r="C400" s="14" t="s">
        <v>3003</v>
      </c>
      <c r="D400" s="14" t="s">
        <v>3003</v>
      </c>
      <c r="E400" s="14" t="s">
        <v>3003</v>
      </c>
      <c r="F400" s="14" t="s">
        <v>3003</v>
      </c>
      <c r="G400" s="14" t="s">
        <v>3003</v>
      </c>
      <c r="H400" s="487"/>
      <c r="J400" s="1" t="s">
        <v>38</v>
      </c>
    </row>
    <row r="401" ht="14.25" customHeight="1"/>
    <row r="402" ht="14.25" customHeight="1">
      <c r="B402" s="484" t="s">
        <v>1</v>
      </c>
      <c r="C402" s="237" t="s">
        <v>25</v>
      </c>
      <c r="D402" s="237" t="s">
        <v>789</v>
      </c>
      <c r="E402" s="234" t="s">
        <v>27</v>
      </c>
      <c r="F402" s="234" t="s">
        <v>2</v>
      </c>
      <c r="G402" s="234" t="s">
        <v>3</v>
      </c>
      <c r="H402" s="235" t="s">
        <v>790</v>
      </c>
    </row>
    <row r="403" ht="14.25" customHeight="1">
      <c r="B403" s="9"/>
      <c r="C403" s="239" t="s">
        <v>3004</v>
      </c>
      <c r="D403" s="239" t="s">
        <v>3005</v>
      </c>
      <c r="E403" s="239" t="s">
        <v>3006</v>
      </c>
      <c r="F403" s="239" t="s">
        <v>3007</v>
      </c>
      <c r="G403" s="239" t="s">
        <v>3008</v>
      </c>
      <c r="H403" s="239" t="s">
        <v>3009</v>
      </c>
    </row>
    <row r="404" ht="14.25" customHeight="1">
      <c r="A404" s="485" t="s">
        <v>2236</v>
      </c>
      <c r="B404" s="240" t="s">
        <v>816</v>
      </c>
      <c r="C404" s="109"/>
      <c r="D404" s="41"/>
      <c r="E404" s="573"/>
      <c r="F404" s="46"/>
      <c r="G404" s="46"/>
      <c r="H404" s="487"/>
    </row>
    <row r="405" ht="14.25" customHeight="1">
      <c r="A405" s="471"/>
      <c r="B405" s="242" t="s">
        <v>3010</v>
      </c>
      <c r="C405" s="586" t="s">
        <v>3011</v>
      </c>
      <c r="D405" s="587" t="s">
        <v>3012</v>
      </c>
      <c r="E405" s="588" t="s">
        <v>3013</v>
      </c>
      <c r="F405" s="589" t="s">
        <v>3014</v>
      </c>
      <c r="G405" s="73" t="s">
        <v>3015</v>
      </c>
      <c r="H405" s="532"/>
    </row>
    <row r="406" ht="14.25" customHeight="1">
      <c r="A406" s="471"/>
      <c r="B406" s="243" t="s">
        <v>10</v>
      </c>
      <c r="C406" s="51" t="s">
        <v>3016</v>
      </c>
      <c r="D406" s="51" t="s">
        <v>3017</v>
      </c>
      <c r="E406" s="51" t="s">
        <v>3017</v>
      </c>
      <c r="F406" s="536" t="s">
        <v>3018</v>
      </c>
      <c r="G406" s="43" t="s">
        <v>3019</v>
      </c>
      <c r="H406" s="532"/>
    </row>
    <row r="407" ht="14.25" customHeight="1">
      <c r="A407" s="474"/>
      <c r="B407" s="493" t="s">
        <v>2287</v>
      </c>
      <c r="C407" s="14" t="s">
        <v>2432</v>
      </c>
      <c r="D407" s="106" t="s">
        <v>3020</v>
      </c>
      <c r="E407" s="106" t="s">
        <v>3021</v>
      </c>
      <c r="F407" s="14"/>
      <c r="G407" s="51"/>
      <c r="H407" s="532"/>
      <c r="J407" s="1"/>
    </row>
    <row r="408" ht="19.5" customHeight="1">
      <c r="A408" s="559"/>
      <c r="B408" s="517" t="s">
        <v>2862</v>
      </c>
      <c r="C408" s="109" t="s">
        <v>2749</v>
      </c>
      <c r="D408" s="109" t="s">
        <v>2749</v>
      </c>
      <c r="E408" s="109" t="s">
        <v>2749</v>
      </c>
      <c r="F408" s="109" t="s">
        <v>2749</v>
      </c>
      <c r="G408" s="109" t="s">
        <v>2749</v>
      </c>
      <c r="H408" s="532"/>
    </row>
    <row r="409" ht="33.0" customHeight="1">
      <c r="B409" s="517" t="s">
        <v>2992</v>
      </c>
      <c r="C409" s="198" t="s">
        <v>3022</v>
      </c>
      <c r="D409" s="138" t="s">
        <v>3023</v>
      </c>
      <c r="E409" s="15" t="s">
        <v>3024</v>
      </c>
      <c r="F409" s="73" t="s">
        <v>3025</v>
      </c>
      <c r="G409" s="15" t="s">
        <v>2749</v>
      </c>
      <c r="H409" s="532" t="s">
        <v>3026</v>
      </c>
      <c r="J409" s="212"/>
      <c r="L409" s="1"/>
    </row>
    <row r="410" ht="14.25" customHeight="1">
      <c r="B410" s="516" t="s">
        <v>3027</v>
      </c>
      <c r="C410" s="52" t="s">
        <v>3022</v>
      </c>
      <c r="D410" s="43" t="s">
        <v>3028</v>
      </c>
      <c r="E410" s="43" t="s">
        <v>3029</v>
      </c>
      <c r="F410" s="14" t="s">
        <v>3030</v>
      </c>
      <c r="G410" s="1" t="s">
        <v>3031</v>
      </c>
      <c r="H410" s="532"/>
    </row>
    <row r="411" ht="14.25" customHeight="1">
      <c r="A411" s="499" t="s">
        <v>2436</v>
      </c>
      <c r="B411" s="500" t="s">
        <v>2252</v>
      </c>
      <c r="C411" s="586" t="s">
        <v>3011</v>
      </c>
      <c r="D411" s="69" t="s">
        <v>3032</v>
      </c>
      <c r="E411" s="575" t="s">
        <v>2946</v>
      </c>
      <c r="F411" s="14" t="s">
        <v>3030</v>
      </c>
      <c r="G411" s="536" t="s">
        <v>3015</v>
      </c>
      <c r="H411" s="532"/>
      <c r="L411" s="1"/>
    </row>
    <row r="412" ht="14.25" customHeight="1">
      <c r="A412" s="479" t="s">
        <v>2304</v>
      </c>
      <c r="B412" s="246" t="s">
        <v>42</v>
      </c>
      <c r="C412" s="52" t="s">
        <v>3033</v>
      </c>
      <c r="D412" s="52" t="s">
        <v>3033</v>
      </c>
      <c r="E412" s="52" t="s">
        <v>3033</v>
      </c>
      <c r="F412" s="52" t="s">
        <v>3033</v>
      </c>
      <c r="G412" s="51"/>
      <c r="H412" s="532"/>
    </row>
    <row r="413" ht="14.25" customHeight="1">
      <c r="A413" s="471"/>
      <c r="B413" s="248"/>
      <c r="C413" s="14"/>
      <c r="D413" s="51"/>
      <c r="F413" s="580"/>
      <c r="G413" s="51"/>
      <c r="H413" s="487"/>
    </row>
    <row r="414" ht="14.25" customHeight="1">
      <c r="A414" s="471"/>
      <c r="B414" s="249" t="s">
        <v>2835</v>
      </c>
      <c r="C414" s="14" t="s">
        <v>3000</v>
      </c>
      <c r="D414" s="14" t="s">
        <v>3000</v>
      </c>
      <c r="E414" s="14" t="s">
        <v>3000</v>
      </c>
      <c r="F414" s="14" t="s">
        <v>3000</v>
      </c>
      <c r="G414" s="14" t="s">
        <v>3000</v>
      </c>
      <c r="H414" s="487"/>
    </row>
    <row r="415" ht="14.25" customHeight="1">
      <c r="A415" s="474"/>
      <c r="B415" s="249" t="s">
        <v>2837</v>
      </c>
      <c r="C415" s="14" t="s">
        <v>3003</v>
      </c>
      <c r="D415" s="14" t="s">
        <v>3003</v>
      </c>
      <c r="E415" s="14"/>
      <c r="F415" s="14"/>
      <c r="G415" s="14"/>
      <c r="H415" s="487"/>
    </row>
    <row r="416" ht="14.25" customHeight="1"/>
    <row r="417" ht="14.25" customHeight="1">
      <c r="B417" s="484" t="s">
        <v>1</v>
      </c>
      <c r="C417" s="237" t="s">
        <v>25</v>
      </c>
      <c r="D417" s="237" t="s">
        <v>789</v>
      </c>
      <c r="E417" s="234" t="s">
        <v>27</v>
      </c>
      <c r="F417" s="234" t="s">
        <v>2</v>
      </c>
      <c r="G417" s="234" t="s">
        <v>3</v>
      </c>
      <c r="H417" s="235" t="s">
        <v>790</v>
      </c>
    </row>
    <row r="418" ht="14.25" customHeight="1">
      <c r="B418" s="9"/>
      <c r="C418" s="239" t="s">
        <v>3034</v>
      </c>
      <c r="D418" s="239" t="s">
        <v>3035</v>
      </c>
      <c r="E418" s="239" t="s">
        <v>3036</v>
      </c>
      <c r="F418" s="239" t="s">
        <v>3037</v>
      </c>
      <c r="G418" s="239" t="s">
        <v>3038</v>
      </c>
      <c r="H418" s="239" t="s">
        <v>3039</v>
      </c>
    </row>
    <row r="419" ht="14.25" customHeight="1">
      <c r="A419" s="485" t="s">
        <v>2236</v>
      </c>
      <c r="B419" s="240" t="s">
        <v>6</v>
      </c>
      <c r="C419" s="58" t="s">
        <v>3040</v>
      </c>
      <c r="D419" s="575" t="s">
        <v>3041</v>
      </c>
      <c r="E419" s="546" t="s">
        <v>3042</v>
      </c>
      <c r="F419" s="51" t="s">
        <v>3043</v>
      </c>
      <c r="G419" s="549" t="s">
        <v>3044</v>
      </c>
      <c r="H419" s="487"/>
    </row>
    <row r="420" ht="14.25" customHeight="1">
      <c r="A420" s="471"/>
      <c r="B420" s="242" t="s">
        <v>8</v>
      </c>
      <c r="C420" s="507" t="s">
        <v>3045</v>
      </c>
      <c r="D420" s="51" t="s">
        <v>3046</v>
      </c>
      <c r="E420" s="1" t="s">
        <v>3047</v>
      </c>
      <c r="F420" s="208" t="s">
        <v>3048</v>
      </c>
      <c r="G420" s="51" t="s">
        <v>3049</v>
      </c>
      <c r="H420" s="532"/>
    </row>
    <row r="421" ht="14.25" customHeight="1">
      <c r="A421" s="471"/>
      <c r="B421" s="243" t="s">
        <v>10</v>
      </c>
      <c r="C421" s="116" t="s">
        <v>3050</v>
      </c>
      <c r="D421" s="116" t="s">
        <v>3050</v>
      </c>
      <c r="E421" s="116" t="s">
        <v>3050</v>
      </c>
      <c r="F421" s="116" t="s">
        <v>3050</v>
      </c>
      <c r="G421" s="51" t="s">
        <v>369</v>
      </c>
      <c r="H421" s="532"/>
    </row>
    <row r="422" ht="14.25" customHeight="1">
      <c r="A422" s="474"/>
      <c r="B422" s="493" t="s">
        <v>2287</v>
      </c>
      <c r="C422" s="14"/>
      <c r="D422" s="14"/>
      <c r="E422" s="14"/>
      <c r="F422" s="14"/>
      <c r="G422" s="51"/>
      <c r="H422" s="532"/>
      <c r="J422" s="1"/>
    </row>
    <row r="423" ht="14.25" customHeight="1">
      <c r="B423" s="516" t="s">
        <v>14</v>
      </c>
      <c r="C423" s="106" t="s">
        <v>1497</v>
      </c>
      <c r="D423" s="43" t="s">
        <v>3051</v>
      </c>
      <c r="E423" s="81" t="s">
        <v>3052</v>
      </c>
      <c r="F423" s="51" t="s">
        <v>3053</v>
      </c>
      <c r="G423" s="14" t="s">
        <v>3054</v>
      </c>
      <c r="H423" s="532"/>
    </row>
    <row r="424" ht="14.25" customHeight="1">
      <c r="A424" s="559"/>
      <c r="B424" s="517" t="s">
        <v>2862</v>
      </c>
      <c r="C424" s="548"/>
      <c r="D424" s="41"/>
      <c r="E424" s="546" t="s">
        <v>3055</v>
      </c>
      <c r="F424" s="208" t="s">
        <v>3056</v>
      </c>
      <c r="G424" s="14" t="s">
        <v>3054</v>
      </c>
      <c r="H424" s="532"/>
    </row>
    <row r="425" ht="14.25" customHeight="1">
      <c r="B425" s="517" t="s">
        <v>2992</v>
      </c>
      <c r="C425" s="41"/>
      <c r="D425" s="41"/>
      <c r="E425" s="572"/>
      <c r="F425" s="572"/>
      <c r="G425" s="572"/>
      <c r="H425" s="532"/>
    </row>
    <row r="426" ht="14.25" customHeight="1">
      <c r="B426" s="517" t="s">
        <v>3057</v>
      </c>
      <c r="C426" s="39" t="s">
        <v>3058</v>
      </c>
      <c r="D426" s="39" t="s">
        <v>3058</v>
      </c>
      <c r="E426" s="39" t="s">
        <v>3059</v>
      </c>
      <c r="F426" s="39" t="s">
        <v>3060</v>
      </c>
      <c r="G426" s="51" t="s">
        <v>3061</v>
      </c>
      <c r="H426" s="532"/>
    </row>
    <row r="427" ht="14.25" customHeight="1">
      <c r="A427" s="499" t="s">
        <v>2436</v>
      </c>
      <c r="B427" s="500" t="s">
        <v>2252</v>
      </c>
      <c r="C427" s="14" t="s">
        <v>3045</v>
      </c>
      <c r="D427" s="575" t="s">
        <v>3041</v>
      </c>
      <c r="E427" s="81" t="s">
        <v>3052</v>
      </c>
      <c r="F427" s="51" t="s">
        <v>3043</v>
      </c>
      <c r="G427" s="51" t="s">
        <v>3049</v>
      </c>
      <c r="H427" s="532"/>
    </row>
    <row r="428" ht="14.25" customHeight="1">
      <c r="A428" s="479" t="s">
        <v>2304</v>
      </c>
      <c r="B428" s="246" t="s">
        <v>42</v>
      </c>
      <c r="C428" s="52" t="s">
        <v>3033</v>
      </c>
      <c r="D428" s="52" t="s">
        <v>3033</v>
      </c>
      <c r="E428" s="52" t="s">
        <v>3033</v>
      </c>
      <c r="F428" s="52" t="s">
        <v>3033</v>
      </c>
      <c r="H428" s="532"/>
    </row>
    <row r="429" ht="14.25" customHeight="1">
      <c r="A429" s="471"/>
      <c r="B429" s="248"/>
      <c r="C429" s="14"/>
      <c r="D429" s="51"/>
      <c r="E429" s="14"/>
      <c r="F429" s="51"/>
      <c r="G429" s="51"/>
      <c r="H429" s="487"/>
    </row>
    <row r="430" ht="14.25" customHeight="1">
      <c r="A430" s="471"/>
      <c r="B430" s="249" t="s">
        <v>2835</v>
      </c>
      <c r="C430" s="14" t="s">
        <v>3000</v>
      </c>
      <c r="D430" s="14" t="s">
        <v>3000</v>
      </c>
      <c r="E430" s="14" t="s">
        <v>3000</v>
      </c>
      <c r="F430" s="14" t="s">
        <v>3000</v>
      </c>
      <c r="G430" s="14" t="s">
        <v>3000</v>
      </c>
      <c r="H430" s="487"/>
    </row>
    <row r="431" ht="14.25" customHeight="1">
      <c r="A431" s="474"/>
      <c r="B431" s="249" t="s">
        <v>2837</v>
      </c>
      <c r="C431" s="14" t="s">
        <v>3003</v>
      </c>
      <c r="D431" s="14" t="s">
        <v>3003</v>
      </c>
      <c r="E431" s="14" t="s">
        <v>3003</v>
      </c>
      <c r="F431" s="14" t="s">
        <v>3003</v>
      </c>
      <c r="G431" s="14" t="s">
        <v>3003</v>
      </c>
      <c r="H431" s="487"/>
    </row>
    <row r="432" ht="14.25" customHeight="1"/>
    <row r="433" ht="14.25" customHeight="1">
      <c r="B433" s="484" t="s">
        <v>1</v>
      </c>
      <c r="C433" s="237" t="s">
        <v>25</v>
      </c>
      <c r="D433" s="237" t="s">
        <v>789</v>
      </c>
      <c r="E433" s="234" t="s">
        <v>27</v>
      </c>
      <c r="F433" s="234" t="s">
        <v>2</v>
      </c>
      <c r="G433" s="234" t="s">
        <v>3</v>
      </c>
      <c r="H433" s="235" t="s">
        <v>790</v>
      </c>
    </row>
    <row r="434" ht="14.25" customHeight="1">
      <c r="B434" s="9"/>
      <c r="C434" s="239" t="s">
        <v>3062</v>
      </c>
      <c r="D434" s="239" t="s">
        <v>3063</v>
      </c>
      <c r="E434" s="239" t="s">
        <v>3064</v>
      </c>
      <c r="F434" s="239" t="s">
        <v>3065</v>
      </c>
      <c r="G434" s="239" t="s">
        <v>3066</v>
      </c>
      <c r="H434" s="239" t="s">
        <v>3067</v>
      </c>
    </row>
    <row r="435" ht="14.25" customHeight="1">
      <c r="A435" s="485" t="s">
        <v>2236</v>
      </c>
      <c r="B435" s="240" t="s">
        <v>6</v>
      </c>
      <c r="C435" s="14" t="s">
        <v>3068</v>
      </c>
      <c r="D435" s="575" t="s">
        <v>3069</v>
      </c>
      <c r="E435" s="69" t="s">
        <v>3070</v>
      </c>
      <c r="F435" s="69" t="s">
        <v>3070</v>
      </c>
      <c r="G435" s="46"/>
      <c r="H435" s="487"/>
    </row>
    <row r="436" ht="14.25" customHeight="1">
      <c r="A436" s="471"/>
      <c r="B436" s="242" t="s">
        <v>8</v>
      </c>
      <c r="C436" s="542" t="s">
        <v>3071</v>
      </c>
      <c r="D436" s="51" t="s">
        <v>3072</v>
      </c>
      <c r="E436" s="51" t="s">
        <v>3072</v>
      </c>
      <c r="F436" s="51" t="s">
        <v>3072</v>
      </c>
      <c r="G436" s="46"/>
      <c r="H436" s="532"/>
    </row>
    <row r="437" ht="14.25" customHeight="1">
      <c r="A437" s="471"/>
      <c r="B437" s="243" t="s">
        <v>10</v>
      </c>
      <c r="C437" s="24" t="s">
        <v>3073</v>
      </c>
      <c r="D437" s="24" t="s">
        <v>3074</v>
      </c>
      <c r="E437" s="24" t="s">
        <v>3075</v>
      </c>
      <c r="F437" s="24" t="s">
        <v>3076</v>
      </c>
      <c r="G437" s="590"/>
      <c r="H437" s="532"/>
    </row>
    <row r="438" ht="14.25" customHeight="1">
      <c r="A438" s="474"/>
      <c r="B438" s="493" t="s">
        <v>2287</v>
      </c>
      <c r="C438" s="14"/>
      <c r="D438" s="14"/>
      <c r="E438" s="14"/>
      <c r="F438" s="14"/>
      <c r="G438" s="46"/>
      <c r="H438" s="532"/>
    </row>
    <row r="439" ht="14.25" customHeight="1">
      <c r="A439" s="559"/>
      <c r="B439" s="517" t="s">
        <v>14</v>
      </c>
      <c r="C439" s="550" t="s">
        <v>3077</v>
      </c>
      <c r="D439" s="591" t="s">
        <v>3078</v>
      </c>
      <c r="E439" s="58" t="s">
        <v>3079</v>
      </c>
      <c r="F439" s="592" t="s">
        <v>3080</v>
      </c>
      <c r="G439" s="217" t="s">
        <v>3081</v>
      </c>
      <c r="H439" s="532"/>
    </row>
    <row r="440" ht="14.25" customHeight="1">
      <c r="B440" s="517" t="s">
        <v>2862</v>
      </c>
      <c r="C440" s="550" t="s">
        <v>3077</v>
      </c>
      <c r="D440" s="593" t="s">
        <v>3078</v>
      </c>
      <c r="E440" s="58" t="s">
        <v>3082</v>
      </c>
      <c r="F440" s="594" t="s">
        <v>3083</v>
      </c>
      <c r="G440" s="46"/>
      <c r="H440" s="532"/>
    </row>
    <row r="441" ht="14.25" customHeight="1">
      <c r="B441" s="517" t="s">
        <v>2992</v>
      </c>
      <c r="C441" s="14" t="s">
        <v>3068</v>
      </c>
      <c r="D441" s="15" t="s">
        <v>1197</v>
      </c>
      <c r="E441" s="81" t="s">
        <v>3084</v>
      </c>
      <c r="F441" s="576" t="s">
        <v>3085</v>
      </c>
      <c r="G441" s="46"/>
      <c r="H441" s="532"/>
    </row>
    <row r="442" ht="14.25" customHeight="1">
      <c r="B442" s="517" t="s">
        <v>3057</v>
      </c>
      <c r="C442" s="14" t="s">
        <v>3061</v>
      </c>
      <c r="D442" s="14" t="s">
        <v>3061</v>
      </c>
      <c r="E442" s="14" t="s">
        <v>3061</v>
      </c>
      <c r="F442" s="14" t="s">
        <v>3061</v>
      </c>
      <c r="G442" s="46"/>
      <c r="H442" s="532"/>
    </row>
    <row r="443" ht="14.25" customHeight="1">
      <c r="A443" s="499" t="s">
        <v>2436</v>
      </c>
      <c r="B443" s="500" t="s">
        <v>2252</v>
      </c>
      <c r="C443" s="15" t="s">
        <v>3086</v>
      </c>
      <c r="D443" s="575" t="s">
        <v>3069</v>
      </c>
      <c r="E443" s="19" t="s">
        <v>3081</v>
      </c>
      <c r="F443" s="24" t="s">
        <v>468</v>
      </c>
      <c r="G443" s="46"/>
      <c r="H443" s="532"/>
    </row>
    <row r="444" ht="14.25" customHeight="1">
      <c r="A444" s="479" t="s">
        <v>2304</v>
      </c>
      <c r="B444" s="246" t="s">
        <v>42</v>
      </c>
      <c r="C444" s="24" t="s">
        <v>468</v>
      </c>
      <c r="D444" s="24" t="s">
        <v>468</v>
      </c>
      <c r="E444" s="24" t="s">
        <v>468</v>
      </c>
      <c r="F444" s="24" t="s">
        <v>468</v>
      </c>
      <c r="G444" s="46" t="s">
        <v>369</v>
      </c>
      <c r="H444" s="532"/>
    </row>
    <row r="445" ht="14.25" customHeight="1">
      <c r="A445" s="471"/>
      <c r="B445" s="248" t="s">
        <v>824</v>
      </c>
      <c r="C445" s="14" t="s">
        <v>369</v>
      </c>
      <c r="D445" s="51" t="s">
        <v>369</v>
      </c>
      <c r="E445" s="14" t="s">
        <v>369</v>
      </c>
      <c r="F445" s="580" t="s">
        <v>369</v>
      </c>
      <c r="G445" s="46" t="s">
        <v>369</v>
      </c>
      <c r="H445" s="487"/>
    </row>
    <row r="446" ht="14.25" customHeight="1">
      <c r="A446" s="471"/>
      <c r="B446" s="249" t="s">
        <v>2835</v>
      </c>
      <c r="C446" s="14" t="s">
        <v>3000</v>
      </c>
      <c r="D446" s="14" t="s">
        <v>3000</v>
      </c>
      <c r="E446" s="14" t="s">
        <v>3000</v>
      </c>
      <c r="F446" s="14" t="s">
        <v>3000</v>
      </c>
      <c r="G446" s="41" t="s">
        <v>3000</v>
      </c>
      <c r="H446" s="487"/>
    </row>
    <row r="447" ht="14.25" customHeight="1">
      <c r="A447" s="474"/>
      <c r="B447" s="249" t="s">
        <v>2837</v>
      </c>
      <c r="C447" s="14" t="s">
        <v>2838</v>
      </c>
      <c r="D447" s="14" t="s">
        <v>2838</v>
      </c>
      <c r="E447" s="14" t="s">
        <v>2838</v>
      </c>
      <c r="F447" s="14" t="s">
        <v>2838</v>
      </c>
      <c r="G447" s="41"/>
      <c r="H447" s="487"/>
    </row>
    <row r="448" ht="14.25" customHeight="1">
      <c r="A448" s="1" t="s">
        <v>0</v>
      </c>
    </row>
    <row r="449" ht="14.25" customHeight="1">
      <c r="B449" s="484" t="s">
        <v>1</v>
      </c>
      <c r="C449" s="237" t="s">
        <v>25</v>
      </c>
      <c r="D449" s="237" t="s">
        <v>789</v>
      </c>
      <c r="E449" s="234" t="s">
        <v>27</v>
      </c>
      <c r="F449" s="234" t="s">
        <v>2</v>
      </c>
      <c r="G449" s="234" t="s">
        <v>3</v>
      </c>
      <c r="H449" s="595" t="s">
        <v>790</v>
      </c>
    </row>
    <row r="450" ht="14.25" customHeight="1">
      <c r="B450" s="9"/>
      <c r="C450" s="239" t="s">
        <v>3087</v>
      </c>
      <c r="D450" s="239" t="s">
        <v>3088</v>
      </c>
      <c r="E450" s="239" t="s">
        <v>3089</v>
      </c>
      <c r="F450" s="239" t="s">
        <v>3090</v>
      </c>
      <c r="G450" s="239" t="s">
        <v>3091</v>
      </c>
      <c r="H450" s="239" t="s">
        <v>3092</v>
      </c>
    </row>
    <row r="451" ht="14.25" customHeight="1">
      <c r="A451" s="485" t="s">
        <v>2236</v>
      </c>
      <c r="B451" s="240" t="s">
        <v>6</v>
      </c>
      <c r="C451" s="536" t="s">
        <v>3093</v>
      </c>
      <c r="D451" s="596" t="s">
        <v>3094</v>
      </c>
      <c r="E451" s="507" t="s">
        <v>3095</v>
      </c>
      <c r="F451" s="507" t="s">
        <v>3095</v>
      </c>
      <c r="G451" s="546" t="s">
        <v>3096</v>
      </c>
      <c r="H451" s="487"/>
    </row>
    <row r="452" ht="14.25" customHeight="1">
      <c r="A452" s="471"/>
      <c r="B452" s="242" t="s">
        <v>8</v>
      </c>
      <c r="C452" s="73" t="s">
        <v>3097</v>
      </c>
      <c r="D452" s="575" t="s">
        <v>3098</v>
      </c>
      <c r="E452" s="19" t="s">
        <v>3099</v>
      </c>
      <c r="F452" s="51" t="s">
        <v>3100</v>
      </c>
      <c r="G452" s="51" t="s">
        <v>3100</v>
      </c>
      <c r="H452" s="597" t="s">
        <v>3101</v>
      </c>
    </row>
    <row r="453" ht="14.25" customHeight="1">
      <c r="A453" s="471"/>
      <c r="B453" s="243" t="s">
        <v>10</v>
      </c>
      <c r="C453" s="208" t="s">
        <v>3102</v>
      </c>
      <c r="D453" s="208" t="s">
        <v>3102</v>
      </c>
      <c r="E453" s="208" t="s">
        <v>3102</v>
      </c>
      <c r="F453" s="208" t="s">
        <v>3102</v>
      </c>
      <c r="G453" s="51" t="s">
        <v>369</v>
      </c>
      <c r="H453" s="532"/>
    </row>
    <row r="454" ht="14.25" customHeight="1">
      <c r="A454" s="474"/>
      <c r="B454" s="493" t="s">
        <v>2287</v>
      </c>
      <c r="C454" s="14"/>
      <c r="D454" s="14"/>
      <c r="E454" s="14"/>
      <c r="F454" s="14"/>
      <c r="G454" s="51"/>
      <c r="H454" s="532"/>
    </row>
    <row r="455" ht="14.25" customHeight="1">
      <c r="A455" s="559"/>
      <c r="B455" s="517" t="s">
        <v>14</v>
      </c>
      <c r="C455" s="547" t="s">
        <v>3103</v>
      </c>
      <c r="D455" s="73" t="s">
        <v>3104</v>
      </c>
      <c r="E455" s="597" t="s">
        <v>3105</v>
      </c>
      <c r="F455" s="597" t="s">
        <v>3106</v>
      </c>
      <c r="G455" s="105" t="s">
        <v>3107</v>
      </c>
      <c r="H455" s="532"/>
      <c r="J455" s="178"/>
    </row>
    <row r="456" ht="14.25" customHeight="1">
      <c r="B456" s="517" t="s">
        <v>2862</v>
      </c>
      <c r="C456" s="69" t="s">
        <v>3103</v>
      </c>
      <c r="D456" s="536" t="s">
        <v>3108</v>
      </c>
      <c r="E456" s="598" t="s">
        <v>3109</v>
      </c>
      <c r="F456" s="599" t="s">
        <v>3110</v>
      </c>
      <c r="G456" s="600" t="s">
        <v>3111</v>
      </c>
      <c r="H456" s="532"/>
    </row>
    <row r="457" ht="14.25" customHeight="1">
      <c r="B457" s="517" t="s">
        <v>2992</v>
      </c>
      <c r="C457" s="597" t="s">
        <v>3112</v>
      </c>
      <c r="D457" s="208" t="s">
        <v>3113</v>
      </c>
      <c r="E457" s="597" t="s">
        <v>3114</v>
      </c>
      <c r="F457" s="597" t="s">
        <v>3114</v>
      </c>
      <c r="G457" s="536" t="s">
        <v>3115</v>
      </c>
      <c r="H457" s="532"/>
    </row>
    <row r="458" ht="14.25" customHeight="1">
      <c r="B458" s="517" t="s">
        <v>3057</v>
      </c>
      <c r="C458" s="14"/>
      <c r="D458" s="14"/>
      <c r="E458" s="14"/>
      <c r="F458" s="580"/>
      <c r="G458" s="51"/>
      <c r="H458" s="532"/>
    </row>
    <row r="459" ht="14.25" customHeight="1">
      <c r="A459" s="499" t="s">
        <v>2436</v>
      </c>
      <c r="B459" s="500" t="s">
        <v>2252</v>
      </c>
      <c r="C459" s="536" t="s">
        <v>3116</v>
      </c>
      <c r="D459" s="105" t="s">
        <v>3117</v>
      </c>
      <c r="E459" s="597" t="s">
        <v>3105</v>
      </c>
      <c r="F459" s="597" t="s">
        <v>3106</v>
      </c>
      <c r="G459" s="546" t="s">
        <v>3118</v>
      </c>
      <c r="H459" s="532"/>
    </row>
    <row r="460" ht="14.25" customHeight="1">
      <c r="A460" s="479" t="s">
        <v>2304</v>
      </c>
      <c r="B460" s="246" t="s">
        <v>42</v>
      </c>
      <c r="C460" s="19" t="s">
        <v>468</v>
      </c>
      <c r="D460" s="51" t="s">
        <v>468</v>
      </c>
      <c r="E460" s="19" t="s">
        <v>468</v>
      </c>
      <c r="F460" s="19" t="s">
        <v>468</v>
      </c>
      <c r="G460" s="19" t="s">
        <v>468</v>
      </c>
      <c r="H460" s="532"/>
    </row>
    <row r="461" ht="14.25" customHeight="1">
      <c r="A461" s="471"/>
      <c r="B461" s="249" t="s">
        <v>2835</v>
      </c>
      <c r="C461" s="14" t="s">
        <v>3000</v>
      </c>
      <c r="D461" s="14" t="s">
        <v>3000</v>
      </c>
      <c r="E461" s="14" t="s">
        <v>3000</v>
      </c>
      <c r="F461" s="14" t="s">
        <v>3000</v>
      </c>
      <c r="G461" s="14" t="s">
        <v>3000</v>
      </c>
      <c r="H461" s="487"/>
    </row>
    <row r="462" ht="14.25" customHeight="1">
      <c r="A462" s="474"/>
      <c r="B462" s="249" t="s">
        <v>2837</v>
      </c>
      <c r="C462" s="69" t="s">
        <v>2838</v>
      </c>
      <c r="D462" s="69" t="s">
        <v>2838</v>
      </c>
      <c r="E462" s="69" t="s">
        <v>2838</v>
      </c>
      <c r="F462" s="69" t="s">
        <v>2838</v>
      </c>
      <c r="G462" s="69" t="s">
        <v>2838</v>
      </c>
      <c r="H462" s="487"/>
    </row>
    <row r="463" ht="14.25" customHeight="1"/>
    <row r="464" ht="14.25" customHeight="1">
      <c r="C464" s="601" t="s">
        <v>3119</v>
      </c>
    </row>
    <row r="465" ht="14.25" customHeight="1">
      <c r="B465" s="484" t="s">
        <v>1</v>
      </c>
      <c r="C465" s="237" t="s">
        <v>25</v>
      </c>
      <c r="D465" s="237" t="s">
        <v>789</v>
      </c>
      <c r="E465" s="234" t="s">
        <v>27</v>
      </c>
      <c r="F465" s="234" t="s">
        <v>2</v>
      </c>
      <c r="G465" s="234" t="s">
        <v>3</v>
      </c>
      <c r="H465" s="595" t="s">
        <v>790</v>
      </c>
      <c r="I465" s="1"/>
      <c r="J465" s="88" t="s">
        <v>141</v>
      </c>
    </row>
    <row r="466" ht="14.25" customHeight="1">
      <c r="B466" s="9"/>
      <c r="C466" s="239" t="s">
        <v>3120</v>
      </c>
      <c r="D466" s="239" t="s">
        <v>3121</v>
      </c>
      <c r="E466" s="239" t="s">
        <v>3122</v>
      </c>
      <c r="F466" s="239" t="s">
        <v>3123</v>
      </c>
      <c r="G466" s="239" t="s">
        <v>3124</v>
      </c>
      <c r="H466" s="239" t="s">
        <v>3125</v>
      </c>
      <c r="J466" s="90" t="s">
        <v>145</v>
      </c>
    </row>
    <row r="467" ht="14.25" customHeight="1">
      <c r="A467" s="485" t="s">
        <v>2236</v>
      </c>
      <c r="B467" s="240" t="s">
        <v>6</v>
      </c>
      <c r="C467" s="549" t="s">
        <v>3126</v>
      </c>
      <c r="D467" s="536" t="s">
        <v>3127</v>
      </c>
      <c r="E467" s="549" t="s">
        <v>3128</v>
      </c>
      <c r="F467" s="597" t="s">
        <v>3112</v>
      </c>
      <c r="G467" s="597" t="s">
        <v>3129</v>
      </c>
      <c r="H467" s="487"/>
      <c r="J467" s="91" t="s">
        <v>149</v>
      </c>
      <c r="L467" s="602"/>
    </row>
    <row r="468" ht="14.25" customHeight="1">
      <c r="A468" s="471"/>
      <c r="B468" s="242" t="s">
        <v>8</v>
      </c>
      <c r="C468" s="73" t="s">
        <v>3130</v>
      </c>
      <c r="D468" s="575" t="s">
        <v>2714</v>
      </c>
      <c r="E468" s="565" t="s">
        <v>3131</v>
      </c>
      <c r="F468" s="580" t="s">
        <v>3132</v>
      </c>
      <c r="G468" s="550" t="s">
        <v>3133</v>
      </c>
      <c r="H468" s="532"/>
      <c r="J468" s="94" t="s">
        <v>153</v>
      </c>
      <c r="L468" s="1"/>
    </row>
    <row r="469" ht="14.25" customHeight="1">
      <c r="A469" s="471"/>
      <c r="B469" s="243" t="s">
        <v>10</v>
      </c>
      <c r="C469" s="208" t="s">
        <v>3102</v>
      </c>
      <c r="D469" s="208" t="s">
        <v>3102</v>
      </c>
      <c r="E469" s="208" t="s">
        <v>3102</v>
      </c>
      <c r="F469" s="208" t="s">
        <v>3102</v>
      </c>
      <c r="G469" s="51" t="s">
        <v>2663</v>
      </c>
      <c r="H469" s="532"/>
      <c r="J469" s="95" t="s">
        <v>154</v>
      </c>
    </row>
    <row r="470" ht="14.25" customHeight="1">
      <c r="A470" s="474"/>
      <c r="B470" s="493" t="s">
        <v>3134</v>
      </c>
      <c r="C470" s="39" t="s">
        <v>3135</v>
      </c>
      <c r="D470" s="39" t="s">
        <v>3135</v>
      </c>
      <c r="E470" s="39" t="s">
        <v>3136</v>
      </c>
      <c r="F470" s="39" t="s">
        <v>3136</v>
      </c>
      <c r="G470" s="39" t="s">
        <v>3136</v>
      </c>
      <c r="H470" s="532"/>
      <c r="J470" s="597"/>
    </row>
    <row r="471" ht="14.25" customHeight="1">
      <c r="A471" s="559"/>
      <c r="B471" s="517" t="s">
        <v>14</v>
      </c>
      <c r="C471" s="603" t="s">
        <v>3137</v>
      </c>
      <c r="D471" s="597" t="s">
        <v>3138</v>
      </c>
      <c r="E471" s="536" t="s">
        <v>3139</v>
      </c>
      <c r="F471" s="64" t="s">
        <v>3140</v>
      </c>
      <c r="G471" s="536" t="s">
        <v>3141</v>
      </c>
      <c r="H471" s="532"/>
      <c r="L471" s="1"/>
    </row>
    <row r="472" ht="14.25" customHeight="1">
      <c r="B472" s="517" t="s">
        <v>2862</v>
      </c>
      <c r="C472" s="41" t="s">
        <v>33</v>
      </c>
      <c r="D472" s="41" t="s">
        <v>33</v>
      </c>
      <c r="E472" s="41" t="s">
        <v>33</v>
      </c>
      <c r="F472" s="41" t="s">
        <v>33</v>
      </c>
      <c r="G472" s="41" t="s">
        <v>33</v>
      </c>
      <c r="H472" s="532"/>
    </row>
    <row r="473" ht="14.25" customHeight="1">
      <c r="B473" s="517" t="s">
        <v>2992</v>
      </c>
      <c r="C473" s="549" t="s">
        <v>3126</v>
      </c>
      <c r="D473" s="597" t="s">
        <v>3142</v>
      </c>
      <c r="E473" s="41" t="s">
        <v>33</v>
      </c>
      <c r="F473" s="41" t="s">
        <v>33</v>
      </c>
      <c r="G473" s="41" t="s">
        <v>33</v>
      </c>
      <c r="H473" s="532"/>
      <c r="J473" s="95"/>
    </row>
    <row r="474" ht="14.25" customHeight="1">
      <c r="B474" s="517" t="s">
        <v>3057</v>
      </c>
      <c r="C474" s="39" t="s">
        <v>3143</v>
      </c>
      <c r="D474" s="39" t="s">
        <v>3143</v>
      </c>
      <c r="E474" s="39" t="s">
        <v>3143</v>
      </c>
      <c r="F474" s="39" t="s">
        <v>3143</v>
      </c>
      <c r="G474" s="39" t="s">
        <v>3143</v>
      </c>
      <c r="H474" s="532"/>
    </row>
    <row r="475" ht="14.25" customHeight="1">
      <c r="A475" s="499" t="s">
        <v>2436</v>
      </c>
      <c r="B475" s="500" t="s">
        <v>2252</v>
      </c>
      <c r="C475" s="73" t="s">
        <v>3130</v>
      </c>
      <c r="D475" s="64" t="s">
        <v>3144</v>
      </c>
      <c r="E475" s="549" t="s">
        <v>3128</v>
      </c>
      <c r="F475" s="604" t="s">
        <v>3145</v>
      </c>
      <c r="G475" s="1" t="s">
        <v>3146</v>
      </c>
      <c r="H475" s="532"/>
    </row>
    <row r="476" ht="14.25" customHeight="1">
      <c r="A476" s="479" t="s">
        <v>2304</v>
      </c>
      <c r="B476" s="246" t="s">
        <v>42</v>
      </c>
      <c r="C476" s="99" t="s">
        <v>3147</v>
      </c>
      <c r="D476" s="99" t="s">
        <v>3147</v>
      </c>
      <c r="E476" s="99" t="s">
        <v>3147</v>
      </c>
      <c r="F476" s="167" t="s">
        <v>3147</v>
      </c>
      <c r="G476" s="167" t="s">
        <v>3147</v>
      </c>
      <c r="H476" s="532"/>
    </row>
    <row r="477" ht="14.25" customHeight="1">
      <c r="A477" s="471"/>
      <c r="B477" s="249" t="s">
        <v>2835</v>
      </c>
      <c r="C477" s="52" t="s">
        <v>3000</v>
      </c>
      <c r="D477" s="52" t="s">
        <v>3000</v>
      </c>
      <c r="E477" s="52" t="s">
        <v>3000</v>
      </c>
      <c r="F477" s="52" t="s">
        <v>3000</v>
      </c>
      <c r="G477" s="52" t="s">
        <v>3000</v>
      </c>
      <c r="H477" s="487"/>
    </row>
    <row r="478" ht="14.25" customHeight="1">
      <c r="A478" s="474"/>
      <c r="B478" s="249" t="s">
        <v>2837</v>
      </c>
      <c r="C478" s="69" t="s">
        <v>2838</v>
      </c>
      <c r="D478" s="69" t="s">
        <v>2838</v>
      </c>
      <c r="E478" s="69" t="s">
        <v>2838</v>
      </c>
      <c r="F478" s="69" t="s">
        <v>2838</v>
      </c>
      <c r="G478" s="69" t="s">
        <v>2838</v>
      </c>
      <c r="H478" s="487"/>
    </row>
    <row r="479" ht="14.25" customHeight="1"/>
    <row r="480" ht="14.25" customHeight="1">
      <c r="C480" s="601" t="s">
        <v>3119</v>
      </c>
    </row>
    <row r="481" ht="14.25" customHeight="1">
      <c r="B481" s="484" t="s">
        <v>1</v>
      </c>
      <c r="C481" s="237" t="s">
        <v>25</v>
      </c>
      <c r="D481" s="237" t="s">
        <v>789</v>
      </c>
      <c r="E481" s="234" t="s">
        <v>27</v>
      </c>
      <c r="F481" s="234" t="s">
        <v>2</v>
      </c>
      <c r="G481" s="234" t="s">
        <v>3</v>
      </c>
      <c r="H481" s="595" t="s">
        <v>790</v>
      </c>
      <c r="I481" s="1"/>
      <c r="J481" s="88" t="s">
        <v>141</v>
      </c>
    </row>
    <row r="482" ht="14.25" customHeight="1">
      <c r="B482" s="9"/>
      <c r="C482" s="239" t="s">
        <v>3148</v>
      </c>
      <c r="D482" s="239" t="s">
        <v>3149</v>
      </c>
      <c r="E482" s="239" t="s">
        <v>3150</v>
      </c>
      <c r="F482" s="239" t="s">
        <v>3151</v>
      </c>
      <c r="G482" s="239" t="s">
        <v>3152</v>
      </c>
      <c r="H482" s="239" t="s">
        <v>3153</v>
      </c>
      <c r="J482" s="90" t="s">
        <v>145</v>
      </c>
    </row>
    <row r="483" ht="14.25" customHeight="1">
      <c r="A483" s="485" t="s">
        <v>2236</v>
      </c>
      <c r="B483" s="240" t="s">
        <v>6</v>
      </c>
      <c r="C483" s="550" t="s">
        <v>3154</v>
      </c>
      <c r="D483" s="536" t="s">
        <v>3155</v>
      </c>
      <c r="E483" s="94" t="s">
        <v>3156</v>
      </c>
      <c r="F483" s="57" t="s">
        <v>3157</v>
      </c>
      <c r="G483" s="51" t="s">
        <v>38</v>
      </c>
      <c r="H483" s="487"/>
      <c r="J483" s="91" t="s">
        <v>149</v>
      </c>
    </row>
    <row r="484" ht="14.25" customHeight="1">
      <c r="A484" s="471"/>
      <c r="B484" s="242" t="s">
        <v>8</v>
      </c>
      <c r="C484" s="605" t="s">
        <v>3158</v>
      </c>
      <c r="D484" s="64" t="s">
        <v>1564</v>
      </c>
      <c r="E484" s="95" t="s">
        <v>3159</v>
      </c>
      <c r="F484" s="606" t="s">
        <v>3160</v>
      </c>
      <c r="G484" s="550" t="s">
        <v>3161</v>
      </c>
      <c r="H484" s="532"/>
      <c r="J484" s="94" t="s">
        <v>153</v>
      </c>
    </row>
    <row r="485" ht="14.25" customHeight="1">
      <c r="A485" s="471"/>
      <c r="B485" s="243" t="s">
        <v>10</v>
      </c>
      <c r="C485" s="546" t="s">
        <v>3102</v>
      </c>
      <c r="D485" s="546" t="s">
        <v>3102</v>
      </c>
      <c r="E485" s="546" t="s">
        <v>3102</v>
      </c>
      <c r="F485" s="208" t="s">
        <v>3102</v>
      </c>
      <c r="H485" s="532"/>
      <c r="J485" s="95" t="s">
        <v>154</v>
      </c>
    </row>
    <row r="486" ht="14.25" customHeight="1">
      <c r="A486" s="474"/>
      <c r="B486" s="493" t="s">
        <v>3134</v>
      </c>
      <c r="C486" s="14" t="s">
        <v>3162</v>
      </c>
      <c r="D486" s="14" t="s">
        <v>3163</v>
      </c>
      <c r="E486" s="14" t="s">
        <v>3163</v>
      </c>
      <c r="F486" s="14" t="s">
        <v>3164</v>
      </c>
      <c r="G486" s="14" t="s">
        <v>3164</v>
      </c>
      <c r="H486" s="532"/>
      <c r="J486" s="597"/>
    </row>
    <row r="487" ht="14.25" customHeight="1">
      <c r="A487" s="559"/>
      <c r="B487" s="517" t="s">
        <v>14</v>
      </c>
      <c r="C487" s="95" t="s">
        <v>3165</v>
      </c>
      <c r="D487" s="51" t="s">
        <v>3166</v>
      </c>
      <c r="E487" s="69" t="s">
        <v>3167</v>
      </c>
      <c r="F487" s="548" t="s">
        <v>3168</v>
      </c>
      <c r="G487" s="548" t="s">
        <v>3168</v>
      </c>
      <c r="H487" s="532"/>
      <c r="J487" s="51"/>
    </row>
    <row r="488" ht="14.25" customHeight="1">
      <c r="B488" s="517" t="s">
        <v>2862</v>
      </c>
      <c r="C488" s="41" t="s">
        <v>33</v>
      </c>
      <c r="D488" s="536" t="s">
        <v>3155</v>
      </c>
      <c r="E488" s="550" t="s">
        <v>3169</v>
      </c>
      <c r="F488" s="550" t="s">
        <v>3169</v>
      </c>
      <c r="G488" s="550" t="s">
        <v>3169</v>
      </c>
      <c r="H488" s="532"/>
    </row>
    <row r="489" ht="14.25" customHeight="1">
      <c r="B489" s="517" t="s">
        <v>2992</v>
      </c>
      <c r="C489" s="41" t="s">
        <v>33</v>
      </c>
      <c r="D489" s="41" t="s">
        <v>33</v>
      </c>
      <c r="E489" s="41" t="s">
        <v>33</v>
      </c>
      <c r="F489" s="41" t="s">
        <v>33</v>
      </c>
      <c r="G489" s="41" t="s">
        <v>33</v>
      </c>
      <c r="H489" s="532"/>
    </row>
    <row r="490" ht="14.25" customHeight="1">
      <c r="B490" s="517" t="s">
        <v>3057</v>
      </c>
      <c r="C490" s="58" t="s">
        <v>3170</v>
      </c>
      <c r="D490" s="51" t="s">
        <v>3170</v>
      </c>
      <c r="E490" s="77"/>
      <c r="F490" s="77"/>
      <c r="G490" s="58"/>
      <c r="H490" s="532"/>
    </row>
    <row r="491" ht="14.25" customHeight="1">
      <c r="A491" s="559"/>
      <c r="B491" s="517" t="s">
        <v>3171</v>
      </c>
      <c r="C491" s="41" t="s">
        <v>33</v>
      </c>
      <c r="D491" s="41" t="s">
        <v>33</v>
      </c>
      <c r="E491" s="69" t="s">
        <v>3172</v>
      </c>
      <c r="F491" s="57" t="s">
        <v>3157</v>
      </c>
      <c r="G491" s="550" t="s">
        <v>3161</v>
      </c>
      <c r="H491" s="532"/>
    </row>
    <row r="492" ht="14.25" customHeight="1">
      <c r="A492" s="499" t="s">
        <v>2436</v>
      </c>
      <c r="B492" s="500" t="s">
        <v>3173</v>
      </c>
      <c r="C492" s="550" t="s">
        <v>3154</v>
      </c>
      <c r="D492" s="536" t="s">
        <v>1564</v>
      </c>
      <c r="E492" s="94" t="s">
        <v>3156</v>
      </c>
      <c r="F492" s="19" t="s">
        <v>3174</v>
      </c>
      <c r="G492" s="551" t="s">
        <v>2663</v>
      </c>
      <c r="H492" s="532"/>
    </row>
    <row r="493" ht="14.25" customHeight="1">
      <c r="A493" s="479" t="s">
        <v>2304</v>
      </c>
      <c r="B493" s="246" t="s">
        <v>42</v>
      </c>
      <c r="C493" s="99" t="s">
        <v>3147</v>
      </c>
      <c r="D493" s="99" t="s">
        <v>3147</v>
      </c>
      <c r="E493" s="99" t="s">
        <v>3147</v>
      </c>
      <c r="F493" s="167" t="s">
        <v>3147</v>
      </c>
      <c r="G493" s="167" t="s">
        <v>3147</v>
      </c>
      <c r="H493" s="532"/>
    </row>
    <row r="494" ht="14.25" customHeight="1">
      <c r="A494" s="471"/>
      <c r="B494" s="249" t="s">
        <v>2835</v>
      </c>
      <c r="C494" s="52" t="s">
        <v>3000</v>
      </c>
      <c r="D494" s="52" t="s">
        <v>3000</v>
      </c>
      <c r="E494" s="52" t="s">
        <v>3000</v>
      </c>
      <c r="F494" s="52" t="s">
        <v>3000</v>
      </c>
      <c r="G494" s="52" t="s">
        <v>3000</v>
      </c>
      <c r="H494" s="487"/>
      <c r="J494" s="1"/>
    </row>
    <row r="495" ht="14.25" customHeight="1">
      <c r="A495" s="474"/>
      <c r="B495" s="249" t="s">
        <v>2837</v>
      </c>
      <c r="C495" s="99" t="s">
        <v>3147</v>
      </c>
      <c r="D495" s="99" t="s">
        <v>3147</v>
      </c>
      <c r="E495" s="99" t="s">
        <v>3147</v>
      </c>
      <c r="F495" s="167" t="s">
        <v>3147</v>
      </c>
      <c r="G495" s="167" t="s">
        <v>3147</v>
      </c>
      <c r="H495" s="487"/>
    </row>
    <row r="496" ht="14.25" customHeight="1"/>
    <row r="497" ht="14.25" customHeight="1">
      <c r="C497" s="601" t="s">
        <v>3119</v>
      </c>
    </row>
    <row r="498" ht="14.25" customHeight="1">
      <c r="B498" s="484" t="s">
        <v>1</v>
      </c>
      <c r="C498" s="237" t="s">
        <v>25</v>
      </c>
      <c r="D498" s="237" t="s">
        <v>789</v>
      </c>
      <c r="E498" s="234" t="s">
        <v>27</v>
      </c>
      <c r="F498" s="234" t="s">
        <v>2</v>
      </c>
      <c r="G498" s="234" t="s">
        <v>3</v>
      </c>
      <c r="H498" s="595" t="s">
        <v>790</v>
      </c>
    </row>
    <row r="499" ht="14.25" customHeight="1">
      <c r="B499" s="9"/>
      <c r="C499" s="239" t="s">
        <v>3175</v>
      </c>
      <c r="D499" s="239" t="s">
        <v>3176</v>
      </c>
      <c r="E499" s="239" t="s">
        <v>3177</v>
      </c>
      <c r="F499" s="239" t="s">
        <v>3178</v>
      </c>
      <c r="G499" s="239" t="s">
        <v>3179</v>
      </c>
      <c r="H499" s="239" t="s">
        <v>3180</v>
      </c>
    </row>
    <row r="500" ht="14.25" customHeight="1">
      <c r="A500" s="485" t="s">
        <v>2236</v>
      </c>
      <c r="B500" s="240" t="s">
        <v>6</v>
      </c>
      <c r="C500" s="548" t="s">
        <v>3181</v>
      </c>
      <c r="D500" s="51" t="s">
        <v>3182</v>
      </c>
      <c r="E500" s="547" t="s">
        <v>3183</v>
      </c>
      <c r="F500" s="138" t="s">
        <v>3184</v>
      </c>
      <c r="G500" s="51"/>
      <c r="H500" s="487"/>
    </row>
    <row r="501" ht="14.25" customHeight="1">
      <c r="A501" s="471"/>
      <c r="B501" s="242" t="s">
        <v>8</v>
      </c>
      <c r="C501" s="550" t="s">
        <v>3185</v>
      </c>
      <c r="D501" s="64" t="s">
        <v>3186</v>
      </c>
      <c r="E501" s="19" t="s">
        <v>3187</v>
      </c>
      <c r="F501" s="64" t="s">
        <v>3188</v>
      </c>
      <c r="G501" s="52" t="s">
        <v>3189</v>
      </c>
      <c r="H501" s="532"/>
    </row>
    <row r="502" ht="14.25" customHeight="1">
      <c r="A502" s="471"/>
      <c r="B502" s="243" t="s">
        <v>10</v>
      </c>
      <c r="C502" s="546" t="s">
        <v>3102</v>
      </c>
      <c r="D502" s="546" t="s">
        <v>3102</v>
      </c>
      <c r="E502" s="546" t="s">
        <v>3102</v>
      </c>
      <c r="F502" s="208" t="s">
        <v>3102</v>
      </c>
      <c r="G502" s="51" t="s">
        <v>33</v>
      </c>
      <c r="H502" s="532"/>
    </row>
    <row r="503" ht="14.25" customHeight="1">
      <c r="A503" s="474"/>
      <c r="B503" s="493" t="s">
        <v>3134</v>
      </c>
      <c r="C503" s="14"/>
      <c r="D503" s="14"/>
      <c r="E503" s="14"/>
      <c r="F503" s="14"/>
      <c r="G503" s="14"/>
      <c r="H503" s="532"/>
    </row>
    <row r="504" ht="14.25" customHeight="1">
      <c r="A504" s="559"/>
      <c r="B504" s="517" t="s">
        <v>14</v>
      </c>
      <c r="C504" s="15" t="s">
        <v>3190</v>
      </c>
      <c r="D504" s="607" t="s">
        <v>3191</v>
      </c>
      <c r="E504" s="52" t="s">
        <v>3192</v>
      </c>
      <c r="F504" s="94" t="s">
        <v>3193</v>
      </c>
      <c r="G504" s="510" t="s">
        <v>3194</v>
      </c>
      <c r="H504" s="532"/>
    </row>
    <row r="505" ht="14.25" customHeight="1">
      <c r="B505" s="517" t="s">
        <v>2862</v>
      </c>
      <c r="C505" s="550" t="s">
        <v>3169</v>
      </c>
      <c r="D505" s="607" t="s">
        <v>3191</v>
      </c>
      <c r="E505" s="52" t="s">
        <v>3192</v>
      </c>
      <c r="F505" s="52" t="s">
        <v>3184</v>
      </c>
      <c r="G505" s="52" t="s">
        <v>3189</v>
      </c>
      <c r="H505" s="532"/>
    </row>
    <row r="506" ht="14.25" customHeight="1">
      <c r="B506" s="517" t="s">
        <v>3057</v>
      </c>
      <c r="C506" s="14" t="s">
        <v>3195</v>
      </c>
      <c r="D506" s="14" t="s">
        <v>3195</v>
      </c>
      <c r="E506" s="14" t="s">
        <v>3195</v>
      </c>
      <c r="F506" s="14" t="s">
        <v>3195</v>
      </c>
      <c r="G506" s="14" t="s">
        <v>3195</v>
      </c>
      <c r="H506" s="532"/>
      <c r="J506" s="139"/>
    </row>
    <row r="507" ht="14.25" customHeight="1">
      <c r="A507" s="559"/>
      <c r="B507" s="517" t="s">
        <v>3171</v>
      </c>
      <c r="C507" s="550" t="s">
        <v>3185</v>
      </c>
      <c r="D507" s="64" t="s">
        <v>3186</v>
      </c>
      <c r="E507" s="549" t="s">
        <v>3183</v>
      </c>
      <c r="F507" s="64" t="s">
        <v>3188</v>
      </c>
      <c r="G507" s="109" t="s">
        <v>33</v>
      </c>
      <c r="H507" s="532"/>
      <c r="J507" s="1"/>
    </row>
    <row r="508" ht="14.25" customHeight="1">
      <c r="A508" s="499" t="s">
        <v>2436</v>
      </c>
      <c r="B508" s="500" t="s">
        <v>2252</v>
      </c>
      <c r="C508" s="109" t="s">
        <v>33</v>
      </c>
      <c r="D508" s="109" t="s">
        <v>33</v>
      </c>
      <c r="E508" s="109" t="s">
        <v>33</v>
      </c>
      <c r="F508" s="109" t="s">
        <v>33</v>
      </c>
      <c r="G508" s="109" t="s">
        <v>33</v>
      </c>
      <c r="H508" s="532"/>
    </row>
    <row r="509" ht="14.25" customHeight="1">
      <c r="A509" s="479" t="s">
        <v>2304</v>
      </c>
      <c r="B509" s="246" t="s">
        <v>42</v>
      </c>
      <c r="C509" s="99" t="s">
        <v>3147</v>
      </c>
      <c r="D509" s="99" t="s">
        <v>3147</v>
      </c>
      <c r="E509" s="99" t="s">
        <v>3147</v>
      </c>
      <c r="F509" s="167" t="s">
        <v>3147</v>
      </c>
      <c r="G509" s="167" t="s">
        <v>3147</v>
      </c>
      <c r="H509" s="532"/>
    </row>
    <row r="510" ht="14.25" customHeight="1">
      <c r="A510" s="471"/>
      <c r="B510" s="249" t="s">
        <v>2835</v>
      </c>
      <c r="C510" s="52" t="s">
        <v>3000</v>
      </c>
      <c r="D510" s="52" t="s">
        <v>3000</v>
      </c>
      <c r="E510" s="52" t="s">
        <v>3000</v>
      </c>
      <c r="F510" s="52" t="s">
        <v>3000</v>
      </c>
      <c r="G510" s="52" t="s">
        <v>3000</v>
      </c>
      <c r="H510" s="487"/>
    </row>
    <row r="511" ht="14.25" customHeight="1">
      <c r="A511" s="474"/>
      <c r="B511" s="249" t="s">
        <v>3196</v>
      </c>
      <c r="C511" s="99" t="s">
        <v>3147</v>
      </c>
      <c r="D511" s="99" t="s">
        <v>3147</v>
      </c>
      <c r="E511" s="99" t="s">
        <v>3147</v>
      </c>
      <c r="F511" s="568" t="s">
        <v>3197</v>
      </c>
      <c r="G511" s="568" t="s">
        <v>3197</v>
      </c>
      <c r="H511" s="487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608" t="s">
        <v>3119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609" t="s">
        <v>1</v>
      </c>
      <c r="C515" s="610" t="s">
        <v>25</v>
      </c>
      <c r="D515" s="610" t="s">
        <v>789</v>
      </c>
      <c r="E515" s="611" t="s">
        <v>27</v>
      </c>
      <c r="F515" s="611" t="s">
        <v>2</v>
      </c>
      <c r="G515" s="611" t="s">
        <v>3</v>
      </c>
      <c r="H515" s="612" t="s">
        <v>790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9"/>
      <c r="C516" s="613" t="s">
        <v>3198</v>
      </c>
      <c r="D516" s="613" t="s">
        <v>3199</v>
      </c>
      <c r="E516" s="613" t="s">
        <v>3200</v>
      </c>
      <c r="F516" s="613" t="s">
        <v>3201</v>
      </c>
      <c r="G516" s="613" t="s">
        <v>3202</v>
      </c>
      <c r="H516" s="613" t="s">
        <v>3203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614" t="s">
        <v>2236</v>
      </c>
      <c r="B517" s="240" t="s">
        <v>6</v>
      </c>
      <c r="C517" s="615" t="s">
        <v>3000</v>
      </c>
      <c r="D517" s="615" t="s">
        <v>3000</v>
      </c>
      <c r="E517" s="615" t="s">
        <v>3000</v>
      </c>
      <c r="F517" s="615" t="s">
        <v>3000</v>
      </c>
      <c r="G517" s="615" t="s">
        <v>3000</v>
      </c>
      <c r="H517" s="616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471"/>
      <c r="B518" s="242" t="s">
        <v>8</v>
      </c>
      <c r="C518" s="615" t="s">
        <v>3204</v>
      </c>
      <c r="D518" s="617" t="s">
        <v>622</v>
      </c>
      <c r="E518" s="618" t="s">
        <v>3205</v>
      </c>
      <c r="F518" s="619" t="s">
        <v>3206</v>
      </c>
      <c r="G518" s="620" t="s">
        <v>3207</v>
      </c>
      <c r="H518" s="62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471"/>
      <c r="B519" s="243" t="s">
        <v>10</v>
      </c>
      <c r="C519" s="615" t="s">
        <v>3208</v>
      </c>
      <c r="D519" s="615" t="s">
        <v>3208</v>
      </c>
      <c r="E519" s="615" t="s">
        <v>3208</v>
      </c>
      <c r="F519" s="615" t="s">
        <v>3208</v>
      </c>
      <c r="G519" s="615" t="s">
        <v>3208</v>
      </c>
      <c r="H519" s="62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474"/>
      <c r="B520" s="493" t="s">
        <v>3134</v>
      </c>
      <c r="C520" s="622"/>
      <c r="D520" s="622"/>
      <c r="E520" s="2"/>
      <c r="F520" s="2"/>
      <c r="G520" s="622"/>
      <c r="H520" s="62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623"/>
      <c r="B521" s="517" t="s">
        <v>14</v>
      </c>
      <c r="C521" s="620" t="s">
        <v>3209</v>
      </c>
      <c r="D521" s="624" t="s">
        <v>3210</v>
      </c>
      <c r="E521" s="615" t="s">
        <v>3211</v>
      </c>
      <c r="F521" s="625" t="s">
        <v>3212</v>
      </c>
      <c r="G521" s="625" t="s">
        <v>3213</v>
      </c>
      <c r="H521" s="62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517" t="s">
        <v>2862</v>
      </c>
      <c r="C522" s="626" t="s">
        <v>33</v>
      </c>
      <c r="D522" s="626" t="s">
        <v>33</v>
      </c>
      <c r="E522" s="626" t="s">
        <v>33</v>
      </c>
      <c r="F522" s="626" t="s">
        <v>33</v>
      </c>
      <c r="G522" s="626" t="s">
        <v>33</v>
      </c>
      <c r="H522" s="62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517" t="s">
        <v>3057</v>
      </c>
      <c r="C523" s="622"/>
      <c r="D523" s="622"/>
      <c r="E523" s="622"/>
      <c r="F523" s="615"/>
      <c r="G523" s="615"/>
      <c r="H523" s="62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623"/>
      <c r="B524" s="517" t="s">
        <v>3214</v>
      </c>
      <c r="C524" s="627" t="s">
        <v>3209</v>
      </c>
      <c r="D524" s="617" t="s">
        <v>3210</v>
      </c>
      <c r="E524" s="628" t="s">
        <v>3205</v>
      </c>
      <c r="F524" s="619" t="s">
        <v>3206</v>
      </c>
      <c r="G524" s="625" t="s">
        <v>3215</v>
      </c>
      <c r="H524" s="621"/>
      <c r="I524" s="2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623"/>
      <c r="B525" s="517" t="s">
        <v>3171</v>
      </c>
      <c r="C525" s="626" t="s">
        <v>33</v>
      </c>
      <c r="D525" s="629" t="s">
        <v>3216</v>
      </c>
      <c r="E525" s="617" t="s">
        <v>3217</v>
      </c>
      <c r="F525" s="625" t="s">
        <v>3212</v>
      </c>
      <c r="G525" s="625" t="s">
        <v>3213</v>
      </c>
      <c r="H525" s="621"/>
      <c r="I525" s="2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630" t="s">
        <v>2436</v>
      </c>
      <c r="B526" s="500" t="s">
        <v>2252</v>
      </c>
      <c r="C526" s="617" t="s">
        <v>3000</v>
      </c>
      <c r="D526" s="617" t="s">
        <v>3000</v>
      </c>
      <c r="E526" s="617" t="s">
        <v>3000</v>
      </c>
      <c r="F526" s="617" t="s">
        <v>3000</v>
      </c>
      <c r="G526" s="617" t="s">
        <v>3000</v>
      </c>
      <c r="H526" s="621"/>
      <c r="I526" s="2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631" t="s">
        <v>2304</v>
      </c>
      <c r="B527" s="246" t="s">
        <v>42</v>
      </c>
      <c r="C527" s="632" t="s">
        <v>3218</v>
      </c>
      <c r="D527" s="632" t="s">
        <v>3147</v>
      </c>
      <c r="E527" s="632" t="s">
        <v>3147</v>
      </c>
      <c r="F527" s="633" t="s">
        <v>3147</v>
      </c>
      <c r="G527" s="633" t="s">
        <v>3147</v>
      </c>
      <c r="H527" s="621"/>
      <c r="I527" s="2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471"/>
      <c r="B528" s="249" t="s">
        <v>2835</v>
      </c>
      <c r="C528" s="634" t="s">
        <v>3000</v>
      </c>
      <c r="D528" s="634" t="s">
        <v>3000</v>
      </c>
      <c r="E528" s="634" t="s">
        <v>3000</v>
      </c>
      <c r="F528" s="634" t="s">
        <v>3000</v>
      </c>
      <c r="G528" s="634" t="s">
        <v>3000</v>
      </c>
      <c r="H528" s="616"/>
      <c r="I528" s="2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474"/>
      <c r="B529" s="249" t="s">
        <v>3219</v>
      </c>
      <c r="C529" s="635" t="s">
        <v>3197</v>
      </c>
      <c r="D529" s="635" t="s">
        <v>3197</v>
      </c>
      <c r="E529" s="635" t="s">
        <v>3197</v>
      </c>
      <c r="F529" s="635" t="s">
        <v>3197</v>
      </c>
      <c r="G529" s="635" t="s">
        <v>3197</v>
      </c>
      <c r="H529" s="616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636" t="s">
        <v>3220</v>
      </c>
      <c r="C530" s="620" t="s">
        <v>3209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8">
        <v>2.508274196E9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8">
        <v>2.508274196E9</v>
      </c>
      <c r="B532" s="609" t="s">
        <v>1</v>
      </c>
      <c r="C532" s="610" t="s">
        <v>25</v>
      </c>
      <c r="D532" s="610" t="s">
        <v>789</v>
      </c>
      <c r="E532" s="611" t="s">
        <v>27</v>
      </c>
      <c r="F532" s="611" t="s">
        <v>2</v>
      </c>
      <c r="G532" s="610" t="s">
        <v>3</v>
      </c>
      <c r="H532" s="612" t="s">
        <v>790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9"/>
      <c r="C533" s="613" t="s">
        <v>3221</v>
      </c>
      <c r="D533" s="613" t="s">
        <v>3222</v>
      </c>
      <c r="E533" s="613" t="s">
        <v>3223</v>
      </c>
      <c r="F533" s="613" t="s">
        <v>3224</v>
      </c>
      <c r="G533" s="613" t="s">
        <v>3225</v>
      </c>
      <c r="H533" s="613" t="s">
        <v>3226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614" t="s">
        <v>2236</v>
      </c>
      <c r="B534" s="242" t="s">
        <v>6</v>
      </c>
      <c r="C534" s="637" t="s">
        <v>3227</v>
      </c>
      <c r="D534" s="638" t="s">
        <v>3228</v>
      </c>
      <c r="E534" s="639" t="s">
        <v>3229</v>
      </c>
      <c r="F534" s="637" t="s">
        <v>2867</v>
      </c>
      <c r="G534" s="640"/>
      <c r="H534" s="616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471"/>
      <c r="B535" s="242" t="s">
        <v>8</v>
      </c>
      <c r="C535" s="641" t="s">
        <v>468</v>
      </c>
      <c r="D535" s="641" t="s">
        <v>468</v>
      </c>
      <c r="E535" s="641" t="s">
        <v>468</v>
      </c>
      <c r="F535" s="641" t="s">
        <v>468</v>
      </c>
      <c r="G535" s="640"/>
      <c r="H535" s="62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471"/>
      <c r="B536" s="243" t="s">
        <v>10</v>
      </c>
      <c r="C536" s="637" t="s">
        <v>430</v>
      </c>
      <c r="D536" s="637" t="s">
        <v>3102</v>
      </c>
      <c r="E536" s="637" t="s">
        <v>3102</v>
      </c>
      <c r="F536" s="637" t="s">
        <v>3102</v>
      </c>
      <c r="G536" s="642"/>
      <c r="H536" s="62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474"/>
      <c r="B537" s="493" t="s">
        <v>3134</v>
      </c>
      <c r="C537" s="622"/>
      <c r="D537" s="622"/>
      <c r="E537" s="622"/>
      <c r="F537" s="622"/>
      <c r="G537" s="643"/>
      <c r="H537" s="62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623"/>
      <c r="B538" s="517" t="s">
        <v>14</v>
      </c>
      <c r="C538" s="644" t="s">
        <v>3230</v>
      </c>
      <c r="D538" s="625" t="s">
        <v>3231</v>
      </c>
      <c r="E538" s="625" t="s">
        <v>3232</v>
      </c>
      <c r="F538" s="645" t="s">
        <v>3233</v>
      </c>
      <c r="G538" s="646"/>
      <c r="H538" s="62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517" t="s">
        <v>2862</v>
      </c>
      <c r="C539" s="647" t="s">
        <v>33</v>
      </c>
      <c r="D539" s="647" t="s">
        <v>33</v>
      </c>
      <c r="E539" s="647" t="s">
        <v>33</v>
      </c>
      <c r="F539" s="647" t="s">
        <v>33</v>
      </c>
      <c r="G539" s="647"/>
      <c r="H539" s="62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517" t="s">
        <v>3057</v>
      </c>
      <c r="C540" s="622"/>
      <c r="D540" s="622"/>
      <c r="E540" s="622"/>
      <c r="F540" s="615"/>
      <c r="G540" s="640"/>
      <c r="H540" s="62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623"/>
      <c r="B541" s="517" t="s">
        <v>3171</v>
      </c>
      <c r="C541" s="644" t="s">
        <v>3230</v>
      </c>
      <c r="D541" s="625" t="s">
        <v>3231</v>
      </c>
      <c r="E541" s="625" t="s">
        <v>3232</v>
      </c>
      <c r="F541" s="645" t="s">
        <v>3234</v>
      </c>
      <c r="G541" s="642"/>
      <c r="H541" s="62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648" t="s">
        <v>2436</v>
      </c>
      <c r="B542" s="500" t="s">
        <v>2252</v>
      </c>
      <c r="C542" s="617" t="s">
        <v>3000</v>
      </c>
      <c r="D542" s="617" t="s">
        <v>3000</v>
      </c>
      <c r="E542" s="617" t="s">
        <v>3000</v>
      </c>
      <c r="F542" s="617" t="s">
        <v>3000</v>
      </c>
      <c r="G542" s="642"/>
      <c r="H542" s="62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631" t="s">
        <v>2304</v>
      </c>
      <c r="B543" s="246" t="s">
        <v>42</v>
      </c>
      <c r="C543" s="632" t="s">
        <v>468</v>
      </c>
      <c r="D543" s="632" t="s">
        <v>468</v>
      </c>
      <c r="E543" s="632" t="s">
        <v>468</v>
      </c>
      <c r="F543" s="632" t="s">
        <v>468</v>
      </c>
      <c r="G543" s="646"/>
      <c r="H543" s="62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471"/>
      <c r="B544" s="249" t="s">
        <v>2835</v>
      </c>
      <c r="C544" s="634" t="s">
        <v>3000</v>
      </c>
      <c r="D544" s="634" t="s">
        <v>3000</v>
      </c>
      <c r="E544" s="634" t="s">
        <v>3000</v>
      </c>
      <c r="F544" s="634" t="s">
        <v>3000</v>
      </c>
      <c r="G544" s="643"/>
      <c r="H544" s="616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474"/>
      <c r="B545" s="249" t="s">
        <v>3219</v>
      </c>
      <c r="C545" s="635" t="s">
        <v>3197</v>
      </c>
      <c r="D545" s="635" t="s">
        <v>3197</v>
      </c>
      <c r="E545" s="635" t="s">
        <v>3197</v>
      </c>
      <c r="F545" s="635" t="s">
        <v>3197</v>
      </c>
      <c r="G545" s="649"/>
      <c r="H545" s="616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609" t="s">
        <v>1</v>
      </c>
      <c r="C547" s="610" t="s">
        <v>25</v>
      </c>
      <c r="D547" s="610" t="s">
        <v>789</v>
      </c>
      <c r="E547" s="611" t="s">
        <v>27</v>
      </c>
      <c r="F547" s="611" t="s">
        <v>2</v>
      </c>
      <c r="G547" s="610" t="s">
        <v>3</v>
      </c>
      <c r="H547" s="612" t="s">
        <v>790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9"/>
      <c r="C548" s="613" t="s">
        <v>3235</v>
      </c>
      <c r="D548" s="613" t="s">
        <v>3236</v>
      </c>
      <c r="E548" s="613" t="s">
        <v>3237</v>
      </c>
      <c r="F548" s="613" t="s">
        <v>3238</v>
      </c>
      <c r="G548" s="613" t="s">
        <v>3239</v>
      </c>
      <c r="H548" s="613" t="s">
        <v>3240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614" t="s">
        <v>2236</v>
      </c>
      <c r="B549" s="242" t="s">
        <v>6</v>
      </c>
      <c r="C549" s="650" t="s">
        <v>3241</v>
      </c>
      <c r="D549" s="651" t="s">
        <v>1622</v>
      </c>
      <c r="E549" s="626" t="s">
        <v>220</v>
      </c>
      <c r="F549" s="652" t="s">
        <v>3242</v>
      </c>
      <c r="G549" s="629" t="s">
        <v>3243</v>
      </c>
      <c r="H549" s="616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471"/>
      <c r="B550" s="242" t="s">
        <v>8</v>
      </c>
      <c r="C550" s="641" t="s">
        <v>468</v>
      </c>
      <c r="D550" s="641" t="s">
        <v>468</v>
      </c>
      <c r="E550" s="641" t="s">
        <v>468</v>
      </c>
      <c r="F550" s="641" t="s">
        <v>468</v>
      </c>
      <c r="G550" s="641" t="s">
        <v>468</v>
      </c>
      <c r="H550" s="621"/>
      <c r="I550" s="2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471"/>
      <c r="B551" s="243" t="s">
        <v>10</v>
      </c>
      <c r="C551" s="637" t="s">
        <v>3102</v>
      </c>
      <c r="D551" s="637" t="s">
        <v>3102</v>
      </c>
      <c r="E551" s="638" t="s">
        <v>3244</v>
      </c>
      <c r="F551" s="638" t="s">
        <v>3244</v>
      </c>
      <c r="G551" s="638" t="s">
        <v>3244</v>
      </c>
      <c r="H551" s="62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474"/>
      <c r="B552" s="493" t="s">
        <v>3134</v>
      </c>
      <c r="C552" s="622" t="s">
        <v>3245</v>
      </c>
      <c r="D552" s="622"/>
      <c r="E552" s="622"/>
      <c r="F552" s="622"/>
      <c r="G552" s="622"/>
      <c r="H552" s="62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623"/>
      <c r="B553" s="517" t="s">
        <v>14</v>
      </c>
      <c r="C553" s="29" t="s">
        <v>220</v>
      </c>
      <c r="D553" s="29" t="s">
        <v>220</v>
      </c>
      <c r="E553" s="29" t="s">
        <v>220</v>
      </c>
      <c r="F553" s="29" t="s">
        <v>220</v>
      </c>
      <c r="G553" s="29" t="s">
        <v>220</v>
      </c>
      <c r="H553" s="62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517" t="s">
        <v>3057</v>
      </c>
      <c r="C554" s="622"/>
      <c r="D554" s="622"/>
      <c r="E554" s="622"/>
      <c r="F554" s="615"/>
      <c r="G554" s="615"/>
      <c r="H554" s="62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623"/>
      <c r="B555" s="517" t="s">
        <v>3171</v>
      </c>
      <c r="C555" s="653" t="s">
        <v>3246</v>
      </c>
      <c r="D555" s="629" t="s">
        <v>3247</v>
      </c>
      <c r="E555" s="652" t="s">
        <v>3242</v>
      </c>
      <c r="F555" s="654" t="s">
        <v>3248</v>
      </c>
      <c r="G555" s="654" t="s">
        <v>3248</v>
      </c>
      <c r="H555" s="62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648" t="s">
        <v>2436</v>
      </c>
      <c r="B556" s="500" t="s">
        <v>2252</v>
      </c>
      <c r="C556" s="655" t="s">
        <v>3249</v>
      </c>
      <c r="D556" s="651" t="s">
        <v>1622</v>
      </c>
      <c r="E556" s="626" t="s">
        <v>220</v>
      </c>
      <c r="F556" s="655" t="s">
        <v>3249</v>
      </c>
      <c r="G556" s="629" t="s">
        <v>3243</v>
      </c>
      <c r="H556" s="62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631" t="s">
        <v>2304</v>
      </c>
      <c r="B557" s="246" t="s">
        <v>3250</v>
      </c>
      <c r="C557" s="656" t="s">
        <v>3251</v>
      </c>
      <c r="D557" s="657" t="s">
        <v>3244</v>
      </c>
      <c r="E557" s="657" t="s">
        <v>3244</v>
      </c>
      <c r="F557" s="657" t="s">
        <v>3244</v>
      </c>
      <c r="G557" s="657" t="s">
        <v>3244</v>
      </c>
      <c r="H557" s="62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471"/>
      <c r="B558" s="249" t="s">
        <v>2835</v>
      </c>
      <c r="C558" s="634" t="s">
        <v>3252</v>
      </c>
      <c r="D558" s="634" t="s">
        <v>3000</v>
      </c>
      <c r="E558" s="634" t="s">
        <v>3253</v>
      </c>
      <c r="F558" s="634" t="s">
        <v>3253</v>
      </c>
      <c r="G558" s="634" t="s">
        <v>3253</v>
      </c>
      <c r="H558" s="616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474"/>
      <c r="B559" s="249" t="s">
        <v>3219</v>
      </c>
      <c r="C559" s="635" t="s">
        <v>3197</v>
      </c>
      <c r="D559" s="635" t="s">
        <v>3197</v>
      </c>
      <c r="E559" s="635" t="s">
        <v>3197</v>
      </c>
      <c r="F559" s="635" t="s">
        <v>3197</v>
      </c>
      <c r="G559" s="635" t="s">
        <v>3197</v>
      </c>
      <c r="H559" s="616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609" t="s">
        <v>1</v>
      </c>
      <c r="C561" s="610" t="s">
        <v>25</v>
      </c>
      <c r="D561" s="610" t="s">
        <v>789</v>
      </c>
      <c r="E561" s="611" t="s">
        <v>27</v>
      </c>
      <c r="F561" s="610" t="s">
        <v>2</v>
      </c>
      <c r="G561" s="610" t="s">
        <v>3</v>
      </c>
      <c r="H561" s="612" t="s">
        <v>790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9"/>
      <c r="C562" s="613" t="s">
        <v>3254</v>
      </c>
      <c r="D562" s="613" t="s">
        <v>3255</v>
      </c>
      <c r="E562" s="613" t="s">
        <v>3256</v>
      </c>
      <c r="F562" s="613" t="s">
        <v>3257</v>
      </c>
      <c r="G562" s="613" t="s">
        <v>3258</v>
      </c>
      <c r="H562" s="613" t="s">
        <v>3259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614" t="s">
        <v>2236</v>
      </c>
      <c r="B563" s="242" t="s">
        <v>6</v>
      </c>
      <c r="C563" s="651" t="s">
        <v>3260</v>
      </c>
      <c r="D563" s="653" t="s">
        <v>3261</v>
      </c>
      <c r="E563" s="658" t="s">
        <v>177</v>
      </c>
      <c r="F563" s="659" t="s">
        <v>3262</v>
      </c>
      <c r="G563" s="660" t="s">
        <v>3263</v>
      </c>
      <c r="H563" s="616"/>
      <c r="I563" s="2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471"/>
      <c r="B564" s="242" t="s">
        <v>8</v>
      </c>
      <c r="C564" s="641" t="s">
        <v>468</v>
      </c>
      <c r="D564" s="641" t="s">
        <v>3264</v>
      </c>
      <c r="E564" s="641" t="s">
        <v>468</v>
      </c>
      <c r="F564" s="641" t="s">
        <v>468</v>
      </c>
      <c r="G564" s="641" t="s">
        <v>468</v>
      </c>
      <c r="H564" s="62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471"/>
      <c r="B565" s="243" t="s">
        <v>10</v>
      </c>
      <c r="C565" s="638" t="s">
        <v>3265</v>
      </c>
      <c r="D565" s="638" t="s">
        <v>3265</v>
      </c>
      <c r="E565" s="638" t="s">
        <v>3265</v>
      </c>
      <c r="F565" s="638" t="s">
        <v>3265</v>
      </c>
      <c r="G565" s="661" t="s">
        <v>3266</v>
      </c>
      <c r="H565" s="62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474"/>
      <c r="B566" s="493" t="s">
        <v>3267</v>
      </c>
      <c r="C566" s="622"/>
      <c r="D566" s="662" t="s">
        <v>3268</v>
      </c>
      <c r="E566" s="2"/>
      <c r="F566" s="622"/>
      <c r="G566" s="622"/>
      <c r="H566" s="62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623"/>
      <c r="B567" s="517" t="s">
        <v>14</v>
      </c>
      <c r="C567" s="663" t="s">
        <v>3269</v>
      </c>
      <c r="D567" s="641" t="s">
        <v>3270</v>
      </c>
      <c r="E567" s="664" t="s">
        <v>3271</v>
      </c>
      <c r="F567" s="644" t="s">
        <v>3272</v>
      </c>
      <c r="G567" s="617" t="s">
        <v>3273</v>
      </c>
      <c r="H567" s="62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517" t="s">
        <v>3057</v>
      </c>
      <c r="C568" s="622"/>
      <c r="D568" s="622"/>
      <c r="E568" s="622"/>
      <c r="F568" s="615"/>
      <c r="G568" s="615"/>
      <c r="H568" s="621"/>
      <c r="I568" s="2"/>
      <c r="J568" s="2"/>
      <c r="K568" s="8" t="s">
        <v>0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623"/>
      <c r="B569" s="517" t="s">
        <v>3171</v>
      </c>
      <c r="C569" s="663" t="s">
        <v>3269</v>
      </c>
      <c r="D569" s="653" t="s">
        <v>3261</v>
      </c>
      <c r="E569" s="644" t="s">
        <v>3272</v>
      </c>
      <c r="F569" s="659" t="s">
        <v>3274</v>
      </c>
      <c r="G569" s="663" t="s">
        <v>3269</v>
      </c>
      <c r="H569" s="62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648" t="s">
        <v>2436</v>
      </c>
      <c r="B570" s="500" t="s">
        <v>2252</v>
      </c>
      <c r="C570" s="651" t="s">
        <v>3260</v>
      </c>
      <c r="D570" s="662" t="s">
        <v>3268</v>
      </c>
      <c r="E570" s="665" t="s">
        <v>3275</v>
      </c>
      <c r="F570" s="617" t="s">
        <v>3273</v>
      </c>
      <c r="G570" s="625" t="s">
        <v>3276</v>
      </c>
      <c r="H570" s="62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631" t="s">
        <v>2304</v>
      </c>
      <c r="B571" s="246" t="s">
        <v>42</v>
      </c>
      <c r="C571" s="632" t="s">
        <v>468</v>
      </c>
      <c r="D571" s="632" t="s">
        <v>468</v>
      </c>
      <c r="E571" s="632" t="s">
        <v>468</v>
      </c>
      <c r="F571" s="632" t="s">
        <v>468</v>
      </c>
      <c r="G571" s="632" t="s">
        <v>468</v>
      </c>
      <c r="H571" s="62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471"/>
      <c r="B572" s="249" t="s">
        <v>2835</v>
      </c>
      <c r="C572" s="634" t="s">
        <v>3277</v>
      </c>
      <c r="D572" s="634" t="s">
        <v>3277</v>
      </c>
      <c r="E572" s="634" t="s">
        <v>3277</v>
      </c>
      <c r="F572" s="634" t="s">
        <v>3277</v>
      </c>
      <c r="G572" s="634" t="s">
        <v>3277</v>
      </c>
      <c r="H572" s="616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474"/>
      <c r="B573" s="249" t="s">
        <v>3219</v>
      </c>
      <c r="C573" s="635" t="s">
        <v>3197</v>
      </c>
      <c r="D573" s="635" t="s">
        <v>3197</v>
      </c>
      <c r="E573" s="635" t="s">
        <v>3197</v>
      </c>
      <c r="F573" s="635" t="s">
        <v>3197</v>
      </c>
      <c r="G573" s="635" t="s">
        <v>3197</v>
      </c>
      <c r="H573" s="616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609" t="s">
        <v>1</v>
      </c>
      <c r="C576" s="610" t="s">
        <v>25</v>
      </c>
      <c r="D576" s="610" t="s">
        <v>789</v>
      </c>
      <c r="E576" s="611" t="s">
        <v>27</v>
      </c>
      <c r="F576" s="610" t="s">
        <v>2</v>
      </c>
      <c r="G576" s="610" t="s">
        <v>3</v>
      </c>
      <c r="H576" s="612" t="s">
        <v>790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9"/>
      <c r="C577" s="613" t="s">
        <v>3278</v>
      </c>
      <c r="D577" s="613" t="s">
        <v>3279</v>
      </c>
      <c r="E577" s="613" t="s">
        <v>3280</v>
      </c>
      <c r="F577" s="613" t="s">
        <v>3281</v>
      </c>
      <c r="G577" s="613" t="s">
        <v>3282</v>
      </c>
      <c r="H577" s="613" t="s">
        <v>3283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614" t="s">
        <v>2236</v>
      </c>
      <c r="B578" s="242" t="s">
        <v>6</v>
      </c>
      <c r="C578" s="666" t="s">
        <v>3284</v>
      </c>
      <c r="D578" s="666" t="s">
        <v>3284</v>
      </c>
      <c r="E578" s="666" t="s">
        <v>3284</v>
      </c>
      <c r="F578" s="666" t="s">
        <v>3284</v>
      </c>
      <c r="G578" s="666" t="s">
        <v>3284</v>
      </c>
      <c r="H578" s="616"/>
      <c r="I578" s="2"/>
      <c r="J578" s="61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471"/>
      <c r="B579" s="242" t="s">
        <v>8</v>
      </c>
      <c r="C579" s="641" t="s">
        <v>468</v>
      </c>
      <c r="D579" s="641" t="s">
        <v>468</v>
      </c>
      <c r="E579" s="641" t="s">
        <v>468</v>
      </c>
      <c r="F579" s="641" t="s">
        <v>468</v>
      </c>
      <c r="G579" s="641" t="s">
        <v>468</v>
      </c>
      <c r="H579" s="621"/>
      <c r="I579" s="2"/>
      <c r="J579" s="617" t="s">
        <v>3285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471"/>
      <c r="B580" s="243" t="s">
        <v>10</v>
      </c>
      <c r="C580" s="641" t="s">
        <v>468</v>
      </c>
      <c r="D580" s="641" t="s">
        <v>468</v>
      </c>
      <c r="E580" s="634" t="s">
        <v>3000</v>
      </c>
      <c r="F580" s="634" t="s">
        <v>3000</v>
      </c>
      <c r="G580" s="634" t="s">
        <v>3000</v>
      </c>
      <c r="H580" s="62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474"/>
      <c r="B581" s="493" t="s">
        <v>3286</v>
      </c>
      <c r="C581" s="666" t="s">
        <v>3284</v>
      </c>
      <c r="D581" s="666" t="s">
        <v>3284</v>
      </c>
      <c r="E581" s="667"/>
      <c r="F581" s="622"/>
      <c r="G581" s="622"/>
      <c r="H581" s="621"/>
      <c r="I581" s="2"/>
      <c r="J581" s="29" t="s">
        <v>141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623"/>
      <c r="B582" s="517" t="s">
        <v>14</v>
      </c>
      <c r="C582" s="668" t="s">
        <v>3287</v>
      </c>
      <c r="D582" s="669" t="s">
        <v>3288</v>
      </c>
      <c r="E582" s="664" t="s">
        <v>3289</v>
      </c>
      <c r="F582" s="670" t="s">
        <v>3290</v>
      </c>
      <c r="G582" s="657" t="s">
        <v>3291</v>
      </c>
      <c r="H582" s="621"/>
      <c r="I582" s="2"/>
      <c r="J582" s="641" t="s">
        <v>145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623"/>
      <c r="B583" s="517" t="s">
        <v>3171</v>
      </c>
      <c r="C583" s="664" t="s">
        <v>3289</v>
      </c>
      <c r="D583" s="669" t="s">
        <v>3288</v>
      </c>
      <c r="E583" s="671" t="s">
        <v>3292</v>
      </c>
      <c r="F583" s="672" t="s">
        <v>3293</v>
      </c>
      <c r="G583" s="629" t="s">
        <v>3294</v>
      </c>
      <c r="H583" s="621"/>
      <c r="I583" s="2"/>
      <c r="J583" s="644" t="s">
        <v>149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648" t="s">
        <v>2436</v>
      </c>
      <c r="B584" s="500" t="s">
        <v>2252</v>
      </c>
      <c r="C584" s="625" t="s">
        <v>3276</v>
      </c>
      <c r="D584" s="625" t="s">
        <v>3276</v>
      </c>
      <c r="E584" s="625" t="s">
        <v>3276</v>
      </c>
      <c r="F584" s="625" t="s">
        <v>3276</v>
      </c>
      <c r="G584" s="625" t="s">
        <v>3276</v>
      </c>
      <c r="H584" s="621"/>
      <c r="I584" s="2"/>
      <c r="J584" s="650" t="s">
        <v>153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631" t="s">
        <v>2304</v>
      </c>
      <c r="B585" s="246" t="s">
        <v>42</v>
      </c>
      <c r="C585" s="632" t="s">
        <v>468</v>
      </c>
      <c r="D585" s="632" t="s">
        <v>468</v>
      </c>
      <c r="E585" s="632" t="s">
        <v>468</v>
      </c>
      <c r="F585" s="632" t="s">
        <v>468</v>
      </c>
      <c r="G585" s="632" t="s">
        <v>468</v>
      </c>
      <c r="H585" s="621"/>
      <c r="I585" s="2"/>
      <c r="J585" s="673" t="s">
        <v>154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471"/>
      <c r="B586" s="249" t="s">
        <v>3295</v>
      </c>
      <c r="C586" s="634" t="s">
        <v>3000</v>
      </c>
      <c r="D586" s="634" t="s">
        <v>3000</v>
      </c>
      <c r="E586" s="634" t="s">
        <v>3000</v>
      </c>
      <c r="F586" s="634" t="s">
        <v>3000</v>
      </c>
      <c r="G586" s="634" t="s">
        <v>3000</v>
      </c>
      <c r="H586" s="616"/>
      <c r="I586" s="2"/>
      <c r="J586" s="674" t="s">
        <v>155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471"/>
      <c r="B587" s="249" t="s">
        <v>3296</v>
      </c>
      <c r="C587" s="675" t="s">
        <v>3276</v>
      </c>
      <c r="D587" s="675" t="s">
        <v>3276</v>
      </c>
      <c r="E587" s="675" t="s">
        <v>3276</v>
      </c>
      <c r="F587" s="675" t="s">
        <v>3276</v>
      </c>
      <c r="G587" s="675" t="s">
        <v>3276</v>
      </c>
      <c r="H587" s="616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474"/>
      <c r="B588" s="249" t="s">
        <v>3219</v>
      </c>
      <c r="C588" s="635" t="s">
        <v>3197</v>
      </c>
      <c r="D588" s="635" t="s">
        <v>3197</v>
      </c>
      <c r="E588" s="635" t="s">
        <v>3197</v>
      </c>
      <c r="F588" s="635" t="s">
        <v>3197</v>
      </c>
      <c r="G588" s="635" t="s">
        <v>3197</v>
      </c>
      <c r="H588" s="616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609" t="s">
        <v>1</v>
      </c>
      <c r="C591" s="610" t="s">
        <v>25</v>
      </c>
      <c r="D591" s="610" t="s">
        <v>789</v>
      </c>
      <c r="E591" s="611" t="s">
        <v>27</v>
      </c>
      <c r="F591" s="610" t="s">
        <v>2</v>
      </c>
      <c r="G591" s="610" t="s">
        <v>3</v>
      </c>
      <c r="H591" s="612" t="s">
        <v>790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9"/>
      <c r="C592" s="613" t="s">
        <v>3297</v>
      </c>
      <c r="D592" s="613" t="s">
        <v>3298</v>
      </c>
      <c r="E592" s="613" t="s">
        <v>3299</v>
      </c>
      <c r="F592" s="613" t="s">
        <v>3300</v>
      </c>
      <c r="G592" s="613" t="s">
        <v>3301</v>
      </c>
      <c r="H592" s="613" t="s">
        <v>3302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614" t="s">
        <v>2236</v>
      </c>
      <c r="B593" s="242" t="s">
        <v>6</v>
      </c>
      <c r="C593" s="676" t="s">
        <v>3284</v>
      </c>
      <c r="D593" s="45" t="s">
        <v>3303</v>
      </c>
      <c r="E593" s="676" t="s">
        <v>3304</v>
      </c>
      <c r="F593" s="676" t="s">
        <v>3284</v>
      </c>
      <c r="G593" s="676" t="s">
        <v>3284</v>
      </c>
      <c r="H593" s="616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471"/>
      <c r="B594" s="242" t="s">
        <v>8</v>
      </c>
      <c r="C594" s="108" t="s">
        <v>3305</v>
      </c>
      <c r="D594" s="99" t="s">
        <v>468</v>
      </c>
      <c r="E594" s="99" t="s">
        <v>468</v>
      </c>
      <c r="F594" s="99" t="s">
        <v>468</v>
      </c>
      <c r="G594" s="626" t="s">
        <v>3306</v>
      </c>
      <c r="H594" s="621"/>
      <c r="I594" s="2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471"/>
      <c r="B595" s="243" t="s">
        <v>10</v>
      </c>
      <c r="C595" s="52" t="s">
        <v>3000</v>
      </c>
      <c r="D595" s="52" t="s">
        <v>3000</v>
      </c>
      <c r="E595" s="52" t="s">
        <v>3000</v>
      </c>
      <c r="F595" s="52" t="s">
        <v>3000</v>
      </c>
      <c r="G595" s="52" t="s">
        <v>3000</v>
      </c>
      <c r="H595" s="621"/>
      <c r="I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474"/>
      <c r="B596" s="493" t="s">
        <v>3286</v>
      </c>
      <c r="C596" s="677"/>
      <c r="D596" s="677"/>
      <c r="E596" s="51" t="s">
        <v>11</v>
      </c>
      <c r="F596" s="51" t="s">
        <v>3307</v>
      </c>
      <c r="G596" s="14"/>
      <c r="H596" s="621"/>
      <c r="I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623"/>
      <c r="B597" s="517" t="s">
        <v>14</v>
      </c>
      <c r="C597" s="105" t="s">
        <v>3308</v>
      </c>
      <c r="D597" s="644" t="s">
        <v>3309</v>
      </c>
      <c r="E597" s="92" t="s">
        <v>3310</v>
      </c>
      <c r="F597" s="92" t="s">
        <v>3311</v>
      </c>
      <c r="G597" s="51" t="s">
        <v>3312</v>
      </c>
      <c r="H597" s="621"/>
      <c r="I597" s="2"/>
      <c r="J597" s="678" t="s">
        <v>3313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623"/>
      <c r="B598" s="517" t="s">
        <v>15</v>
      </c>
      <c r="C598" s="45" t="s">
        <v>264</v>
      </c>
      <c r="D598" s="126" t="s">
        <v>3314</v>
      </c>
      <c r="E598" s="126" t="s">
        <v>3314</v>
      </c>
      <c r="F598" s="126" t="s">
        <v>3315</v>
      </c>
      <c r="G598" s="127" t="s">
        <v>3316</v>
      </c>
      <c r="H598" s="62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623"/>
      <c r="B599" s="517" t="s">
        <v>3171</v>
      </c>
      <c r="C599" s="56" t="s">
        <v>3317</v>
      </c>
      <c r="D599" s="45" t="s">
        <v>3318</v>
      </c>
      <c r="E599" s="92" t="s">
        <v>3310</v>
      </c>
      <c r="F599" s="215" t="s">
        <v>3319</v>
      </c>
      <c r="G599" s="57" t="s">
        <v>3320</v>
      </c>
      <c r="H599" s="62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648" t="s">
        <v>2436</v>
      </c>
      <c r="B600" s="500" t="s">
        <v>2252</v>
      </c>
      <c r="C600" s="208" t="s">
        <v>3276</v>
      </c>
      <c r="D600" s="208" t="s">
        <v>3276</v>
      </c>
      <c r="E600" s="208" t="s">
        <v>3276</v>
      </c>
      <c r="F600" s="208" t="s">
        <v>3276</v>
      </c>
      <c r="G600" s="208" t="s">
        <v>3276</v>
      </c>
      <c r="H600" s="62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631" t="s">
        <v>2304</v>
      </c>
      <c r="B601" s="246" t="s">
        <v>42</v>
      </c>
      <c r="C601" s="99" t="s">
        <v>468</v>
      </c>
      <c r="D601" s="99" t="s">
        <v>468</v>
      </c>
      <c r="E601" s="99" t="s">
        <v>3321</v>
      </c>
      <c r="F601" s="99" t="s">
        <v>468</v>
      </c>
      <c r="G601" s="99" t="s">
        <v>468</v>
      </c>
      <c r="H601" s="62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471"/>
      <c r="B602" s="249" t="s">
        <v>3295</v>
      </c>
      <c r="C602" s="52" t="s">
        <v>3000</v>
      </c>
      <c r="D602" s="52" t="s">
        <v>3000</v>
      </c>
      <c r="E602" s="52" t="s">
        <v>3000</v>
      </c>
      <c r="F602" s="52" t="s">
        <v>3000</v>
      </c>
      <c r="G602" s="52" t="s">
        <v>3000</v>
      </c>
      <c r="H602" s="616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471"/>
      <c r="B603" s="249" t="s">
        <v>3296</v>
      </c>
      <c r="C603" s="198" t="s">
        <v>3276</v>
      </c>
      <c r="D603" s="198" t="s">
        <v>3276</v>
      </c>
      <c r="E603" s="198" t="s">
        <v>3276</v>
      </c>
      <c r="F603" s="198" t="s">
        <v>3276</v>
      </c>
      <c r="G603" s="198" t="s">
        <v>3276</v>
      </c>
      <c r="H603" s="616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474"/>
      <c r="B604" s="249" t="s">
        <v>3219</v>
      </c>
      <c r="C604" s="568" t="s">
        <v>3322</v>
      </c>
      <c r="D604" s="568" t="s">
        <v>3322</v>
      </c>
      <c r="E604" s="568" t="s">
        <v>3322</v>
      </c>
      <c r="F604" s="568" t="s">
        <v>3322</v>
      </c>
      <c r="G604" s="568" t="s">
        <v>3322</v>
      </c>
      <c r="H604" s="616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609" t="s">
        <v>1</v>
      </c>
      <c r="C607" s="610" t="s">
        <v>25</v>
      </c>
      <c r="D607" s="610" t="s">
        <v>789</v>
      </c>
      <c r="E607" s="611" t="s">
        <v>27</v>
      </c>
      <c r="F607" s="610" t="s">
        <v>2</v>
      </c>
      <c r="G607" s="610" t="s">
        <v>3</v>
      </c>
      <c r="H607" s="612" t="s">
        <v>790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9"/>
      <c r="C608" s="613" t="s">
        <v>3323</v>
      </c>
      <c r="D608" s="613" t="s">
        <v>3324</v>
      </c>
      <c r="E608" s="613" t="s">
        <v>3325</v>
      </c>
      <c r="F608" s="613" t="s">
        <v>3326</v>
      </c>
      <c r="G608" s="613" t="s">
        <v>3327</v>
      </c>
      <c r="H608" s="613" t="s">
        <v>3328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614" t="s">
        <v>2236</v>
      </c>
      <c r="B609" s="242" t="s">
        <v>6</v>
      </c>
      <c r="C609" s="19" t="s">
        <v>3284</v>
      </c>
      <c r="D609" s="198" t="s">
        <v>3329</v>
      </c>
      <c r="E609" s="198" t="s">
        <v>3329</v>
      </c>
      <c r="F609" s="198" t="s">
        <v>3329</v>
      </c>
      <c r="G609" s="198" t="s">
        <v>3329</v>
      </c>
      <c r="H609" s="616"/>
      <c r="I609" s="2"/>
      <c r="J609" s="109" t="s">
        <v>3330</v>
      </c>
      <c r="K609" s="8" t="s">
        <v>3331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471"/>
      <c r="B610" s="242" t="s">
        <v>8</v>
      </c>
      <c r="C610" s="138" t="s">
        <v>3329</v>
      </c>
      <c r="D610" s="138" t="s">
        <v>3329</v>
      </c>
      <c r="E610" s="138" t="s">
        <v>3329</v>
      </c>
      <c r="F610" s="138" t="s">
        <v>3329</v>
      </c>
      <c r="G610" s="138" t="s">
        <v>3329</v>
      </c>
      <c r="H610" s="621"/>
      <c r="I610" s="2"/>
      <c r="J610" s="678"/>
      <c r="K610" s="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471"/>
      <c r="B611" s="243" t="s">
        <v>10</v>
      </c>
      <c r="C611" s="52" t="s">
        <v>3000</v>
      </c>
      <c r="D611" s="52" t="s">
        <v>3000</v>
      </c>
      <c r="E611" s="52" t="s">
        <v>3000</v>
      </c>
      <c r="F611" s="52" t="s">
        <v>3332</v>
      </c>
      <c r="G611" s="52" t="s">
        <v>3000</v>
      </c>
      <c r="H611" s="621"/>
      <c r="I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474"/>
      <c r="B612" s="493" t="s">
        <v>3286</v>
      </c>
      <c r="C612" s="676" t="s">
        <v>3333</v>
      </c>
      <c r="D612" s="676" t="s">
        <v>3334</v>
      </c>
      <c r="E612" s="676" t="s">
        <v>3334</v>
      </c>
      <c r="F612" s="39" t="s">
        <v>3335</v>
      </c>
      <c r="G612" s="679" t="s">
        <v>3336</v>
      </c>
      <c r="H612" s="621"/>
      <c r="I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623"/>
      <c r="B613" s="517" t="s">
        <v>14</v>
      </c>
      <c r="C613" s="680" t="s">
        <v>3306</v>
      </c>
      <c r="D613" s="681" t="s">
        <v>3337</v>
      </c>
      <c r="E613" s="92" t="s">
        <v>3338</v>
      </c>
      <c r="F613" s="92" t="s">
        <v>3339</v>
      </c>
      <c r="G613" s="92" t="s">
        <v>3319</v>
      </c>
      <c r="H613" s="621"/>
      <c r="I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623"/>
      <c r="B614" s="517" t="s">
        <v>15</v>
      </c>
      <c r="C614" s="126" t="s">
        <v>3314</v>
      </c>
      <c r="D614" s="682" t="s">
        <v>3340</v>
      </c>
      <c r="E614" s="682" t="s">
        <v>3340</v>
      </c>
      <c r="F614" s="682" t="s">
        <v>3341</v>
      </c>
      <c r="G614" s="682" t="s">
        <v>3341</v>
      </c>
      <c r="H614" s="62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623"/>
      <c r="B615" s="517" t="s">
        <v>3171</v>
      </c>
      <c r="C615" s="560" t="s">
        <v>3342</v>
      </c>
      <c r="D615" s="560" t="s">
        <v>3320</v>
      </c>
      <c r="F615" s="92" t="s">
        <v>3339</v>
      </c>
      <c r="G615" s="683" t="s">
        <v>3343</v>
      </c>
      <c r="H615" s="62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648" t="s">
        <v>2436</v>
      </c>
      <c r="B616" s="500" t="s">
        <v>2252</v>
      </c>
      <c r="C616" s="208" t="s">
        <v>3276</v>
      </c>
      <c r="D616" s="208" t="s">
        <v>3276</v>
      </c>
      <c r="E616" s="208" t="s">
        <v>3276</v>
      </c>
      <c r="F616" s="208" t="s">
        <v>3276</v>
      </c>
      <c r="G616" s="208" t="s">
        <v>3276</v>
      </c>
      <c r="H616" s="62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631" t="s">
        <v>2304</v>
      </c>
      <c r="B617" s="246" t="s">
        <v>42</v>
      </c>
      <c r="C617" s="99" t="s">
        <v>468</v>
      </c>
      <c r="D617" s="99" t="s">
        <v>468</v>
      </c>
      <c r="E617" s="99" t="s">
        <v>468</v>
      </c>
      <c r="F617" s="99" t="s">
        <v>468</v>
      </c>
      <c r="G617" s="99" t="s">
        <v>468</v>
      </c>
      <c r="H617" s="62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471"/>
      <c r="B618" s="249" t="s">
        <v>3295</v>
      </c>
      <c r="C618" s="52" t="s">
        <v>3000</v>
      </c>
      <c r="D618" s="52" t="s">
        <v>3000</v>
      </c>
      <c r="E618" s="52" t="s">
        <v>3000</v>
      </c>
      <c r="F618" s="52" t="s">
        <v>3000</v>
      </c>
      <c r="G618" s="52" t="s">
        <v>3000</v>
      </c>
      <c r="H618" s="616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471"/>
      <c r="B619" s="249" t="s">
        <v>3296</v>
      </c>
      <c r="C619" s="208" t="s">
        <v>3276</v>
      </c>
      <c r="D619" s="208" t="s">
        <v>3276</v>
      </c>
      <c r="E619" s="208" t="s">
        <v>3276</v>
      </c>
      <c r="F619" s="208" t="s">
        <v>3276</v>
      </c>
      <c r="G619" s="208" t="s">
        <v>3276</v>
      </c>
      <c r="H619" s="616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474"/>
      <c r="B620" s="249" t="s">
        <v>3219</v>
      </c>
      <c r="C620" s="568" t="s">
        <v>3322</v>
      </c>
      <c r="D620" s="568" t="s">
        <v>3322</v>
      </c>
      <c r="E620" s="568" t="s">
        <v>3322</v>
      </c>
      <c r="F620" s="568" t="s">
        <v>3322</v>
      </c>
      <c r="G620" s="568" t="s">
        <v>3322</v>
      </c>
      <c r="H620" s="616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609" t="s">
        <v>1</v>
      </c>
      <c r="C623" s="610" t="s">
        <v>25</v>
      </c>
      <c r="D623" s="610" t="s">
        <v>789</v>
      </c>
      <c r="E623" s="611" t="s">
        <v>27</v>
      </c>
      <c r="F623" s="610" t="s">
        <v>2</v>
      </c>
      <c r="G623" s="610" t="s">
        <v>3</v>
      </c>
      <c r="H623" s="612" t="s">
        <v>790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9"/>
      <c r="C624" s="613" t="s">
        <v>3344</v>
      </c>
      <c r="D624" s="613" t="s">
        <v>3345</v>
      </c>
      <c r="E624" s="613" t="s">
        <v>3346</v>
      </c>
      <c r="F624" s="613" t="s">
        <v>3347</v>
      </c>
      <c r="G624" s="613" t="s">
        <v>3348</v>
      </c>
      <c r="H624" s="613" t="s">
        <v>3349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614" t="s">
        <v>2236</v>
      </c>
      <c r="B625" s="242" t="s">
        <v>6</v>
      </c>
      <c r="C625" s="208" t="s">
        <v>3276</v>
      </c>
      <c r="D625" s="208" t="s">
        <v>3276</v>
      </c>
      <c r="E625" s="208" t="s">
        <v>3276</v>
      </c>
      <c r="F625" s="129" t="s">
        <v>3350</v>
      </c>
      <c r="G625" s="129" t="s">
        <v>3350</v>
      </c>
      <c r="H625" s="616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471"/>
      <c r="B626" s="242" t="s">
        <v>8</v>
      </c>
      <c r="C626" s="99" t="s">
        <v>3351</v>
      </c>
      <c r="D626" s="99" t="s">
        <v>468</v>
      </c>
      <c r="E626" s="99" t="s">
        <v>468</v>
      </c>
      <c r="F626" s="99" t="s">
        <v>468</v>
      </c>
      <c r="G626" s="99" t="s">
        <v>468</v>
      </c>
      <c r="H626" s="62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471"/>
      <c r="B627" s="243" t="s">
        <v>10</v>
      </c>
      <c r="C627" s="52" t="s">
        <v>3000</v>
      </c>
      <c r="D627" s="52" t="s">
        <v>3352</v>
      </c>
      <c r="E627" s="52" t="s">
        <v>3353</v>
      </c>
      <c r="F627" s="52" t="s">
        <v>3354</v>
      </c>
      <c r="G627" s="52" t="s">
        <v>3352</v>
      </c>
      <c r="H627" s="62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474"/>
      <c r="B628" s="493" t="s">
        <v>12</v>
      </c>
      <c r="C628" s="81" t="s">
        <v>3355</v>
      </c>
      <c r="D628" s="81" t="s">
        <v>3355</v>
      </c>
      <c r="E628" s="684" t="s">
        <v>3356</v>
      </c>
      <c r="F628" s="685"/>
      <c r="G628" s="365"/>
      <c r="H628" s="621"/>
      <c r="I628" s="2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623"/>
      <c r="B629" s="517" t="s">
        <v>14</v>
      </c>
      <c r="C629" s="651" t="s">
        <v>3357</v>
      </c>
      <c r="D629" s="152" t="s">
        <v>3358</v>
      </c>
      <c r="E629" s="127" t="s">
        <v>3359</v>
      </c>
      <c r="F629" s="536" t="s">
        <v>3360</v>
      </c>
      <c r="G629" s="686" t="s">
        <v>3361</v>
      </c>
      <c r="H629" s="621"/>
      <c r="I629" s="2"/>
      <c r="J629" s="678"/>
      <c r="K629" s="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623"/>
      <c r="B630" s="517" t="s">
        <v>15</v>
      </c>
      <c r="C630" s="126" t="s">
        <v>3362</v>
      </c>
      <c r="D630" s="126" t="s">
        <v>3363</v>
      </c>
      <c r="E630" s="126" t="s">
        <v>3364</v>
      </c>
      <c r="F630" s="126" t="s">
        <v>3365</v>
      </c>
      <c r="G630" s="56" t="s">
        <v>3366</v>
      </c>
      <c r="H630" s="62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623"/>
      <c r="B631" s="517" t="s">
        <v>3171</v>
      </c>
      <c r="C631" s="568" t="s">
        <v>3322</v>
      </c>
      <c r="D631" s="568" t="s">
        <v>3322</v>
      </c>
      <c r="E631" s="92" t="s">
        <v>3338</v>
      </c>
      <c r="F631" s="92" t="s">
        <v>3360</v>
      </c>
      <c r="G631" s="204" t="s">
        <v>673</v>
      </c>
      <c r="H631" s="62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648" t="s">
        <v>2436</v>
      </c>
      <c r="B632" s="500" t="s">
        <v>2252</v>
      </c>
      <c r="C632" s="208" t="s">
        <v>3276</v>
      </c>
      <c r="D632" s="208" t="s">
        <v>3276</v>
      </c>
      <c r="E632" s="127" t="s">
        <v>3359</v>
      </c>
      <c r="F632" s="189" t="s">
        <v>3367</v>
      </c>
      <c r="G632" s="129" t="s">
        <v>3368</v>
      </c>
      <c r="H632" s="621"/>
      <c r="I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631" t="s">
        <v>2304</v>
      </c>
      <c r="B633" s="246" t="s">
        <v>42</v>
      </c>
      <c r="C633" s="99" t="s">
        <v>468</v>
      </c>
      <c r="D633" s="99" t="s">
        <v>468</v>
      </c>
      <c r="E633" s="99" t="s">
        <v>468</v>
      </c>
      <c r="F633" s="99" t="s">
        <v>468</v>
      </c>
      <c r="G633" s="99" t="s">
        <v>468</v>
      </c>
      <c r="H633" s="621"/>
      <c r="I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471"/>
      <c r="B634" s="249" t="s">
        <v>3295</v>
      </c>
      <c r="C634" s="52" t="s">
        <v>3000</v>
      </c>
      <c r="D634" s="52" t="s">
        <v>3000</v>
      </c>
      <c r="E634" s="52" t="s">
        <v>3000</v>
      </c>
      <c r="F634" s="52" t="s">
        <v>3000</v>
      </c>
      <c r="G634" s="52" t="s">
        <v>3000</v>
      </c>
      <c r="H634" s="616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471"/>
      <c r="B635" s="249" t="s">
        <v>3296</v>
      </c>
      <c r="C635" s="208" t="s">
        <v>3369</v>
      </c>
      <c r="D635" s="208" t="s">
        <v>3369</v>
      </c>
      <c r="E635" s="208" t="s">
        <v>3369</v>
      </c>
      <c r="F635" s="52" t="s">
        <v>3000</v>
      </c>
      <c r="G635" s="52" t="s">
        <v>3000</v>
      </c>
      <c r="H635" s="616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474"/>
      <c r="B636" s="249" t="s">
        <v>3370</v>
      </c>
      <c r="C636" s="568" t="s">
        <v>3322</v>
      </c>
      <c r="D636" s="568" t="s">
        <v>3322</v>
      </c>
      <c r="E636" s="568" t="s">
        <v>3322</v>
      </c>
      <c r="F636" s="568" t="s">
        <v>3322</v>
      </c>
      <c r="G636" s="568" t="s">
        <v>3322</v>
      </c>
      <c r="H636" s="616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8.0" customHeight="1">
      <c r="A637" s="623" t="s">
        <v>3371</v>
      </c>
      <c r="B637" s="517" t="s">
        <v>3372</v>
      </c>
      <c r="C637" s="687"/>
      <c r="D637" s="688" t="s">
        <v>3373</v>
      </c>
      <c r="E637" s="45" t="s">
        <v>3374</v>
      </c>
      <c r="F637" s="689"/>
      <c r="G637" s="45"/>
      <c r="H637" s="62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678"/>
      <c r="K639" s="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678"/>
      <c r="K640" s="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06"/>
      <c r="B641" s="3" t="s">
        <v>1</v>
      </c>
      <c r="C641" s="6" t="s">
        <v>25</v>
      </c>
      <c r="D641" s="6" t="s">
        <v>789</v>
      </c>
      <c r="E641" s="5" t="s">
        <v>27</v>
      </c>
      <c r="F641" s="6" t="s">
        <v>2</v>
      </c>
      <c r="G641" s="6" t="s">
        <v>3</v>
      </c>
      <c r="H641" s="7" t="s">
        <v>790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06"/>
      <c r="B642" s="9"/>
      <c r="C642" s="10" t="s">
        <v>3375</v>
      </c>
      <c r="D642" s="10" t="s">
        <v>3376</v>
      </c>
      <c r="E642" s="10" t="s">
        <v>3377</v>
      </c>
      <c r="F642" s="10" t="s">
        <v>3378</v>
      </c>
      <c r="G642" s="10" t="s">
        <v>3379</v>
      </c>
      <c r="H642" s="10" t="s">
        <v>3380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690" t="s">
        <v>2236</v>
      </c>
      <c r="B643" s="11" t="s">
        <v>6</v>
      </c>
      <c r="C643" s="691" t="s">
        <v>3381</v>
      </c>
      <c r="D643" s="549" t="s">
        <v>3382</v>
      </c>
      <c r="E643" s="692" t="s">
        <v>3383</v>
      </c>
      <c r="F643" s="43" t="s">
        <v>3384</v>
      </c>
      <c r="G643" s="693" t="s">
        <v>3385</v>
      </c>
      <c r="H643" s="16"/>
      <c r="I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471"/>
      <c r="B644" s="11" t="s">
        <v>8</v>
      </c>
      <c r="C644" s="99" t="s">
        <v>468</v>
      </c>
      <c r="D644" s="99" t="s">
        <v>468</v>
      </c>
      <c r="E644" s="99" t="s">
        <v>468</v>
      </c>
      <c r="F644" s="99" t="s">
        <v>468</v>
      </c>
      <c r="G644" s="99" t="s">
        <v>468</v>
      </c>
      <c r="H644" s="16"/>
      <c r="I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471"/>
      <c r="B645" s="20" t="s">
        <v>10</v>
      </c>
      <c r="C645" s="52" t="s">
        <v>3352</v>
      </c>
      <c r="D645" s="52" t="s">
        <v>3352</v>
      </c>
      <c r="E645" s="52" t="s">
        <v>3352</v>
      </c>
      <c r="F645" s="694" t="s">
        <v>213</v>
      </c>
      <c r="G645" s="57" t="s">
        <v>3322</v>
      </c>
      <c r="H645" s="16"/>
      <c r="I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474"/>
      <c r="B646" s="22" t="s">
        <v>12</v>
      </c>
      <c r="C646" s="695" t="s">
        <v>600</v>
      </c>
      <c r="D646" s="78" t="s">
        <v>3386</v>
      </c>
      <c r="E646" s="52" t="s">
        <v>3352</v>
      </c>
      <c r="F646" s="78" t="s">
        <v>177</v>
      </c>
      <c r="G646" s="78" t="s">
        <v>177</v>
      </c>
      <c r="H646" s="16"/>
      <c r="I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696"/>
      <c r="B647" s="26" t="s">
        <v>14</v>
      </c>
      <c r="C647" s="697" t="s">
        <v>3387</v>
      </c>
      <c r="D647" s="82" t="s">
        <v>3388</v>
      </c>
      <c r="E647" s="698" t="s">
        <v>3389</v>
      </c>
      <c r="F647" s="43" t="s">
        <v>3390</v>
      </c>
      <c r="G647" s="43" t="s">
        <v>3391</v>
      </c>
      <c r="H647" s="16"/>
      <c r="I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696"/>
      <c r="B648" s="26" t="s">
        <v>15</v>
      </c>
      <c r="C648" s="56" t="s">
        <v>3392</v>
      </c>
      <c r="D648" s="56" t="s">
        <v>3392</v>
      </c>
      <c r="E648" s="52" t="s">
        <v>3000</v>
      </c>
      <c r="F648" s="52" t="s">
        <v>3000</v>
      </c>
      <c r="G648" s="52" t="s">
        <v>3000</v>
      </c>
      <c r="H648" s="16"/>
      <c r="I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696"/>
      <c r="B649" s="26" t="s">
        <v>3171</v>
      </c>
      <c r="D649" s="82" t="s">
        <v>3388</v>
      </c>
      <c r="E649" s="691" t="s">
        <v>3381</v>
      </c>
      <c r="F649" s="8" t="s">
        <v>3393</v>
      </c>
      <c r="G649" s="699" t="s">
        <v>3385</v>
      </c>
      <c r="H649" s="16"/>
      <c r="I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700" t="s">
        <v>2436</v>
      </c>
      <c r="B650" s="701" t="s">
        <v>2252</v>
      </c>
      <c r="C650" s="52" t="s">
        <v>3000</v>
      </c>
      <c r="D650" s="52" t="s">
        <v>3000</v>
      </c>
      <c r="E650" s="152" t="s">
        <v>3389</v>
      </c>
      <c r="F650" s="549" t="s">
        <v>3394</v>
      </c>
      <c r="G650" s="32" t="s">
        <v>3395</v>
      </c>
      <c r="H650" s="16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702" t="s">
        <v>2304</v>
      </c>
      <c r="B651" s="703" t="s">
        <v>42</v>
      </c>
      <c r="C651" s="99" t="s">
        <v>468</v>
      </c>
      <c r="D651" s="99" t="s">
        <v>468</v>
      </c>
      <c r="E651" s="99" t="s">
        <v>468</v>
      </c>
      <c r="F651" s="99" t="s">
        <v>468</v>
      </c>
      <c r="G651" s="99" t="s">
        <v>468</v>
      </c>
      <c r="H651" s="16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471"/>
      <c r="B652" s="274" t="s">
        <v>3295</v>
      </c>
      <c r="C652" s="52" t="s">
        <v>3000</v>
      </c>
      <c r="D652" s="52" t="s">
        <v>3000</v>
      </c>
      <c r="E652" s="52" t="s">
        <v>3000</v>
      </c>
      <c r="F652" s="52" t="s">
        <v>3000</v>
      </c>
      <c r="G652" s="52" t="s">
        <v>3000</v>
      </c>
      <c r="H652" s="16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471"/>
      <c r="B653" s="274" t="s">
        <v>3296</v>
      </c>
      <c r="C653" s="52" t="s">
        <v>3000</v>
      </c>
      <c r="D653" s="52" t="s">
        <v>3000</v>
      </c>
      <c r="E653" s="52" t="s">
        <v>3000</v>
      </c>
      <c r="F653" s="52" t="s">
        <v>3000</v>
      </c>
      <c r="G653" s="52" t="s">
        <v>3000</v>
      </c>
      <c r="H653" s="16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474"/>
      <c r="B654" s="249" t="s">
        <v>3370</v>
      </c>
      <c r="C654" s="57" t="s">
        <v>3322</v>
      </c>
      <c r="D654" s="57" t="s">
        <v>3322</v>
      </c>
      <c r="E654" s="57" t="s">
        <v>3322</v>
      </c>
      <c r="F654" s="57" t="s">
        <v>3322</v>
      </c>
      <c r="G654" s="57" t="s">
        <v>3322</v>
      </c>
      <c r="H654" s="16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704" t="s">
        <v>3371</v>
      </c>
      <c r="B655" s="26" t="s">
        <v>3372</v>
      </c>
      <c r="C655" s="264"/>
      <c r="D655" s="705"/>
      <c r="E655" s="706"/>
      <c r="F655" s="264"/>
      <c r="G655" s="706"/>
      <c r="H655" s="16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3" t="s">
        <v>1</v>
      </c>
      <c r="C659" s="6" t="s">
        <v>25</v>
      </c>
      <c r="D659" s="6" t="s">
        <v>789</v>
      </c>
      <c r="E659" s="5" t="s">
        <v>27</v>
      </c>
      <c r="F659" s="6" t="s">
        <v>2</v>
      </c>
      <c r="G659" s="6" t="s">
        <v>3</v>
      </c>
      <c r="H659" s="7" t="s">
        <v>790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9"/>
      <c r="C660" s="10" t="s">
        <v>3396</v>
      </c>
      <c r="D660" s="10" t="s">
        <v>3397</v>
      </c>
      <c r="E660" s="10" t="s">
        <v>3398</v>
      </c>
      <c r="F660" s="10" t="s">
        <v>3399</v>
      </c>
      <c r="G660" s="10" t="s">
        <v>3400</v>
      </c>
      <c r="H660" s="10" t="s">
        <v>3401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690" t="s">
        <v>2236</v>
      </c>
      <c r="B661" s="11" t="s">
        <v>6</v>
      </c>
      <c r="C661" s="697" t="s">
        <v>3402</v>
      </c>
      <c r="D661" s="707" t="s">
        <v>3403</v>
      </c>
      <c r="E661" s="69" t="s">
        <v>3404</v>
      </c>
      <c r="F661" s="69" t="s">
        <v>3405</v>
      </c>
      <c r="G661" s="69" t="s">
        <v>3405</v>
      </c>
      <c r="H661" s="16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471"/>
      <c r="B662" s="11" t="s">
        <v>8</v>
      </c>
      <c r="C662" s="106" t="s">
        <v>468</v>
      </c>
      <c r="D662" s="538" t="s">
        <v>3406</v>
      </c>
      <c r="E662" s="19" t="s">
        <v>3407</v>
      </c>
      <c r="F662" s="590" t="s">
        <v>3408</v>
      </c>
      <c r="G662" s="590" t="s">
        <v>3408</v>
      </c>
      <c r="H662" s="16"/>
      <c r="I662" s="2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471"/>
      <c r="B663" s="20" t="s">
        <v>10</v>
      </c>
      <c r="C663" s="57" t="s">
        <v>3322</v>
      </c>
      <c r="D663" s="57" t="s">
        <v>3322</v>
      </c>
      <c r="E663" s="57" t="s">
        <v>3322</v>
      </c>
      <c r="F663" s="57" t="s">
        <v>3322</v>
      </c>
      <c r="G663" s="57" t="s">
        <v>3322</v>
      </c>
      <c r="H663" s="16"/>
      <c r="I663" s="2"/>
      <c r="J663" s="3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474"/>
      <c r="B664" s="22" t="s">
        <v>12</v>
      </c>
      <c r="C664" s="708"/>
      <c r="D664" s="708"/>
      <c r="E664" s="708"/>
      <c r="F664" s="25"/>
      <c r="G664" s="25"/>
      <c r="H664" s="16"/>
      <c r="I664" s="2"/>
      <c r="J664" s="3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696"/>
      <c r="B665" s="26" t="s">
        <v>14</v>
      </c>
      <c r="C665" s="709" t="s">
        <v>3409</v>
      </c>
      <c r="D665" s="538" t="s">
        <v>3410</v>
      </c>
      <c r="E665" s="691" t="s">
        <v>3411</v>
      </c>
      <c r="F665" s="549" t="s">
        <v>3394</v>
      </c>
      <c r="G665" s="710" t="s">
        <v>3412</v>
      </c>
      <c r="H665" s="16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696"/>
      <c r="B666" s="26" t="s">
        <v>15</v>
      </c>
      <c r="C666" s="28" t="s">
        <v>3413</v>
      </c>
      <c r="D666" s="28" t="s">
        <v>3413</v>
      </c>
      <c r="E666" s="28" t="s">
        <v>3413</v>
      </c>
      <c r="F666" s="28" t="s">
        <v>3413</v>
      </c>
      <c r="G666" s="28" t="s">
        <v>3413</v>
      </c>
      <c r="H666" s="16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696"/>
      <c r="B667" s="26" t="s">
        <v>3171</v>
      </c>
      <c r="C667" s="709" t="s">
        <v>3409</v>
      </c>
      <c r="D667" s="538" t="s">
        <v>3410</v>
      </c>
      <c r="E667" s="691" t="s">
        <v>3411</v>
      </c>
      <c r="F667" s="694" t="s">
        <v>3414</v>
      </c>
      <c r="G667" s="710" t="s">
        <v>3412</v>
      </c>
      <c r="H667" s="16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700" t="s">
        <v>2436</v>
      </c>
      <c r="B668" s="701" t="s">
        <v>2252</v>
      </c>
      <c r="C668" s="19" t="s">
        <v>3415</v>
      </c>
      <c r="D668" s="711" t="s">
        <v>3403</v>
      </c>
      <c r="E668" s="697" t="s">
        <v>3416</v>
      </c>
      <c r="F668" s="510" t="s">
        <v>3417</v>
      </c>
      <c r="G668" s="32" t="s">
        <v>3418</v>
      </c>
      <c r="H668" s="16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702" t="s">
        <v>2304</v>
      </c>
      <c r="B669" s="703" t="s">
        <v>42</v>
      </c>
      <c r="C669" s="42" t="s">
        <v>93</v>
      </c>
      <c r="D669" s="42" t="s">
        <v>3000</v>
      </c>
      <c r="E669" s="23" t="s">
        <v>3413</v>
      </c>
      <c r="F669" s="23" t="s">
        <v>3413</v>
      </c>
      <c r="G669" s="23" t="s">
        <v>3413</v>
      </c>
      <c r="H669" s="16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471"/>
      <c r="B670" s="274" t="s">
        <v>3295</v>
      </c>
      <c r="C670" s="52" t="s">
        <v>3000</v>
      </c>
      <c r="D670" s="52" t="s">
        <v>3000</v>
      </c>
      <c r="E670" s="52" t="s">
        <v>3000</v>
      </c>
      <c r="F670" s="52" t="s">
        <v>3000</v>
      </c>
      <c r="G670" s="52" t="s">
        <v>3000</v>
      </c>
      <c r="H670" s="16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471"/>
      <c r="B671" s="274" t="s">
        <v>3296</v>
      </c>
      <c r="C671" s="52" t="s">
        <v>3000</v>
      </c>
      <c r="D671" s="52" t="s">
        <v>3000</v>
      </c>
      <c r="E671" s="52" t="s">
        <v>3000</v>
      </c>
      <c r="F671" s="52" t="s">
        <v>3000</v>
      </c>
      <c r="G671" s="52" t="s">
        <v>3000</v>
      </c>
      <c r="H671" s="16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474"/>
      <c r="B672" s="249" t="s">
        <v>3370</v>
      </c>
      <c r="C672" s="57" t="s">
        <v>3322</v>
      </c>
      <c r="D672" s="57" t="s">
        <v>3322</v>
      </c>
      <c r="E672" s="57" t="s">
        <v>3322</v>
      </c>
      <c r="F672" s="57" t="s">
        <v>3322</v>
      </c>
      <c r="G672" s="57" t="s">
        <v>3322</v>
      </c>
      <c r="H672" s="16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704" t="s">
        <v>3371</v>
      </c>
      <c r="B673" s="26" t="s">
        <v>3372</v>
      </c>
      <c r="C673" s="712"/>
      <c r="D673" s="713"/>
      <c r="E673" s="25"/>
      <c r="F673" s="712"/>
      <c r="G673" s="25"/>
      <c r="H673" s="16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3" t="s">
        <v>1</v>
      </c>
      <c r="C676" s="6" t="s">
        <v>25</v>
      </c>
      <c r="D676" s="6" t="s">
        <v>789</v>
      </c>
      <c r="E676" s="5" t="s">
        <v>27</v>
      </c>
      <c r="F676" s="6" t="s">
        <v>2</v>
      </c>
      <c r="G676" s="6" t="s">
        <v>3</v>
      </c>
      <c r="H676" s="7" t="s">
        <v>790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9"/>
      <c r="C677" s="10" t="s">
        <v>3419</v>
      </c>
      <c r="D677" s="10" t="s">
        <v>3420</v>
      </c>
      <c r="E677" s="10" t="s">
        <v>3421</v>
      </c>
      <c r="F677" s="10" t="s">
        <v>3422</v>
      </c>
      <c r="G677" s="10" t="s">
        <v>3423</v>
      </c>
      <c r="H677" s="10" t="s">
        <v>3424</v>
      </c>
      <c r="I677" s="2"/>
      <c r="J677" s="8" t="s">
        <v>3425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690" t="s">
        <v>2236</v>
      </c>
      <c r="B678" s="11" t="s">
        <v>6</v>
      </c>
      <c r="C678" s="694" t="s">
        <v>3405</v>
      </c>
      <c r="D678" s="694" t="s">
        <v>3405</v>
      </c>
      <c r="E678" s="89" t="s">
        <v>3426</v>
      </c>
      <c r="F678" s="590" t="s">
        <v>3427</v>
      </c>
      <c r="G678" s="590" t="s">
        <v>3428</v>
      </c>
      <c r="H678" s="16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31.5" customHeight="1">
      <c r="A679" s="471"/>
      <c r="B679" s="11" t="s">
        <v>8</v>
      </c>
      <c r="C679" s="553" t="s">
        <v>3429</v>
      </c>
      <c r="D679" s="568" t="s">
        <v>3414</v>
      </c>
      <c r="E679" s="89" t="s">
        <v>3430</v>
      </c>
      <c r="F679" s="589" t="s">
        <v>3431</v>
      </c>
      <c r="G679" s="714" t="s">
        <v>3432</v>
      </c>
      <c r="H679" s="16"/>
      <c r="I679" s="2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471"/>
      <c r="B680" s="20" t="s">
        <v>10</v>
      </c>
      <c r="C680" s="57" t="s">
        <v>3322</v>
      </c>
      <c r="D680" s="57" t="s">
        <v>3322</v>
      </c>
      <c r="E680" s="57" t="s">
        <v>3322</v>
      </c>
      <c r="F680" s="52" t="s">
        <v>3000</v>
      </c>
      <c r="G680" s="52" t="s">
        <v>3000</v>
      </c>
      <c r="H680" s="16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474"/>
      <c r="B681" s="22" t="s">
        <v>12</v>
      </c>
      <c r="C681" s="715"/>
      <c r="D681" s="715"/>
      <c r="E681" s="715"/>
      <c r="F681" s="25"/>
      <c r="G681" s="25"/>
      <c r="H681" s="16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696"/>
      <c r="B682" s="26" t="s">
        <v>14</v>
      </c>
      <c r="C682" s="43" t="s">
        <v>3433</v>
      </c>
      <c r="D682" s="697" t="s">
        <v>3434</v>
      </c>
      <c r="E682" s="538" t="s">
        <v>3435</v>
      </c>
      <c r="F682" s="43" t="s">
        <v>3436</v>
      </c>
      <c r="G682" s="32" t="s">
        <v>3437</v>
      </c>
      <c r="H682" s="16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696"/>
      <c r="B683" s="26" t="s">
        <v>15</v>
      </c>
      <c r="C683" s="93" t="s">
        <v>3413</v>
      </c>
      <c r="D683" s="93" t="s">
        <v>3413</v>
      </c>
      <c r="E683" s="93" t="s">
        <v>3413</v>
      </c>
      <c r="F683" s="93" t="s">
        <v>3413</v>
      </c>
      <c r="G683" s="574" t="s">
        <v>3438</v>
      </c>
      <c r="H683" s="16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696"/>
      <c r="B684" s="26" t="s">
        <v>3171</v>
      </c>
      <c r="C684" s="538" t="s">
        <v>3435</v>
      </c>
      <c r="D684" s="697" t="s">
        <v>3439</v>
      </c>
      <c r="E684" s="538" t="s">
        <v>3435</v>
      </c>
      <c r="F684" s="549" t="s">
        <v>213</v>
      </c>
      <c r="G684" s="716" t="s">
        <v>3440</v>
      </c>
      <c r="H684" s="16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700" t="s">
        <v>2436</v>
      </c>
      <c r="B685" s="701" t="s">
        <v>2252</v>
      </c>
      <c r="C685" s="19" t="s">
        <v>3441</v>
      </c>
      <c r="D685" s="19" t="s">
        <v>3441</v>
      </c>
      <c r="E685" s="19" t="s">
        <v>3441</v>
      </c>
      <c r="F685" s="19" t="s">
        <v>3441</v>
      </c>
      <c r="G685" s="19" t="s">
        <v>3441</v>
      </c>
      <c r="H685" s="16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702" t="s">
        <v>2304</v>
      </c>
      <c r="B686" s="703" t="s">
        <v>42</v>
      </c>
      <c r="C686" s="23" t="s">
        <v>3413</v>
      </c>
      <c r="D686" s="23" t="s">
        <v>3413</v>
      </c>
      <c r="E686" s="23" t="s">
        <v>3413</v>
      </c>
      <c r="F686" s="23" t="s">
        <v>3413</v>
      </c>
      <c r="G686" s="23" t="s">
        <v>3413</v>
      </c>
      <c r="H686" s="16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471"/>
      <c r="B687" s="274" t="s">
        <v>3295</v>
      </c>
      <c r="C687" s="52" t="s">
        <v>3000</v>
      </c>
      <c r="D687" s="52" t="s">
        <v>3000</v>
      </c>
      <c r="E687" s="52" t="s">
        <v>3000</v>
      </c>
      <c r="F687" s="52" t="s">
        <v>3000</v>
      </c>
      <c r="G687" s="52" t="s">
        <v>3000</v>
      </c>
      <c r="H687" s="16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471"/>
      <c r="B688" s="274" t="s">
        <v>3296</v>
      </c>
      <c r="C688" s="52" t="s">
        <v>3000</v>
      </c>
      <c r="D688" s="52" t="s">
        <v>3000</v>
      </c>
      <c r="E688" s="52" t="s">
        <v>3000</v>
      </c>
      <c r="F688" s="52" t="s">
        <v>3000</v>
      </c>
      <c r="G688" s="52" t="s">
        <v>3000</v>
      </c>
      <c r="H688" s="16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474"/>
      <c r="B689" s="249" t="s">
        <v>3442</v>
      </c>
      <c r="C689" s="21" t="s">
        <v>3418</v>
      </c>
      <c r="D689" s="21" t="s">
        <v>3418</v>
      </c>
      <c r="E689" s="21" t="s">
        <v>3443</v>
      </c>
      <c r="F689" s="21" t="s">
        <v>3418</v>
      </c>
      <c r="G689" s="21" t="s">
        <v>3418</v>
      </c>
      <c r="H689" s="16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704"/>
      <c r="B690" s="31" t="s">
        <v>3444</v>
      </c>
      <c r="C690" s="57" t="s">
        <v>3322</v>
      </c>
      <c r="D690" s="28" t="s">
        <v>3445</v>
      </c>
      <c r="E690" s="717" t="s">
        <v>3322</v>
      </c>
      <c r="F690" s="716" t="s">
        <v>213</v>
      </c>
      <c r="G690" s="25"/>
      <c r="H690" s="16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704" t="s">
        <v>3371</v>
      </c>
      <c r="B691" s="26"/>
      <c r="C691" s="712"/>
      <c r="D691" s="713"/>
      <c r="E691" s="25"/>
      <c r="F691" s="712"/>
      <c r="G691" s="25"/>
      <c r="H691" s="16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3" t="s">
        <v>1</v>
      </c>
      <c r="C695" s="6" t="s">
        <v>25</v>
      </c>
      <c r="D695" s="6" t="s">
        <v>789</v>
      </c>
      <c r="E695" s="5" t="s">
        <v>27</v>
      </c>
      <c r="F695" s="6" t="s">
        <v>2</v>
      </c>
      <c r="G695" s="6" t="s">
        <v>3</v>
      </c>
      <c r="H695" s="7" t="s">
        <v>790</v>
      </c>
      <c r="I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9"/>
      <c r="C696" s="10" t="s">
        <v>3446</v>
      </c>
      <c r="D696" s="10" t="s">
        <v>3447</v>
      </c>
      <c r="E696" s="10" t="s">
        <v>3448</v>
      </c>
      <c r="F696" s="10" t="s">
        <v>3449</v>
      </c>
      <c r="G696" s="10" t="s">
        <v>3450</v>
      </c>
      <c r="H696" s="10" t="s">
        <v>3451</v>
      </c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11" t="s">
        <v>6</v>
      </c>
      <c r="C697" s="590" t="s">
        <v>3452</v>
      </c>
      <c r="D697" s="718" t="s">
        <v>1508</v>
      </c>
      <c r="E697" s="89" t="s">
        <v>3426</v>
      </c>
      <c r="F697" s="719" t="s">
        <v>3453</v>
      </c>
      <c r="G697" s="81" t="s">
        <v>3454</v>
      </c>
      <c r="H697" s="16"/>
      <c r="I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17" t="s">
        <v>3455</v>
      </c>
      <c r="C698" s="590"/>
      <c r="D698" s="127" t="s">
        <v>34</v>
      </c>
      <c r="E698" s="127" t="s">
        <v>34</v>
      </c>
      <c r="F698" s="127" t="s">
        <v>34</v>
      </c>
      <c r="G698" s="127" t="s">
        <v>34</v>
      </c>
      <c r="H698" s="16"/>
      <c r="I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0" t="s">
        <v>10</v>
      </c>
      <c r="C699" s="581"/>
      <c r="D699" s="138" t="s">
        <v>2431</v>
      </c>
      <c r="E699" s="720" t="s">
        <v>11</v>
      </c>
      <c r="F699" s="720" t="s">
        <v>11</v>
      </c>
      <c r="G699" s="720" t="s">
        <v>11</v>
      </c>
      <c r="H699" s="16"/>
      <c r="I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2" t="s">
        <v>12</v>
      </c>
      <c r="C700" s="590"/>
      <c r="D700" s="715"/>
      <c r="E700" s="23" t="s">
        <v>3456</v>
      </c>
      <c r="F700" s="721"/>
      <c r="G700" s="721"/>
      <c r="H700" s="16"/>
      <c r="I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6" t="s">
        <v>14</v>
      </c>
      <c r="C701" s="43"/>
      <c r="D701" s="691" t="s">
        <v>3457</v>
      </c>
      <c r="E701" s="692" t="s">
        <v>3458</v>
      </c>
      <c r="F701" s="722" t="s">
        <v>3459</v>
      </c>
      <c r="G701" s="722" t="s">
        <v>3459</v>
      </c>
      <c r="H701" s="16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6" t="s">
        <v>15</v>
      </c>
      <c r="C702" s="540"/>
      <c r="D702" s="93" t="s">
        <v>3413</v>
      </c>
      <c r="E702" s="93" t="s">
        <v>3413</v>
      </c>
      <c r="F702" s="93" t="s">
        <v>3413</v>
      </c>
      <c r="G702" s="93" t="s">
        <v>3413</v>
      </c>
      <c r="H702" s="16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31" t="s">
        <v>17</v>
      </c>
      <c r="C703" s="42" t="s">
        <v>3460</v>
      </c>
      <c r="D703" s="723"/>
      <c r="E703" s="716" t="s">
        <v>3458</v>
      </c>
      <c r="F703" s="694" t="s">
        <v>3461</v>
      </c>
      <c r="G703" s="697" t="s">
        <v>3454</v>
      </c>
      <c r="H703" s="16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701" t="s">
        <v>2252</v>
      </c>
      <c r="C704" s="43"/>
      <c r="D704" s="47" t="s">
        <v>3462</v>
      </c>
      <c r="E704" s="47" t="s">
        <v>3462</v>
      </c>
      <c r="F704" s="47" t="s">
        <v>3462</v>
      </c>
      <c r="G704" s="47" t="s">
        <v>3462</v>
      </c>
      <c r="H704" s="16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703" t="s">
        <v>42</v>
      </c>
      <c r="C705" s="42"/>
      <c r="D705" s="42" t="s">
        <v>231</v>
      </c>
      <c r="E705" s="42" t="s">
        <v>3463</v>
      </c>
      <c r="F705" s="52" t="s">
        <v>3459</v>
      </c>
      <c r="G705" s="52" t="s">
        <v>3459</v>
      </c>
      <c r="H705" s="16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74" t="s">
        <v>3295</v>
      </c>
      <c r="C706" s="724"/>
      <c r="D706" s="52" t="s">
        <v>3000</v>
      </c>
      <c r="E706" s="52" t="s">
        <v>3000</v>
      </c>
      <c r="F706" s="52" t="s">
        <v>3000</v>
      </c>
      <c r="G706" s="52" t="s">
        <v>3000</v>
      </c>
      <c r="H706" s="16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74" t="s">
        <v>3296</v>
      </c>
      <c r="C707" s="724"/>
      <c r="D707" s="52" t="s">
        <v>3000</v>
      </c>
      <c r="E707" s="52" t="s">
        <v>3000</v>
      </c>
      <c r="F707" s="52" t="s">
        <v>3000</v>
      </c>
      <c r="G707" s="52" t="s">
        <v>3000</v>
      </c>
      <c r="H707" s="16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49" t="s">
        <v>3442</v>
      </c>
      <c r="C708" s="725" t="s">
        <v>3464</v>
      </c>
      <c r="D708" s="21" t="s">
        <v>3462</v>
      </c>
      <c r="E708" s="21" t="s">
        <v>3465</v>
      </c>
      <c r="F708" s="21" t="s">
        <v>3462</v>
      </c>
      <c r="G708" s="21" t="s">
        <v>3462</v>
      </c>
      <c r="H708" s="16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31" t="s">
        <v>3466</v>
      </c>
      <c r="C709" s="725"/>
      <c r="D709" s="726" t="s">
        <v>34</v>
      </c>
      <c r="E709" s="726" t="s">
        <v>34</v>
      </c>
      <c r="F709" s="726" t="s">
        <v>34</v>
      </c>
      <c r="G709" s="726" t="s">
        <v>34</v>
      </c>
      <c r="H709" s="16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31" t="s">
        <v>3467</v>
      </c>
      <c r="C710" s="727"/>
      <c r="D710" s="728"/>
      <c r="E710" s="721"/>
      <c r="F710" s="723" t="s">
        <v>3462</v>
      </c>
      <c r="G710" s="723" t="s">
        <v>3462</v>
      </c>
      <c r="H710" s="16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3" t="s">
        <v>1</v>
      </c>
      <c r="C713" s="6" t="s">
        <v>25</v>
      </c>
      <c r="D713" s="6" t="s">
        <v>789</v>
      </c>
      <c r="E713" s="5" t="s">
        <v>27</v>
      </c>
      <c r="F713" s="6" t="s">
        <v>2</v>
      </c>
      <c r="G713" s="6" t="s">
        <v>3</v>
      </c>
      <c r="H713" s="7" t="s">
        <v>790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9"/>
      <c r="C714" s="10" t="s">
        <v>3468</v>
      </c>
      <c r="D714" s="10" t="s">
        <v>3469</v>
      </c>
      <c r="E714" s="10" t="s">
        <v>3470</v>
      </c>
      <c r="F714" s="10" t="s">
        <v>3471</v>
      </c>
      <c r="G714" s="10" t="s">
        <v>3472</v>
      </c>
      <c r="H714" s="10" t="s">
        <v>3473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11" t="s">
        <v>6</v>
      </c>
      <c r="C715" s="52" t="s">
        <v>3474</v>
      </c>
      <c r="D715" s="729" t="s">
        <v>3475</v>
      </c>
      <c r="E715" s="73" t="s">
        <v>3476</v>
      </c>
      <c r="F715" s="568" t="s">
        <v>3477</v>
      </c>
      <c r="G715" s="129" t="s">
        <v>3478</v>
      </c>
      <c r="H715" s="16"/>
      <c r="I715" s="2"/>
      <c r="K715" s="39" t="s">
        <v>3479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17" t="s">
        <v>8</v>
      </c>
      <c r="C716" s="47" t="s">
        <v>3480</v>
      </c>
      <c r="D716" s="109" t="s">
        <v>220</v>
      </c>
      <c r="E716" s="127" t="s">
        <v>34</v>
      </c>
      <c r="F716" s="152" t="s">
        <v>34</v>
      </c>
      <c r="G716" s="152" t="s">
        <v>34</v>
      </c>
      <c r="H716" s="16"/>
      <c r="I716" s="2"/>
      <c r="J716" s="2"/>
      <c r="K716" s="23" t="s">
        <v>3479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0" t="s">
        <v>10</v>
      </c>
      <c r="C717" s="720" t="s">
        <v>11</v>
      </c>
      <c r="D717" s="720" t="s">
        <v>11</v>
      </c>
      <c r="E717" s="720" t="s">
        <v>11</v>
      </c>
      <c r="F717" s="69" t="s">
        <v>3481</v>
      </c>
      <c r="G717" s="581" t="s">
        <v>220</v>
      </c>
      <c r="H717" s="16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2" t="s">
        <v>12</v>
      </c>
      <c r="D718" s="715"/>
      <c r="E718" s="23"/>
      <c r="F718" s="23" t="s">
        <v>0</v>
      </c>
      <c r="G718" s="721"/>
      <c r="H718" s="16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6" t="s">
        <v>14</v>
      </c>
      <c r="C719" s="538" t="s">
        <v>3482</v>
      </c>
      <c r="D719" s="718" t="s">
        <v>3459</v>
      </c>
      <c r="E719" s="124" t="s">
        <v>34</v>
      </c>
      <c r="F719" s="730" t="s">
        <v>34</v>
      </c>
      <c r="G719" s="730" t="s">
        <v>34</v>
      </c>
      <c r="H719" s="16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6" t="s">
        <v>15</v>
      </c>
      <c r="C720" s="93" t="s">
        <v>3413</v>
      </c>
      <c r="D720" s="93" t="s">
        <v>3413</v>
      </c>
      <c r="E720" s="549" t="s">
        <v>1363</v>
      </c>
      <c r="F720" s="553" t="s">
        <v>3483</v>
      </c>
      <c r="G720" s="553" t="s">
        <v>3483</v>
      </c>
      <c r="H720" s="16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31" t="s">
        <v>17</v>
      </c>
      <c r="C721" s="538" t="s">
        <v>3484</v>
      </c>
      <c r="D721" s="549" t="s">
        <v>1363</v>
      </c>
      <c r="E721" s="731" t="s">
        <v>3485</v>
      </c>
      <c r="F721" s="49" t="s">
        <v>3486</v>
      </c>
      <c r="G721" s="718" t="s">
        <v>3487</v>
      </c>
      <c r="H721" s="16"/>
      <c r="I721" s="2"/>
      <c r="J721" s="627" t="s">
        <v>3488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33" t="s">
        <v>18</v>
      </c>
      <c r="C722" s="21" t="s">
        <v>3462</v>
      </c>
      <c r="D722" s="21" t="s">
        <v>3462</v>
      </c>
      <c r="E722" s="21" t="s">
        <v>3462</v>
      </c>
      <c r="F722" s="21" t="s">
        <v>3462</v>
      </c>
      <c r="G722" s="45" t="s">
        <v>3489</v>
      </c>
      <c r="H722" s="16"/>
      <c r="I722" s="2"/>
      <c r="J722" s="8" t="s">
        <v>3490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35" t="s">
        <v>3491</v>
      </c>
      <c r="C723" s="732" t="s">
        <v>3492</v>
      </c>
      <c r="D723" s="732" t="s">
        <v>3492</v>
      </c>
      <c r="E723" s="23"/>
      <c r="F723" s="732" t="s">
        <v>3493</v>
      </c>
      <c r="G723" s="23"/>
      <c r="H723" s="16"/>
      <c r="I723" s="2"/>
      <c r="J723" s="8" t="s">
        <v>3494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36" t="s">
        <v>3495</v>
      </c>
      <c r="C724" s="718" t="s">
        <v>3459</v>
      </c>
      <c r="D724" s="718" t="s">
        <v>3459</v>
      </c>
      <c r="E724" s="52" t="s">
        <v>3000</v>
      </c>
      <c r="F724" s="719" t="s">
        <v>3496</v>
      </c>
      <c r="G724" s="39" t="s">
        <v>0</v>
      </c>
      <c r="H724" s="16"/>
      <c r="I724" s="2"/>
      <c r="J724" s="8" t="s">
        <v>3497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49" t="s">
        <v>3498</v>
      </c>
      <c r="C725" s="21" t="s">
        <v>3462</v>
      </c>
      <c r="D725" s="21" t="s">
        <v>3462</v>
      </c>
      <c r="E725" s="21" t="s">
        <v>3462</v>
      </c>
      <c r="F725" s="45" t="s">
        <v>3499</v>
      </c>
      <c r="G725" s="45" t="s">
        <v>3499</v>
      </c>
      <c r="H725" s="16"/>
      <c r="I725" s="2"/>
      <c r="J725" s="8" t="s">
        <v>3500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31" t="s">
        <v>3501</v>
      </c>
      <c r="C726" s="21" t="s">
        <v>64</v>
      </c>
      <c r="D726" s="553" t="s">
        <v>1363</v>
      </c>
      <c r="E726" s="553" t="s">
        <v>1363</v>
      </c>
      <c r="F726" s="93"/>
      <c r="G726" s="93"/>
      <c r="H726" s="16"/>
      <c r="I726" s="2"/>
      <c r="J726" s="8" t="s">
        <v>3502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38" t="s">
        <v>3503</v>
      </c>
      <c r="C727" s="81" t="s">
        <v>3504</v>
      </c>
      <c r="D727" s="39"/>
      <c r="E727" s="73" t="s">
        <v>3485</v>
      </c>
      <c r="F727" s="39"/>
      <c r="G727" s="39"/>
      <c r="H727" s="40"/>
      <c r="I727" s="2"/>
      <c r="J727" s="8" t="s">
        <v>3505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8" t="s">
        <v>3506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8" t="s">
        <v>3507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3" t="s">
        <v>1</v>
      </c>
      <c r="C731" s="6" t="s">
        <v>25</v>
      </c>
      <c r="D731" s="6" t="s">
        <v>789</v>
      </c>
      <c r="E731" s="5" t="s">
        <v>27</v>
      </c>
      <c r="F731" s="6" t="s">
        <v>2</v>
      </c>
      <c r="G731" s="6" t="s">
        <v>3</v>
      </c>
      <c r="H731" s="7" t="s">
        <v>790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9"/>
      <c r="C732" s="10" t="s">
        <v>3508</v>
      </c>
      <c r="D732" s="10" t="s">
        <v>3509</v>
      </c>
      <c r="E732" s="10" t="s">
        <v>3510</v>
      </c>
      <c r="F732" s="10" t="s">
        <v>3511</v>
      </c>
      <c r="G732" s="10" t="s">
        <v>3512</v>
      </c>
      <c r="H732" s="10" t="s">
        <v>3513</v>
      </c>
      <c r="I732" s="2"/>
      <c r="J732" s="29" t="s">
        <v>141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11" t="s">
        <v>6</v>
      </c>
      <c r="C733" s="540" t="s">
        <v>3514</v>
      </c>
      <c r="D733" s="606" t="s">
        <v>3515</v>
      </c>
      <c r="E733" s="607" t="s">
        <v>3516</v>
      </c>
      <c r="F733" s="607" t="s">
        <v>3517</v>
      </c>
      <c r="G733" s="50" t="s">
        <v>3518</v>
      </c>
      <c r="H733" s="16"/>
      <c r="I733" s="2"/>
      <c r="J733" s="641" t="s">
        <v>145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17" t="s">
        <v>8</v>
      </c>
      <c r="C734" s="19" t="s">
        <v>1751</v>
      </c>
      <c r="D734" s="127" t="s">
        <v>34</v>
      </c>
      <c r="E734" s="127" t="s">
        <v>34</v>
      </c>
      <c r="F734" s="52" t="s">
        <v>3519</v>
      </c>
      <c r="G734" s="208" t="s">
        <v>3520</v>
      </c>
      <c r="H734" s="16"/>
      <c r="I734" s="2"/>
      <c r="J734" s="644" t="s">
        <v>149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0" t="s">
        <v>10</v>
      </c>
      <c r="C735" s="69" t="s">
        <v>3481</v>
      </c>
      <c r="D735" s="208" t="s">
        <v>3521</v>
      </c>
      <c r="E735" s="138" t="s">
        <v>3522</v>
      </c>
      <c r="F735" s="138" t="s">
        <v>430</v>
      </c>
      <c r="G735" s="138" t="s">
        <v>3523</v>
      </c>
      <c r="H735" s="16"/>
      <c r="I735" s="2"/>
      <c r="J735" s="650" t="s">
        <v>153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196" t="s">
        <v>3524</v>
      </c>
      <c r="C736" s="24"/>
      <c r="D736" s="39"/>
      <c r="E736" s="733" t="s">
        <v>177</v>
      </c>
      <c r="F736" s="733" t="s">
        <v>177</v>
      </c>
      <c r="H736" s="16"/>
      <c r="I736" s="2"/>
      <c r="J736" s="673" t="s">
        <v>154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6" t="s">
        <v>14</v>
      </c>
      <c r="C737" s="734" t="s">
        <v>3525</v>
      </c>
      <c r="D737" s="52" t="s">
        <v>3526</v>
      </c>
      <c r="E737" s="735" t="s">
        <v>3527</v>
      </c>
      <c r="F737" s="538" t="s">
        <v>3528</v>
      </c>
      <c r="G737" s="736" t="s">
        <v>3529</v>
      </c>
      <c r="H737" s="16"/>
      <c r="I737" s="2"/>
      <c r="J737" s="674" t="s">
        <v>155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6" t="s">
        <v>15</v>
      </c>
      <c r="C738" s="574" t="s">
        <v>264</v>
      </c>
      <c r="D738" s="574" t="s">
        <v>264</v>
      </c>
      <c r="E738" s="574" t="s">
        <v>264</v>
      </c>
      <c r="F738" s="574" t="s">
        <v>264</v>
      </c>
      <c r="G738" s="574" t="s">
        <v>264</v>
      </c>
      <c r="H738" s="16"/>
      <c r="I738" s="2"/>
      <c r="J738" s="737" t="s">
        <v>156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31" t="s">
        <v>17</v>
      </c>
      <c r="C739" s="540" t="s">
        <v>3530</v>
      </c>
      <c r="D739" s="718" t="s">
        <v>3531</v>
      </c>
      <c r="E739" s="735" t="s">
        <v>3527</v>
      </c>
      <c r="F739" s="52" t="s">
        <v>3519</v>
      </c>
      <c r="G739" s="707" t="s">
        <v>3532</v>
      </c>
      <c r="H739" s="16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33" t="s">
        <v>3533</v>
      </c>
      <c r="C740" s="15" t="s">
        <v>3462</v>
      </c>
      <c r="D740" s="15" t="s">
        <v>3462</v>
      </c>
      <c r="E740" s="50" t="s">
        <v>3534</v>
      </c>
      <c r="F740" s="50" t="s">
        <v>3534</v>
      </c>
      <c r="G740" s="50" t="s">
        <v>3534</v>
      </c>
      <c r="H740" s="16"/>
      <c r="I740" s="2"/>
      <c r="J740" s="73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739" t="s">
        <v>3535</v>
      </c>
      <c r="C741" s="41" t="s">
        <v>264</v>
      </c>
      <c r="D741" s="41" t="s">
        <v>264</v>
      </c>
      <c r="E741" s="41" t="s">
        <v>264</v>
      </c>
      <c r="F741" s="41" t="s">
        <v>264</v>
      </c>
      <c r="G741" s="41" t="s">
        <v>264</v>
      </c>
      <c r="H741" s="16"/>
      <c r="I741" s="2"/>
      <c r="J741" s="3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49" t="s">
        <v>3536</v>
      </c>
      <c r="C742" s="50" t="s">
        <v>3462</v>
      </c>
      <c r="D742" s="50" t="s">
        <v>3462</v>
      </c>
      <c r="E742" s="50" t="s">
        <v>3462</v>
      </c>
      <c r="F742" s="50" t="s">
        <v>3462</v>
      </c>
      <c r="G742" s="50" t="s">
        <v>3462</v>
      </c>
      <c r="H742" s="16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740" t="s">
        <v>3537</v>
      </c>
      <c r="C743" s="15"/>
      <c r="D743" s="28"/>
      <c r="E743" s="28"/>
      <c r="F743" s="540" t="s">
        <v>3538</v>
      </c>
      <c r="G743" s="28" t="s">
        <v>3462</v>
      </c>
      <c r="H743" s="16"/>
      <c r="I743" s="2"/>
      <c r="J743" s="8" t="s">
        <v>3539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38" t="s">
        <v>3503</v>
      </c>
      <c r="C744" s="14"/>
      <c r="D744" s="14"/>
      <c r="E744" s="14"/>
      <c r="F744" s="14"/>
      <c r="G744" s="14"/>
      <c r="H744" s="2"/>
      <c r="I744" s="2"/>
      <c r="J744" s="8" t="s">
        <v>1367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8" t="s">
        <v>3540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8" t="s">
        <v>3541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8" t="s">
        <v>3542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3" t="s">
        <v>1</v>
      </c>
      <c r="C748" s="6" t="s">
        <v>25</v>
      </c>
      <c r="D748" s="6" t="s">
        <v>789</v>
      </c>
      <c r="E748" s="5" t="s">
        <v>27</v>
      </c>
      <c r="F748" s="6" t="s">
        <v>2</v>
      </c>
      <c r="G748" s="6" t="s">
        <v>3</v>
      </c>
      <c r="H748" s="7" t="s">
        <v>790</v>
      </c>
      <c r="I748" s="2"/>
      <c r="J748" s="8" t="s">
        <v>3543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9"/>
      <c r="C749" s="10" t="s">
        <v>3544</v>
      </c>
      <c r="D749" s="10" t="s">
        <v>3545</v>
      </c>
      <c r="E749" s="10" t="s">
        <v>3546</v>
      </c>
      <c r="F749" s="10" t="s">
        <v>3547</v>
      </c>
      <c r="G749" s="10" t="s">
        <v>3548</v>
      </c>
      <c r="H749" s="10" t="s">
        <v>3549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11" t="s">
        <v>6</v>
      </c>
      <c r="C750" s="741" t="s">
        <v>3550</v>
      </c>
      <c r="D750" s="48"/>
      <c r="F750" s="14"/>
      <c r="G750" s="15"/>
      <c r="H750" s="16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17" t="s">
        <v>8</v>
      </c>
      <c r="C751" s="742" t="s">
        <v>3550</v>
      </c>
      <c r="D751" s="14"/>
      <c r="E751" s="51"/>
      <c r="F751" s="19"/>
      <c r="G751" s="19"/>
      <c r="H751" s="16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0" t="s">
        <v>10</v>
      </c>
      <c r="C752" s="743" t="s">
        <v>839</v>
      </c>
      <c r="D752" s="15"/>
      <c r="E752" s="15"/>
      <c r="F752" s="15"/>
      <c r="G752" s="15"/>
      <c r="H752" s="16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2" t="s">
        <v>12</v>
      </c>
      <c r="C753" s="742"/>
      <c r="D753" s="708"/>
      <c r="E753" s="24"/>
      <c r="F753" s="25"/>
      <c r="G753" s="25"/>
      <c r="H753" s="16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6" t="s">
        <v>14</v>
      </c>
      <c r="C754" s="744"/>
      <c r="D754" s="27"/>
      <c r="E754" s="14"/>
      <c r="F754" s="27"/>
      <c r="G754" s="27"/>
      <c r="H754" s="16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6" t="s">
        <v>15</v>
      </c>
      <c r="C755" s="745"/>
      <c r="D755" s="28" t="s">
        <v>3551</v>
      </c>
      <c r="E755" s="28"/>
      <c r="F755" s="28"/>
      <c r="G755" s="28"/>
      <c r="H755" s="16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31" t="s">
        <v>3552</v>
      </c>
      <c r="C756" s="741" t="s">
        <v>149</v>
      </c>
      <c r="D756" s="32"/>
      <c r="E756" s="32"/>
      <c r="F756" s="32"/>
      <c r="G756" s="32"/>
      <c r="H756" s="16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33" t="s">
        <v>18</v>
      </c>
      <c r="C757" s="743"/>
      <c r="D757" s="15"/>
      <c r="E757" s="15"/>
      <c r="F757" s="15"/>
      <c r="G757" s="15"/>
      <c r="H757" s="16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35" t="s">
        <v>3491</v>
      </c>
      <c r="C758" s="746" t="s">
        <v>839</v>
      </c>
      <c r="D758" s="24"/>
      <c r="E758" s="24"/>
      <c r="F758" s="24"/>
      <c r="G758" s="24"/>
      <c r="H758" s="16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36" t="s">
        <v>3553</v>
      </c>
      <c r="C759" s="746"/>
      <c r="D759" s="14"/>
      <c r="E759" s="14"/>
      <c r="F759" s="14"/>
      <c r="G759" s="14"/>
      <c r="H759" s="16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49" t="s">
        <v>3498</v>
      </c>
      <c r="C760" s="747" t="s">
        <v>149</v>
      </c>
      <c r="D760" s="15"/>
      <c r="E760" s="15"/>
      <c r="F760" s="15"/>
      <c r="G760" s="15"/>
      <c r="H760" s="16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31" t="s">
        <v>3501</v>
      </c>
      <c r="C761" s="747"/>
      <c r="D761" s="28"/>
      <c r="E761" s="28"/>
      <c r="F761" s="28"/>
      <c r="G761" s="28"/>
      <c r="H761" s="16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38" t="s">
        <v>3503</v>
      </c>
      <c r="C762" s="748"/>
      <c r="D762" s="14"/>
      <c r="E762" s="14"/>
      <c r="F762" s="14"/>
      <c r="G762" s="14"/>
      <c r="H762" s="40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3" t="s">
        <v>1</v>
      </c>
      <c r="C765" s="4" t="s">
        <v>2</v>
      </c>
      <c r="D765" s="4" t="s">
        <v>3</v>
      </c>
      <c r="E765" s="5"/>
      <c r="F765" s="6"/>
      <c r="G765" s="6"/>
      <c r="H765" s="7"/>
      <c r="I765" s="2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9"/>
      <c r="C766" s="10" t="s">
        <v>4</v>
      </c>
      <c r="D766" s="10" t="s">
        <v>5</v>
      </c>
      <c r="E766" s="10"/>
      <c r="F766" s="10"/>
      <c r="G766" s="10"/>
      <c r="H766" s="10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11" t="s">
        <v>6</v>
      </c>
      <c r="C767" s="507" t="s">
        <v>24</v>
      </c>
      <c r="D767" s="48"/>
      <c r="F767" s="14"/>
      <c r="G767" s="15"/>
      <c r="H767" s="16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17" t="s">
        <v>8</v>
      </c>
      <c r="C768" s="23"/>
      <c r="D768" s="23"/>
      <c r="E768" s="51"/>
      <c r="F768" s="19"/>
      <c r="G768" s="19"/>
      <c r="H768" s="16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0" t="s">
        <v>10</v>
      </c>
      <c r="C769" s="21" t="s">
        <v>3307</v>
      </c>
      <c r="D769" s="15" t="s">
        <v>3307</v>
      </c>
      <c r="E769" s="15"/>
      <c r="F769" s="15"/>
      <c r="G769" s="15"/>
      <c r="H769" s="16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2" t="s">
        <v>12</v>
      </c>
      <c r="C770" s="23" t="s">
        <v>3307</v>
      </c>
      <c r="D770" s="24" t="s">
        <v>3307</v>
      </c>
      <c r="E770" s="24"/>
      <c r="F770" s="25"/>
      <c r="G770" s="25"/>
      <c r="H770" s="16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6" t="s">
        <v>14</v>
      </c>
      <c r="C771" s="47"/>
      <c r="D771" s="14"/>
      <c r="E771" s="14"/>
      <c r="F771" s="27"/>
      <c r="G771" s="27"/>
      <c r="H771" s="16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6" t="s">
        <v>15</v>
      </c>
      <c r="C772" s="105" t="s">
        <v>375</v>
      </c>
      <c r="D772" s="105" t="s">
        <v>375</v>
      </c>
      <c r="E772" s="28"/>
      <c r="F772" s="28"/>
      <c r="G772" s="28"/>
      <c r="H772" s="16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31" t="s">
        <v>17</v>
      </c>
      <c r="C773" s="105" t="s">
        <v>375</v>
      </c>
      <c r="D773" s="105" t="s">
        <v>375</v>
      </c>
      <c r="E773" s="32"/>
      <c r="F773" s="32"/>
      <c r="G773" s="32"/>
      <c r="H773" s="16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33" t="s">
        <v>18</v>
      </c>
      <c r="C774" s="21"/>
      <c r="D774" s="15"/>
      <c r="E774" s="15"/>
      <c r="F774" s="15"/>
      <c r="G774" s="15"/>
      <c r="H774" s="16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35" t="s">
        <v>42</v>
      </c>
      <c r="C775" s="723"/>
      <c r="D775" s="24"/>
      <c r="E775" s="24"/>
      <c r="F775" s="24"/>
      <c r="G775" s="24"/>
      <c r="H775" s="16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36" t="s">
        <v>21</v>
      </c>
      <c r="C776" s="69" t="s">
        <v>3554</v>
      </c>
      <c r="D776" s="69" t="s">
        <v>3554</v>
      </c>
      <c r="E776" s="14"/>
      <c r="F776" s="14"/>
      <c r="G776" s="14"/>
      <c r="H776" s="16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37" t="s">
        <v>22</v>
      </c>
      <c r="C777" s="57" t="s">
        <v>3554</v>
      </c>
      <c r="D777" s="57" t="s">
        <v>3554</v>
      </c>
      <c r="E777" s="28"/>
      <c r="F777" s="28"/>
      <c r="G777" s="28"/>
      <c r="H777" s="16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38" t="s">
        <v>3503</v>
      </c>
      <c r="C778" s="39" t="s">
        <v>24</v>
      </c>
      <c r="D778" s="14"/>
      <c r="E778" s="14"/>
      <c r="F778" s="14"/>
      <c r="G778" s="14"/>
      <c r="H778" s="40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</sheetData>
  <mergeCells count="148">
    <mergeCell ref="A1:B2"/>
    <mergeCell ref="A3:A5"/>
    <mergeCell ref="A6:A13"/>
    <mergeCell ref="B16:B17"/>
    <mergeCell ref="A18:A20"/>
    <mergeCell ref="A21:A28"/>
    <mergeCell ref="B31:B32"/>
    <mergeCell ref="B60:B61"/>
    <mergeCell ref="B74:B75"/>
    <mergeCell ref="C76:C77"/>
    <mergeCell ref="A33:A35"/>
    <mergeCell ref="A36:A43"/>
    <mergeCell ref="B46:B47"/>
    <mergeCell ref="A48:A50"/>
    <mergeCell ref="A51:A57"/>
    <mergeCell ref="A62:A64"/>
    <mergeCell ref="A65:A71"/>
    <mergeCell ref="A76:A79"/>
    <mergeCell ref="A80:A85"/>
    <mergeCell ref="B88:B89"/>
    <mergeCell ref="A90:A93"/>
    <mergeCell ref="A94:A99"/>
    <mergeCell ref="B102:B103"/>
    <mergeCell ref="A104:A107"/>
    <mergeCell ref="A108:A113"/>
    <mergeCell ref="B116:B117"/>
    <mergeCell ref="A118:A121"/>
    <mergeCell ref="A123:A127"/>
    <mergeCell ref="B131:B132"/>
    <mergeCell ref="A133:A136"/>
    <mergeCell ref="B146:B147"/>
    <mergeCell ref="A138:A142"/>
    <mergeCell ref="A148:A151"/>
    <mergeCell ref="A154:A158"/>
    <mergeCell ref="B162:B163"/>
    <mergeCell ref="A164:A167"/>
    <mergeCell ref="A170:A174"/>
    <mergeCell ref="B178:B179"/>
    <mergeCell ref="A180:A183"/>
    <mergeCell ref="A186:A189"/>
    <mergeCell ref="B193:B194"/>
    <mergeCell ref="A195:A198"/>
    <mergeCell ref="A201:A204"/>
    <mergeCell ref="B208:B209"/>
    <mergeCell ref="A210:A213"/>
    <mergeCell ref="A375:A378"/>
    <mergeCell ref="A382:A385"/>
    <mergeCell ref="B387:B388"/>
    <mergeCell ref="A389:A392"/>
    <mergeCell ref="A397:A400"/>
    <mergeCell ref="B402:B403"/>
    <mergeCell ref="A404:A407"/>
    <mergeCell ref="A412:A415"/>
    <mergeCell ref="B417:B418"/>
    <mergeCell ref="A419:A422"/>
    <mergeCell ref="A428:A431"/>
    <mergeCell ref="B433:B434"/>
    <mergeCell ref="A435:A438"/>
    <mergeCell ref="B449:B450"/>
    <mergeCell ref="A476:A478"/>
    <mergeCell ref="B481:B482"/>
    <mergeCell ref="A483:A486"/>
    <mergeCell ref="A493:A495"/>
    <mergeCell ref="C497:G497"/>
    <mergeCell ref="B498:B499"/>
    <mergeCell ref="A500:A503"/>
    <mergeCell ref="A509:A511"/>
    <mergeCell ref="C514:G514"/>
    <mergeCell ref="B515:B516"/>
    <mergeCell ref="A517:A520"/>
    <mergeCell ref="A527:A529"/>
    <mergeCell ref="B532:B533"/>
    <mergeCell ref="A534:A537"/>
    <mergeCell ref="A543:A545"/>
    <mergeCell ref="B547:B548"/>
    <mergeCell ref="A549:A552"/>
    <mergeCell ref="A557:A559"/>
    <mergeCell ref="B561:B562"/>
    <mergeCell ref="A563:A566"/>
    <mergeCell ref="B576:B577"/>
    <mergeCell ref="A571:A573"/>
    <mergeCell ref="A578:A581"/>
    <mergeCell ref="A585:A588"/>
    <mergeCell ref="B591:B592"/>
    <mergeCell ref="A593:A596"/>
    <mergeCell ref="A601:A604"/>
    <mergeCell ref="B607:B608"/>
    <mergeCell ref="A609:A612"/>
    <mergeCell ref="A617:A620"/>
    <mergeCell ref="B623:B624"/>
    <mergeCell ref="A625:A628"/>
    <mergeCell ref="A633:A636"/>
    <mergeCell ref="B641:B642"/>
    <mergeCell ref="A643:A646"/>
    <mergeCell ref="B731:B732"/>
    <mergeCell ref="B748:B749"/>
    <mergeCell ref="B765:B766"/>
    <mergeCell ref="A651:A654"/>
    <mergeCell ref="B659:B660"/>
    <mergeCell ref="A661:A664"/>
    <mergeCell ref="A669:A672"/>
    <mergeCell ref="B676:B677"/>
    <mergeCell ref="A678:A681"/>
    <mergeCell ref="A686:A689"/>
    <mergeCell ref="A216:A219"/>
    <mergeCell ref="B222:B223"/>
    <mergeCell ref="A224:A227"/>
    <mergeCell ref="A230:A233"/>
    <mergeCell ref="B235:B236"/>
    <mergeCell ref="A237:A240"/>
    <mergeCell ref="B248:B249"/>
    <mergeCell ref="A243:A246"/>
    <mergeCell ref="A250:A253"/>
    <mergeCell ref="A256:A259"/>
    <mergeCell ref="B262:B263"/>
    <mergeCell ref="A264:A267"/>
    <mergeCell ref="A270:A273"/>
    <mergeCell ref="B276:B277"/>
    <mergeCell ref="A278:A281"/>
    <mergeCell ref="A284:A287"/>
    <mergeCell ref="B290:B291"/>
    <mergeCell ref="A292:A295"/>
    <mergeCell ref="A298:A301"/>
    <mergeCell ref="B304:B305"/>
    <mergeCell ref="A306:A309"/>
    <mergeCell ref="A312:A315"/>
    <mergeCell ref="B317:B318"/>
    <mergeCell ref="A319:A322"/>
    <mergeCell ref="A325:A328"/>
    <mergeCell ref="B330:B331"/>
    <mergeCell ref="A332:A335"/>
    <mergeCell ref="B345:B346"/>
    <mergeCell ref="A339:A342"/>
    <mergeCell ref="A347:A350"/>
    <mergeCell ref="A354:A357"/>
    <mergeCell ref="B359:B360"/>
    <mergeCell ref="A361:A364"/>
    <mergeCell ref="A368:A371"/>
    <mergeCell ref="B373:B374"/>
    <mergeCell ref="A444:A447"/>
    <mergeCell ref="A451:A454"/>
    <mergeCell ref="A460:A462"/>
    <mergeCell ref="C464:G464"/>
    <mergeCell ref="B465:B466"/>
    <mergeCell ref="A467:A470"/>
    <mergeCell ref="C480:G480"/>
    <mergeCell ref="B695:B696"/>
    <mergeCell ref="B713:B714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3" width="17.88"/>
  </cols>
  <sheetData>
    <row r="1">
      <c r="A1" s="219" t="s">
        <v>711</v>
      </c>
      <c r="B1" s="222" t="s">
        <v>712</v>
      </c>
      <c r="C1" s="222" t="s">
        <v>3555</v>
      </c>
      <c r="D1" s="222" t="s">
        <v>715</v>
      </c>
    </row>
    <row r="2">
      <c r="A2" s="226">
        <v>1.0</v>
      </c>
      <c r="B2" s="226" t="s">
        <v>3556</v>
      </c>
      <c r="C2" s="226" t="s">
        <v>3557</v>
      </c>
      <c r="D2" s="226">
        <v>1.0</v>
      </c>
      <c r="G2" s="365"/>
      <c r="H2" s="365"/>
      <c r="I2" s="365"/>
      <c r="J2" s="365"/>
    </row>
    <row r="3">
      <c r="A3" s="226">
        <v>2.0</v>
      </c>
      <c r="B3" s="226" t="s">
        <v>3558</v>
      </c>
      <c r="C3" s="226" t="s">
        <v>3559</v>
      </c>
      <c r="D3" s="226">
        <v>1.0</v>
      </c>
      <c r="G3" s="365"/>
      <c r="H3" s="365"/>
      <c r="I3" s="365"/>
      <c r="J3" s="365"/>
    </row>
    <row r="4">
      <c r="A4" s="226">
        <v>3.0</v>
      </c>
      <c r="B4" s="226" t="s">
        <v>3560</v>
      </c>
      <c r="C4" s="226" t="s">
        <v>3561</v>
      </c>
      <c r="D4" s="226">
        <v>5.0</v>
      </c>
      <c r="G4" s="365"/>
      <c r="H4" s="365"/>
      <c r="I4" s="365"/>
      <c r="J4" s="365"/>
    </row>
    <row r="5">
      <c r="A5" s="226">
        <v>4.0</v>
      </c>
      <c r="B5" s="226" t="s">
        <v>3562</v>
      </c>
      <c r="C5" s="226" t="s">
        <v>3563</v>
      </c>
      <c r="D5" s="226">
        <v>3.0</v>
      </c>
      <c r="G5" s="365"/>
      <c r="H5" s="365"/>
      <c r="I5" s="365"/>
      <c r="J5" s="365"/>
    </row>
    <row r="6">
      <c r="A6" s="226">
        <v>5.0</v>
      </c>
      <c r="B6" s="226" t="s">
        <v>1140</v>
      </c>
      <c r="C6" s="226" t="s">
        <v>3564</v>
      </c>
      <c r="D6" s="226">
        <v>4.0</v>
      </c>
      <c r="E6" s="1"/>
      <c r="G6" s="365"/>
      <c r="H6" s="365"/>
      <c r="I6" s="365"/>
      <c r="J6" s="365"/>
    </row>
    <row r="7">
      <c r="A7" s="226">
        <v>6.0</v>
      </c>
      <c r="B7" s="226" t="s">
        <v>1152</v>
      </c>
      <c r="C7" s="226" t="s">
        <v>1058</v>
      </c>
      <c r="D7" s="226">
        <v>1.0</v>
      </c>
      <c r="G7" s="365"/>
      <c r="H7" s="365"/>
      <c r="I7" s="365"/>
      <c r="J7" s="365"/>
    </row>
    <row r="8">
      <c r="A8" s="226">
        <v>7.0</v>
      </c>
      <c r="B8" s="226" t="s">
        <v>1152</v>
      </c>
      <c r="C8" s="226" t="s">
        <v>929</v>
      </c>
      <c r="D8" s="226">
        <v>1.0</v>
      </c>
      <c r="G8" s="365"/>
      <c r="H8" s="365"/>
      <c r="I8" s="365"/>
      <c r="J8" s="365"/>
    </row>
    <row r="9">
      <c r="A9" s="226">
        <v>8.0</v>
      </c>
      <c r="B9" s="226" t="s">
        <v>717</v>
      </c>
      <c r="C9" s="226" t="s">
        <v>3565</v>
      </c>
      <c r="D9" s="226">
        <v>4.0</v>
      </c>
      <c r="G9" s="365"/>
      <c r="H9" s="365"/>
      <c r="I9" s="749"/>
      <c r="J9" s="365"/>
    </row>
    <row r="10">
      <c r="A10" s="226">
        <v>9.0</v>
      </c>
      <c r="B10" s="226" t="s">
        <v>3556</v>
      </c>
      <c r="C10" s="226" t="s">
        <v>3566</v>
      </c>
      <c r="D10" s="226">
        <v>15.0</v>
      </c>
      <c r="E10" s="1" t="s">
        <v>3567</v>
      </c>
      <c r="G10" s="365"/>
      <c r="H10" s="749"/>
      <c r="I10" s="749"/>
      <c r="J10" s="365"/>
    </row>
    <row r="11">
      <c r="A11" s="226">
        <v>10.0</v>
      </c>
      <c r="B11" s="226" t="s">
        <v>717</v>
      </c>
      <c r="C11" s="226" t="s">
        <v>3568</v>
      </c>
      <c r="D11" s="226">
        <v>5.0</v>
      </c>
      <c r="G11" s="365"/>
      <c r="H11" s="365"/>
      <c r="I11" s="365"/>
      <c r="J11" s="365"/>
    </row>
    <row r="12">
      <c r="A12" s="226">
        <v>11.0</v>
      </c>
      <c r="B12" s="226" t="s">
        <v>3556</v>
      </c>
      <c r="C12" s="226" t="s">
        <v>3569</v>
      </c>
      <c r="D12" s="226">
        <v>1.0</v>
      </c>
      <c r="G12" s="365"/>
      <c r="H12" s="365"/>
      <c r="I12" s="365"/>
      <c r="J12" s="365"/>
    </row>
    <row r="13">
      <c r="A13" s="226">
        <v>12.0</v>
      </c>
      <c r="B13" s="226" t="s">
        <v>3556</v>
      </c>
      <c r="C13" s="226" t="s">
        <v>3570</v>
      </c>
      <c r="D13" s="226">
        <v>1.0</v>
      </c>
      <c r="G13" s="365"/>
      <c r="H13" s="365"/>
      <c r="I13" s="365"/>
      <c r="J13" s="365"/>
    </row>
    <row r="14">
      <c r="A14" s="226">
        <v>13.0</v>
      </c>
      <c r="B14" s="226" t="s">
        <v>717</v>
      </c>
      <c r="C14" s="226" t="s">
        <v>3571</v>
      </c>
      <c r="D14" s="226">
        <v>1.0</v>
      </c>
      <c r="G14" s="365"/>
      <c r="H14" s="365"/>
      <c r="I14" s="365"/>
      <c r="J14" s="365"/>
    </row>
    <row r="15">
      <c r="A15" s="226">
        <v>14.0</v>
      </c>
      <c r="B15" s="226" t="s">
        <v>3556</v>
      </c>
      <c r="C15" s="226" t="s">
        <v>3572</v>
      </c>
      <c r="D15" s="226">
        <v>2.0</v>
      </c>
      <c r="G15" s="365"/>
      <c r="H15" s="365"/>
      <c r="I15" s="365"/>
      <c r="J15" s="365"/>
    </row>
    <row r="16">
      <c r="A16" s="226">
        <v>15.0</v>
      </c>
      <c r="B16" s="226" t="s">
        <v>3556</v>
      </c>
      <c r="C16" s="226" t="s">
        <v>3573</v>
      </c>
      <c r="D16" s="226">
        <v>1.0</v>
      </c>
    </row>
    <row r="17">
      <c r="A17" s="226">
        <v>16.0</v>
      </c>
      <c r="B17" s="226" t="s">
        <v>3556</v>
      </c>
      <c r="C17" s="226" t="s">
        <v>3574</v>
      </c>
      <c r="D17" s="226">
        <v>2.0</v>
      </c>
    </row>
    <row r="18">
      <c r="A18" s="226">
        <v>17.0</v>
      </c>
      <c r="B18" s="77"/>
      <c r="C18" s="77"/>
      <c r="D18" s="77"/>
    </row>
    <row r="19">
      <c r="A19" s="226">
        <v>18.0</v>
      </c>
      <c r="B19" s="77"/>
      <c r="C19" s="77"/>
      <c r="D19" s="77"/>
    </row>
    <row r="20">
      <c r="A20" s="226">
        <v>19.0</v>
      </c>
      <c r="B20" s="77"/>
      <c r="C20" s="77"/>
      <c r="D20" s="77"/>
    </row>
    <row r="21">
      <c r="A21" s="226">
        <v>20.0</v>
      </c>
      <c r="B21" s="77"/>
      <c r="C21" s="77"/>
      <c r="D21" s="77"/>
    </row>
    <row r="22">
      <c r="A22" s="226">
        <v>21.0</v>
      </c>
      <c r="B22" s="77"/>
      <c r="C22" s="77"/>
      <c r="D22" s="77"/>
    </row>
    <row r="23">
      <c r="A23" s="226">
        <v>22.0</v>
      </c>
      <c r="B23" s="77"/>
      <c r="C23" s="77"/>
      <c r="D23" s="77"/>
    </row>
    <row r="24">
      <c r="A24" s="226">
        <v>23.0</v>
      </c>
      <c r="B24" s="77"/>
      <c r="C24" s="77"/>
      <c r="D24" s="77"/>
    </row>
    <row r="25">
      <c r="A25" s="226">
        <v>24.0</v>
      </c>
      <c r="B25" s="77"/>
      <c r="C25" s="77"/>
      <c r="D25" s="77"/>
    </row>
    <row r="26">
      <c r="A26" s="226">
        <v>25.0</v>
      </c>
      <c r="B26" s="77"/>
      <c r="C26" s="77"/>
      <c r="D26" s="77"/>
    </row>
    <row r="27">
      <c r="A27" s="226">
        <v>26.0</v>
      </c>
      <c r="B27" s="77"/>
      <c r="C27" s="77"/>
      <c r="D27" s="7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2025-01-14T05:19:55Z</dcterms:created>
  <dc:creator>Bela  Pal Szasz</dc:creator>
</cp:coreProperties>
</file>